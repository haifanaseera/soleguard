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Nurse Profiles" sheetId="2" state="visible" r:id="rId4"/>
    <sheet name="Nurse Lookup" sheetId="3" state="visible" r:id="rId5"/>
    <sheet name="Cohort Summary" sheetId="4" state="visible" r:id="rId6"/>
    <sheet name="Readings" sheetId="5" state="visible" r:id="rId7"/>
    <sheet name="Clinical Reference" sheetId="6" state="visible" r:id="rId8"/>
  </sheets>
  <definedNames>
    <definedName function="false" hidden="true" localSheetId="4" name="_xlnm._FilterDatabase" vbProcedure="false">Readings!$A$1:$P$2001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<sst xmlns="http://schemas.openxmlformats.org/spreadsheetml/2006/main" count="8546" uniqueCount="421">
  <si>
    <t xml:space="preserve">SoleGuard - Simulated 10-Nurse Cohort</t>
  </si>
  <si>
    <t xml:space="preserve">Adaptive Smart Insole for Personalized Pressure and Temperature-Based Foot-Risk Monitoring in Long-Shift Nurses with Diabetes</t>
  </si>
  <si>
    <t xml:space="preserve">ALL DATA IN THIS WORKBOOK IS SIMULATED</t>
  </si>
  <si>
    <t xml:space="preserve">The insole hardware has not been built yet, so these 10 nurses are simulated by (data/generate_cohort_data.py, fixed random seed 7). They are NOT real patients and show that the method works on varied profiles, not that it works clinically. Replace the Readings sheet with real recordings once volunteers can be measured.</t>
  </si>
  <si>
    <t xml:space="preserve">HOW TO LOOK UP ONE NURSE</t>
  </si>
  <si>
    <t xml:space="preserve">1</t>
  </si>
  <si>
    <t xml:space="preserve">Open the 'Nurse Lookup' sheet (or see all nurses at once in 'Nurse Profiles').</t>
  </si>
  <si>
    <t xml:space="preserve">2</t>
  </si>
  <si>
    <t xml:space="preserve">Click the yellow cell (B3) and pick a nurse from the dropdown, for example NURSE-07.</t>
  </si>
  <si>
    <t xml:space="preserve">3</t>
  </si>
  <si>
    <t xml:space="preserve">The sheet shows the nurse's profile and condition, risk levels, and, for each signal, own normal, shift average and peak, and how far the nurse deviated.</t>
  </si>
  <si>
    <t xml:space="preserve">SHEETS</t>
  </si>
  <si>
    <t xml:space="preserve">Nurse Lookup</t>
  </si>
  <si>
    <t xml:space="preserve">Nurse Profiles lists all 10 nurses (name, age, gender, health conditions, results); Nurse Lookup shows one nurse in detail.</t>
  </si>
  <si>
    <t xml:space="preserve">Cohort Summary</t>
  </si>
  <si>
    <t xml:space="preserve">All 10 nurses in one table, with each nurse's own baseline, deviation counts, detected condition and a plain-language summary.</t>
  </si>
  <si>
    <t xml:space="preserve">Readings</t>
  </si>
  <si>
    <t xml:space="preserve">Every simulated reading (200 per nurse, one every 30 s). Z-scores are calculated by formula; risk levels come from the SoleGuard ML module.</t>
  </si>
  <si>
    <t xml:space="preserve">Clinical Reference</t>
  </si>
  <si>
    <t xml:space="preserve">Why this helps a nurse with diabetes, what can happen if readings are ignored, photo evidence slots, limits, and sources.</t>
  </si>
  <si>
    <t xml:space="preserve">KEY TERMS</t>
  </si>
  <si>
    <t xml:space="preserve">Baseline</t>
  </si>
  <si>
    <t xml:space="preserve">A nurse's own normal: the mean and standard deviation (SD) of each signal over the first 60 readings (30 min). Outliers are trimmed first.</t>
  </si>
  <si>
    <t xml:space="preserve">Deviation (SD)</t>
  </si>
  <si>
    <t xml:space="preserve">How many standard deviations a reading sits above THAT NURSE'S OWN baseline (a z-score). It is not compared with other nurses.</t>
  </si>
  <si>
    <t xml:space="preserve">Risk level</t>
  </si>
  <si>
    <t xml:space="preserve">normal: below 2 SD.  caution: 2 to 3 SD.  alert: 3 SD or more AND a second signal is also elevated, or high pressure after about 5 minutes of standing.</t>
  </si>
  <si>
    <t xml:space="preserve">Elevated (this sheet)</t>
  </si>
  <si>
    <t xml:space="preserve">A signal counts as 'Elevated' for a nurse when at least the number of readings in Cohort Summary D2 are 2 SD or more above that nurse's baseline.</t>
  </si>
  <si>
    <t xml:space="preserve">Calibration phase</t>
  </si>
  <si>
    <t xml:space="preserve">The first 60 readings are the learning phase; the system reports them as normal because the baseline is still being learned.</t>
  </si>
  <si>
    <t xml:space="preserve">CELL COLOURS</t>
  </si>
  <si>
    <t xml:space="preserve">Blue text</t>
  </si>
  <si>
    <t xml:space="preserve">A typed-in input or assumption (baselines and thresholds). Everything in black is a formula.</t>
  </si>
  <si>
    <t xml:space="preserve">Yellow cell</t>
  </si>
  <si>
    <t xml:space="preserve">The dropdown where you choose a nurse.</t>
  </si>
  <si>
    <t xml:space="preserve">ASSUMPTIONS AND SOURCES OF NUMBERS</t>
  </si>
  <si>
    <t xml:space="preserve">Baselines</t>
  </si>
  <si>
    <t xml:space="preserve">Calculated by the project's personalization.py module on each nurse's first 60 readings, then pasted in as values (blue).</t>
  </si>
  <si>
    <t xml:space="preserve">Risk levels</t>
  </si>
  <si>
    <t xml:space="preserve">Calculated by the same module (RiskDetector) on the live readings. Z-scores in the Readings sheet are recalculated here by formula from the baselines.</t>
  </si>
  <si>
    <t xml:space="preserve">Thresholds</t>
  </si>
  <si>
    <t xml:space="preserve">2 SD and 3 SD are standard statistical conventions, not clinically tuned values. Pressure values are in raw sensor units.</t>
  </si>
  <si>
    <t xml:space="preserve">FICTIONAL PERSONAS</t>
  </si>
  <si>
    <t xml:space="preserve">Nurse Profiles</t>
  </si>
  <si>
    <t xml:space="preserve">Names, ages, genders and health details are invented for the simulation. Replace the blue cells on the Nurse Profiles sheet with real volunteers' details (with written consent) if real data is collected.</t>
  </si>
  <si>
    <t xml:space="preserve">Nurse Profiles - 10 simulated nurses: who they are and what their readings show</t>
  </si>
  <si>
    <t xml:space="preserve">FICTIONAL PERSONAS. Names, ages and health details are invented for the simulation. Blue cells are inputs: replace them with real volunteers' details (with written consent) if real data is collected.</t>
  </si>
  <si>
    <t xml:space="preserve">Columns K to Q are formulas that read each nurse's own results from the Cohort Summary sheet.</t>
  </si>
  <si>
    <t xml:space="preserve">Nurse ID</t>
  </si>
  <si>
    <t xml:space="preserve">Name (fictional)</t>
  </si>
  <si>
    <t xml:space="preserve">Age</t>
  </si>
  <si>
    <t xml:space="preserve">Gender</t>
  </si>
  <si>
    <t xml:space="preserve">Ward</t>
  </si>
  <si>
    <t xml:space="preserve">Years in nursing</t>
  </si>
  <si>
    <t xml:space="preserve">Diabetes type</t>
  </si>
  <si>
    <t xml:space="preserve">Years with diabetes</t>
  </si>
  <si>
    <t xml:space="preserve">Foot sensation (neuropathy status)</t>
  </si>
  <si>
    <t xml:space="preserve">Other current health conditions</t>
  </si>
  <si>
    <t xml:space="preserve">Detected condition (from readings)</t>
  </si>
  <si>
    <t xml:space="preserve">Highest risk level</t>
  </si>
  <si>
    <t xml:space="preserve">Peak pressure deviation (SD)</t>
  </si>
  <si>
    <t xml:space="preserve">Peak temp deviation (SD)</t>
  </si>
  <si>
    <t xml:space="preserve">Caution readings</t>
  </si>
  <si>
    <t xml:space="preserve">Alert readings</t>
  </si>
  <si>
    <t xml:space="preserve">Summary of deviations</t>
  </si>
  <si>
    <t xml:space="preserve">NURSE-01</t>
  </si>
  <si>
    <t xml:space="preserve">Anitha D'Souza</t>
  </si>
  <si>
    <t xml:space="preserve">Female</t>
  </si>
  <si>
    <t xml:space="preserve">Medical ward</t>
  </si>
  <si>
    <t xml:space="preserve">Type 2</t>
  </si>
  <si>
    <t xml:space="preserve">Normal sensation</t>
  </si>
  <si>
    <t xml:space="preserve">None</t>
  </si>
  <si>
    <t xml:space="preserve">NURSE-02</t>
  </si>
  <si>
    <t xml:space="preserve">Rekha Shetty</t>
  </si>
  <si>
    <t xml:space="preserve">Surgical ward</t>
  </si>
  <si>
    <t xml:space="preserve">Early loss of sensation</t>
  </si>
  <si>
    <t xml:space="preserve">Hypertension</t>
  </si>
  <si>
    <t xml:space="preserve">NURSE-03</t>
  </si>
  <si>
    <t xml:space="preserve">Fathima Noor</t>
  </si>
  <si>
    <t xml:space="preserve">ICU</t>
  </si>
  <si>
    <t xml:space="preserve">NURSE-04</t>
  </si>
  <si>
    <t xml:space="preserve">Savitha Rao</t>
  </si>
  <si>
    <t xml:space="preserve">Operation theatre</t>
  </si>
  <si>
    <t xml:space="preserve">Confirmed neuropathy</t>
  </si>
  <si>
    <t xml:space="preserve">Hypertension, high cholesterol</t>
  </si>
  <si>
    <t xml:space="preserve">NURSE-05</t>
  </si>
  <si>
    <t xml:space="preserve">Joseph Pinto</t>
  </si>
  <si>
    <t xml:space="preserve">Male</t>
  </si>
  <si>
    <t xml:space="preserve">Emergency</t>
  </si>
  <si>
    <t xml:space="preserve">Overweight</t>
  </si>
  <si>
    <t xml:space="preserve">NURSE-06</t>
  </si>
  <si>
    <t xml:space="preserve">Deepa Nayak</t>
  </si>
  <si>
    <t xml:space="preserve">Paediatric ward</t>
  </si>
  <si>
    <t xml:space="preserve">Type 1</t>
  </si>
  <si>
    <t xml:space="preserve">NURSE-07</t>
  </si>
  <si>
    <t xml:space="preserve">Lakshmi Bhat</t>
  </si>
  <si>
    <t xml:space="preserve">Hypertension, varicose veins</t>
  </si>
  <si>
    <t xml:space="preserve">NURSE-08</t>
  </si>
  <si>
    <t xml:space="preserve">Mohammed Rafiq</t>
  </si>
  <si>
    <t xml:space="preserve">NURSE-09</t>
  </si>
  <si>
    <t xml:space="preserve">Prema Kumari</t>
  </si>
  <si>
    <t xml:space="preserve">Maternity ward</t>
  </si>
  <si>
    <t xml:space="preserve">Hypothyroidism</t>
  </si>
  <si>
    <t xml:space="preserve">NURSE-10</t>
  </si>
  <si>
    <t xml:space="preserve">Sunitha George</t>
  </si>
  <si>
    <t xml:space="preserve">Nurse Lookup - pick a nurse to see the profile, conditions and deviations</t>
  </si>
  <si>
    <t xml:space="preserve">SIMULATED DATA, FICTIONAL PERSONAS. Every deviation is measured against that nurse's OWN baseline, not against other nurses.</t>
  </si>
  <si>
    <t xml:space="preserve">Select nurse  &gt;</t>
  </si>
  <si>
    <t xml:space="preserve">(click the yellow cell and choose from the dropdown)</t>
  </si>
  <si>
    <t xml:space="preserve">Ward and experience</t>
  </si>
  <si>
    <t xml:space="preserve">Diabetes</t>
  </si>
  <si>
    <t xml:space="preserve">Foot sensation (neuropathy)</t>
  </si>
  <si>
    <t xml:space="preserve">Designed pattern (simulated)</t>
  </si>
  <si>
    <t xml:space="preserve">Detected condition</t>
  </si>
  <si>
    <t xml:space="preserve">Highest risk level in live shift</t>
  </si>
  <si>
    <t xml:space="preserve">Live-phase readings</t>
  </si>
  <si>
    <t xml:space="preserve">  Normal</t>
  </si>
  <si>
    <t xml:space="preserve">  Caution</t>
  </si>
  <si>
    <t xml:space="preserve">  Alert</t>
  </si>
  <si>
    <t xml:space="preserve">% of live readings flagged</t>
  </si>
  <si>
    <t xml:space="preserve">First caution at</t>
  </si>
  <si>
    <t xml:space="preserve">First alert at</t>
  </si>
  <si>
    <t xml:space="preserve">Signal</t>
  </si>
  <si>
    <t xml:space="preserve">Baseline mean (own normal)</t>
  </si>
  <si>
    <t xml:space="preserve">Baseline SD</t>
  </si>
  <si>
    <t xml:space="preserve">Shift average (live)</t>
  </si>
  <si>
    <t xml:space="preserve">Shift peak (live)</t>
  </si>
  <si>
    <t xml:space="preserve">Peak deviation (SD above own baseline)</t>
  </si>
  <si>
    <t xml:space="preserve">Readings 2+ SD above baseline</t>
  </si>
  <si>
    <t xml:space="preserve">% of live readings</t>
  </si>
  <si>
    <t xml:space="preserve">Status</t>
  </si>
  <si>
    <t xml:space="preserve">Heel pressure</t>
  </si>
  <si>
    <t xml:space="preserve">Midfoot pressure</t>
  </si>
  <si>
    <t xml:space="preserve">Toe pressure</t>
  </si>
  <si>
    <t xml:space="preserve">Foot temperature (°C)</t>
  </si>
  <si>
    <t xml:space="preserve">How to read this</t>
  </si>
  <si>
    <t xml:space="preserve">A nurse's baseline is what is normal FOR THAT NURSE (learned from the first 30 minutes of the shift). A deviation of 2 SD or more is unusual for them; 3 SD or more is very unusual. A signal shows ELEVATED when enough readings (Cohort Summary D2) reach 2 SD. 'Detected condition' combines the pressure signals and temperature: both, one, or none. Pressure is in raw sensor units.</t>
  </si>
  <si>
    <t xml:space="preserve">Cohort Summary - 10 simulated nurses (each compared only with their own baseline)</t>
  </si>
  <si>
    <t xml:space="preserve">Elevated if deviation (SD) &gt;=</t>
  </si>
  <si>
    <t xml:space="preserve">Min elevated readings to flag a condition:</t>
  </si>
  <si>
    <t xml:space="preserve">(assumptions - change them and every status below updates)</t>
  </si>
  <si>
    <t xml:space="preserve">SIMULATED DATA. Baselines (blue) come from the ML module; everything else is a formula over the Readings sheet (live phase only).</t>
  </si>
  <si>
    <t xml:space="preserve">Designed category</t>
  </si>
  <si>
    <t xml:space="preserve">Heel baseline mean</t>
  </si>
  <si>
    <t xml:space="preserve">Heel baseline SD</t>
  </si>
  <si>
    <t xml:space="preserve">Midfoot baseline mean</t>
  </si>
  <si>
    <t xml:space="preserve">Midfoot baseline SD</t>
  </si>
  <si>
    <t xml:space="preserve">Toe baseline mean</t>
  </si>
  <si>
    <t xml:space="preserve">Toe baseline SD</t>
  </si>
  <si>
    <t xml:space="preserve">Temp baseline mean (°C)</t>
  </si>
  <si>
    <t xml:space="preserve">Temp baseline SD (°C)</t>
  </si>
  <si>
    <t xml:space="preserve">Live readings</t>
  </si>
  <si>
    <t xml:space="preserve">Normal</t>
  </si>
  <si>
    <t xml:space="preserve">Caution</t>
  </si>
  <si>
    <t xml:space="preserve">Alert</t>
  </si>
  <si>
    <t xml:space="preserve">% flagged</t>
  </si>
  <si>
    <t xml:space="preserve">Pressure-elevated readings</t>
  </si>
  <si>
    <t xml:space="preserve">Temp-elevated readings</t>
  </si>
  <si>
    <t xml:space="preserve">Pressure status</t>
  </si>
  <si>
    <t xml:space="preserve">Temperature status</t>
  </si>
  <si>
    <t xml:space="preserve">Detected category</t>
  </si>
  <si>
    <t xml:space="preserve">Matches design?</t>
  </si>
  <si>
    <t xml:space="preserve">Plain-language summary</t>
  </si>
  <si>
    <t xml:space="preserve">Stable all shift, stays within own normal</t>
  </si>
  <si>
    <t xml:space="preserve">No signs</t>
  </si>
  <si>
    <t xml:space="preserve">Heel pressure rises after long standing; temperature normal</t>
  </si>
  <si>
    <t xml:space="preserve">Pressure only</t>
  </si>
  <si>
    <t xml:space="preserve">Foot temperature rises in short hot-spot episodes; pressure normal</t>
  </si>
  <si>
    <t xml:space="preserve">Temperature only</t>
  </si>
  <si>
    <t xml:space="preserve">Pressure and temperature both rise, repeatedly</t>
  </si>
  <si>
    <t xml:space="preserve">Both</t>
  </si>
  <si>
    <t xml:space="preserve">High readings by other nurses' standards, but normal and stable for this nurse</t>
  </si>
  <si>
    <t xml:space="preserve">Toe (forefoot) pressure rises, mostly while standing; temperature normal</t>
  </si>
  <si>
    <t xml:space="preserve">Long standing stretches with pressure and temperature rising together</t>
  </si>
  <si>
    <t xml:space="preserve">Foot temperature drifts upward through the second half of the shift; pressure normal</t>
  </si>
  <si>
    <t xml:space="preserve">Mild rise in both pressure and temperature</t>
  </si>
  <si>
    <t xml:space="preserve">Cohort overview</t>
  </si>
  <si>
    <t xml:space="preserve">Nurses in cohort</t>
  </si>
  <si>
    <t xml:space="preserve">Both pressure and temperature</t>
  </si>
  <si>
    <t xml:space="preserve">Detected category matches design</t>
  </si>
  <si>
    <t xml:space="preserve">Total caution readings</t>
  </si>
  <si>
    <t xml:space="preserve">Total alert readings</t>
  </si>
  <si>
    <t xml:space="preserve">Timestamp</t>
  </si>
  <si>
    <t xml:space="preserve">Phase</t>
  </si>
  <si>
    <t xml:space="preserve">Temperature (°C)</t>
  </si>
  <si>
    <t xml:space="preserve">Motion state</t>
  </si>
  <si>
    <t xml:space="preserve">Heel deviation (SD)</t>
  </si>
  <si>
    <t xml:space="preserve">Midfoot deviation (SD)</t>
  </si>
  <si>
    <t xml:space="preserve">Toe deviation (SD)</t>
  </si>
  <si>
    <t xml:space="preserve">Temp deviation (SD)</t>
  </si>
  <si>
    <t xml:space="preserve">Max pressure deviation (SD)</t>
  </si>
  <si>
    <t xml:space="preserve">Risk level (ML module)</t>
  </si>
  <si>
    <t xml:space="preserve">Reason (ML module)</t>
  </si>
  <si>
    <t xml:space="preserve">Lookup key</t>
  </si>
  <si>
    <t xml:space="preserve">Calibration</t>
  </si>
  <si>
    <t xml:space="preserve">sitting</t>
  </si>
  <si>
    <t xml:space="preserve">normal</t>
  </si>
  <si>
    <t xml:space="preserve">standing</t>
  </si>
  <si>
    <t xml:space="preserve">walking</t>
  </si>
  <si>
    <t xml:space="preserve">Live</t>
  </si>
  <si>
    <t xml:space="preserve">caution</t>
  </si>
  <si>
    <t xml:space="preserve">heel pressure 4.0 SD above personal baseline</t>
  </si>
  <si>
    <t xml:space="preserve">heel pressure 3.3 SD above personal baseline</t>
  </si>
  <si>
    <t xml:space="preserve">heel pressure 2.6 SD above personal baseline</t>
  </si>
  <si>
    <t xml:space="preserve">heel pressure 2.4 SD above personal baseline</t>
  </si>
  <si>
    <t xml:space="preserve">heel pressure 3.8 SD above personal baseline</t>
  </si>
  <si>
    <t xml:space="preserve">heel pressure 5.1 SD above personal baseline</t>
  </si>
  <si>
    <t xml:space="preserve">heel pressure 4.8 SD above personal baseline</t>
  </si>
  <si>
    <t xml:space="preserve">heel pressure 5.0 SD above personal baseline</t>
  </si>
  <si>
    <t xml:space="preserve">heel pressure 5.2 SD above personal baseline</t>
  </si>
  <si>
    <t xml:space="preserve">heel pressure 2.9 SD above personal baseline</t>
  </si>
  <si>
    <t xml:space="preserve">alert</t>
  </si>
  <si>
    <t xml:space="preserve">heel pressure 5.0 SD above personal baseline; standing for ~5 min</t>
  </si>
  <si>
    <t xml:space="preserve">heel pressure 4.8 SD above personal baseline; standing for ~6 min</t>
  </si>
  <si>
    <t xml:space="preserve">heel pressure 3.7 SD above personal baseline; standing for ~6 min</t>
  </si>
  <si>
    <t xml:space="preserve">heel pressure 2.5 SD above personal baseline; standing for ~6 min</t>
  </si>
  <si>
    <t xml:space="preserve">heel pressure 2.4 SD above personal baseline; standing for ~7 min</t>
  </si>
  <si>
    <t xml:space="preserve">heel pressure 3.1 SD above personal baseline</t>
  </si>
  <si>
    <t xml:space="preserve">heel pressure 2.8 SD above personal baseline</t>
  </si>
  <si>
    <t xml:space="preserve">foot temperature 2.7 SD above personal baseline</t>
  </si>
  <si>
    <t xml:space="preserve">foot temperature 3.6 SD above personal baseline</t>
  </si>
  <si>
    <t xml:space="preserve">foot temperature 5.0 SD above personal baseline</t>
  </si>
  <si>
    <t xml:space="preserve">foot temperature 4.7 SD above personal baseline</t>
  </si>
  <si>
    <t xml:space="preserve">foot temperature 6.1 SD above personal baseline</t>
  </si>
  <si>
    <t xml:space="preserve">foot temperature 5.4 SD above personal baseline</t>
  </si>
  <si>
    <t xml:space="preserve">foot temperature 3.4 SD above personal baseline</t>
  </si>
  <si>
    <t xml:space="preserve">foot temperature 3.8 SD above personal baseline</t>
  </si>
  <si>
    <t xml:space="preserve">foot temperature 2.6 SD above personal baseline</t>
  </si>
  <si>
    <t xml:space="preserve">foot temperature 4.1 SD above personal baseline</t>
  </si>
  <si>
    <t xml:space="preserve">foot temperature 4.0 SD above personal baseline</t>
  </si>
  <si>
    <t xml:space="preserve">foot temperature 5.4 SD above personal baseline; toe pressure 4.9 SD above personal baseline; heel pressure 2.7 SD above personal baseline</t>
  </si>
  <si>
    <t xml:space="preserve">heel pressure 3.5 SD above personal baseline; toe pressure 2.7 SD above personal baseline; foot temperature 2.6 SD above personal baseline</t>
  </si>
  <si>
    <t xml:space="preserve">foot temperature 5.5 SD above personal baseline; heel pressure 3.5 SD above personal baseline; toe pressure 3.3 SD above personal baseline</t>
  </si>
  <si>
    <t xml:space="preserve">foot temperature 4.8 SD above personal baseline; toe pressure 4.8 SD above personal baseline; heel pressure 2.6 SD above personal baseline</t>
  </si>
  <si>
    <t xml:space="preserve">toe pressure 4.6 SD above personal baseline; foot temperature 4.0 SD above personal baseline; heel pressure 3.6 SD above personal baseline</t>
  </si>
  <si>
    <t xml:space="preserve">foot temperature 3.3 SD above personal baseline; heel pressure 2.7 SD above personal baseline</t>
  </si>
  <si>
    <t xml:space="preserve">heel pressure 5.7 SD above personal baseline; foot temperature 3.6 SD above personal baseline; toe pressure 2.8 SD above personal baseline</t>
  </si>
  <si>
    <t xml:space="preserve">toe pressure 4.1 SD above personal baseline; foot temperature 3.6 SD above personal baseline; heel pressure 3.3 SD above personal baseline</t>
  </si>
  <si>
    <t xml:space="preserve">foot temperature 4.1 SD above personal baseline; heel pressure 3.7 SD above personal baseline; toe pressure 2.4 SD above personal baseline</t>
  </si>
  <si>
    <t xml:space="preserve">foot temperature 6.4 SD above personal baseline; toe pressure 5.6 SD above personal baseline; heel pressure 3.8 SD above personal baseline</t>
  </si>
  <si>
    <t xml:space="preserve">heel pressure 5.7 SD above personal baseline; toe pressure 5.3 SD above personal baseline; foot temperature 3.3 SD above personal baseline</t>
  </si>
  <si>
    <t xml:space="preserve">foot temperature 5.7 SD above personal baseline; heel pressure 4.5 SD above personal baseline; toe pressure 4.2 SD above personal baseline</t>
  </si>
  <si>
    <t xml:space="preserve">foot temperature 6.7 SD above personal baseline; toe pressure 5.1 SD above personal baseline; heel pressure 3.2 SD above personal baseline</t>
  </si>
  <si>
    <t xml:space="preserve">foot temperature 6.4 SD above personal baseline; heel pressure 4.2 SD above personal baseline; toe pressure 3.3 SD above personal baseline</t>
  </si>
  <si>
    <t xml:space="preserve">foot temperature 5.9 SD above personal baseline; heel pressure 5.0 SD above personal baseline; toe pressure 3.1 SD above personal baseline</t>
  </si>
  <si>
    <t xml:space="preserve">foot temperature 5.4 SD above personal baseline; heel pressure 5.2 SD above personal baseline; toe pressure 3.1 SD above personal baseline; standing for ~5 min</t>
  </si>
  <si>
    <t xml:space="preserve">foot temperature 4.3 SD above personal baseline; toe pressure 3.4 SD above personal baseline</t>
  </si>
  <si>
    <t xml:space="preserve">heel pressure 4.2 SD above personal baseline; toe pressure 3.3 SD above personal baseline</t>
  </si>
  <si>
    <t xml:space="preserve">heel pressure 3.7 SD above personal baseline</t>
  </si>
  <si>
    <t xml:space="preserve">heel pressure 4.4 SD above personal baseline; foot temperature 4.0 SD above personal baseline</t>
  </si>
  <si>
    <t xml:space="preserve">foot temperature 2.6 SD above personal baseline; heel pressure 2.3 SD above personal baseline</t>
  </si>
  <si>
    <t xml:space="preserve">heel pressure 2.6 SD above personal baseline; foot temperature 2.6 SD above personal baseline</t>
  </si>
  <si>
    <t xml:space="preserve">toe pressure 3.7 SD above personal baseline; foot temperature 3.1 SD above personal baseline; heel pressure 2.2 SD above personal baseline</t>
  </si>
  <si>
    <t xml:space="preserve">toe pressure 3.6 SD above personal baseline</t>
  </si>
  <si>
    <t xml:space="preserve">toe pressure 4.6 SD above personal baseline</t>
  </si>
  <si>
    <t xml:space="preserve">toe pressure 2.3 SD above personal baseline</t>
  </si>
  <si>
    <t xml:space="preserve">toe pressure 3.3 SD above personal baseline</t>
  </si>
  <si>
    <t xml:space="preserve">toe pressure 2.8 SD above personal baseline</t>
  </si>
  <si>
    <t xml:space="preserve">toe pressure 2.1 SD above personal baseline</t>
  </si>
  <si>
    <t xml:space="preserve">toe pressure 3.1 SD above personal baseline</t>
  </si>
  <si>
    <t xml:space="preserve">toe pressure 4.8 SD above personal baseline</t>
  </si>
  <si>
    <t xml:space="preserve">toe pressure 5.1 SD above personal baseline</t>
  </si>
  <si>
    <t xml:space="preserve">toe pressure 5.0 SD above personal baseline; standing for ~5 min</t>
  </si>
  <si>
    <t xml:space="preserve">toe pressure 4.2 SD above personal baseline; standing for ~6 min</t>
  </si>
  <si>
    <t xml:space="preserve">toe pressure 5.0 SD above personal baseline; standing for ~6 min</t>
  </si>
  <si>
    <t xml:space="preserve">toe pressure 2.7 SD above personal baseline; standing for ~6 min</t>
  </si>
  <si>
    <t xml:space="preserve">toe pressure 3.0 SD above personal baseline; standing for ~7 min</t>
  </si>
  <si>
    <t xml:space="preserve">toe pressure 4.2 SD above personal baseline</t>
  </si>
  <si>
    <t xml:space="preserve">toe pressure 2.8 SD above personal baseline; foot temperature 2.7 SD above personal baseline; heel pressure 2.0 SD above personal baseline</t>
  </si>
  <si>
    <t xml:space="preserve">toe pressure 3.5 SD above personal baseline; foot temperature 3.5 SD above personal baseline; heel pressure 2.1 SD above personal baseline</t>
  </si>
  <si>
    <t xml:space="preserve">foot temperature 3.7 SD above personal baseline; heel pressure 3.3 SD above personal baseline</t>
  </si>
  <si>
    <t xml:space="preserve">heel pressure 4.8 SD above personal baseline; toe pressure 4.5 SD above personal baseline</t>
  </si>
  <si>
    <t xml:space="preserve">heel pressure 3.8 SD above personal baseline; toe pressure 3.2 SD above personal baseline; foot temperature 2.4 SD above personal baseline</t>
  </si>
  <si>
    <t xml:space="preserve">foot temperature 3.2 SD above personal baseline; toe pressure 2.3 SD above personal baseline; heel pressure 2.2 SD above personal baseline</t>
  </si>
  <si>
    <t xml:space="preserve">toe pressure 4.3 SD above personal baseline; foot temperature 4.0 SD above personal baseline; heel pressure 2.0 SD above personal baseline</t>
  </si>
  <si>
    <t xml:space="preserve">toe pressure 4.4 SD above personal baseline; heel pressure 3.8 SD above personal baseline; foot temperature 3.7 SD above personal baseline</t>
  </si>
  <si>
    <t xml:space="preserve">toe pressure 3.2 SD above personal baseline; foot temperature 2.0 SD above personal baseline; standing for ~5 min</t>
  </si>
  <si>
    <t xml:space="preserve">foot temperature 5.1 SD above personal baseline; heel pressure 3.6 SD above personal baseline; toe pressure 2.9 SD above personal baseline</t>
  </si>
  <si>
    <t xml:space="preserve">heel pressure 6.2 SD above personal baseline; toe pressure 4.4 SD above personal baseline; foot temperature 3.3 SD above personal baseline</t>
  </si>
  <si>
    <t xml:space="preserve">foot temperature 4.0 SD above personal baseline; heel pressure 3.6 SD above personal baseline; toe pressure 3.5 SD above personal baseline</t>
  </si>
  <si>
    <t xml:space="preserve">foot temperature 6.0 SD above personal baseline; toe pressure 5.0 SD above personal baseline; heel pressure 3.4 SD above personal baseline</t>
  </si>
  <si>
    <t xml:space="preserve">heel pressure 4.6 SD above personal baseline; foot temperature 3.2 SD above personal baseline; toe pressure 2.3 SD above personal baseline</t>
  </si>
  <si>
    <t xml:space="preserve">toe pressure 5.6 SD above personal baseline; heel pressure 4.2 SD above personal baseline; foot temperature 3.0 SD above personal baseline</t>
  </si>
  <si>
    <t xml:space="preserve">toe pressure 5.6 SD above personal baseline; foot temperature 4.7 SD above personal baseline; heel pressure 3.0 SD above personal baseline</t>
  </si>
  <si>
    <t xml:space="preserve">toe pressure 5.1 SD above personal baseline; heel pressure 4.8 SD above personal baseline; foot temperature 4.5 SD above personal baseline</t>
  </si>
  <si>
    <t xml:space="preserve">foot temperature 5.8 SD above personal baseline; heel pressure 4.5 SD above personal baseline; toe pressure 2.5 SD above personal baseline</t>
  </si>
  <si>
    <t xml:space="preserve">foot temperature 5.6 SD above personal baseline; heel pressure 5.6 SD above personal baseline; toe pressure 2.1 SD above personal baseline; standing for ~5 min</t>
  </si>
  <si>
    <t xml:space="preserve">toe pressure 5.0 SD above personal baseline; foot temperature 5.0 SD above personal baseline; heel pressure 3.1 SD above personal baseline; standing for ~6 min</t>
  </si>
  <si>
    <t xml:space="preserve">heel pressure 6.2 SD above personal baseline; foot temperature 5.1 SD above personal baseline; toe pressure 2.8 SD above personal baseline; standing for ~6 min</t>
  </si>
  <si>
    <t xml:space="preserve">heel pressure 5.1 SD above personal baseline; toe pressure 4.2 SD above personal baseline; foot temperature 3.8 SD above personal baseline; standing for ~6 min</t>
  </si>
  <si>
    <t xml:space="preserve">heel pressure 4.8 SD above personal baseline; toe pressure 4.4 SD above personal baseline; foot temperature 4.0 SD above personal baseline; standing for ~7 min</t>
  </si>
  <si>
    <t xml:space="preserve">heel pressure 4.5 SD above personal baseline; foot temperature 3.3 SD above personal baseline; toe pressure 3.3 SD above personal baseline</t>
  </si>
  <si>
    <t xml:space="preserve">heel pressure 5.9 SD above personal baseline; foot temperature 4.2 SD above personal baseline</t>
  </si>
  <si>
    <t xml:space="preserve">foot temperature 3.7 SD above personal baseline; heel pressure 3.1 SD above personal baseline; toe pressure 2.3 SD above personal baseline</t>
  </si>
  <si>
    <t xml:space="preserve">heel pressure 5.5 SD above personal baseline; toe pressure 4.6 SD above personal baseline; foot temperature 4.0 SD above personal baseline</t>
  </si>
  <si>
    <t xml:space="preserve">toe pressure 4.5 SD above personal baseline; heel pressure 3.8 SD above personal baseline; foot temperature 3.0 SD above personal baseline</t>
  </si>
  <si>
    <t xml:space="preserve">toe pressure 5.2 SD above personal baseline; foot temperature 5.1 SD above personal baseline; heel pressure 4.8 SD above personal baseline</t>
  </si>
  <si>
    <t xml:space="preserve">foot temperature 4.0 SD above personal baseline; heel pressure 3.7 SD above personal baseline; toe pressure 2.9 SD above personal baseline</t>
  </si>
  <si>
    <t xml:space="preserve">foot temperature 5.0 SD above personal baseline; heel pressure 2.6 SD above personal baseline</t>
  </si>
  <si>
    <t xml:space="preserve">toe pressure 5.4 SD above personal baseline; heel pressure 4.9 SD above personal baseline; foot temperature 3.3 SD above personal baseline</t>
  </si>
  <si>
    <t xml:space="preserve">foot temperature 4.8 SD above personal baseline; toe pressure 3.4 SD above personal baseline; heel pressure 3.0 SD above personal baseline; standing for ~5 min</t>
  </si>
  <si>
    <t xml:space="preserve">foot temperature 5.1 SD above personal baseline; heel pressure 5.1 SD above personal baseline; toe pressure 4.4 SD above personal baseline; standing for ~6 min</t>
  </si>
  <si>
    <t xml:space="preserve">foot temperature 3.3 SD above personal baseline; toe pressure 3.1 SD above personal baseline; heel pressure 2.7 SD above personal baseline; standing for ~6 min</t>
  </si>
  <si>
    <t xml:space="preserve">toe pressure 2.0 SD above personal baseline</t>
  </si>
  <si>
    <t xml:space="preserve">heel pressure 6.4 SD above personal baseline; toe pressure 4.4 SD above personal baseline; foot temperature 3.7 SD above personal baseline</t>
  </si>
  <si>
    <t xml:space="preserve">toe pressure 5.3 SD above personal baseline; foot temperature 4.7 SD above personal baseline; heel pressure 3.6 SD above personal baseline</t>
  </si>
  <si>
    <t xml:space="preserve">toe pressure 6.1 SD above personal baseline; foot temperature 4.3 SD above personal baseline; heel pressure 4.3 SD above personal baseline</t>
  </si>
  <si>
    <t xml:space="preserve">foot temperature 6.3 SD above personal baseline; heel pressure 6.2 SD above personal baseline; toe pressure 4.5 SD above personal baseline</t>
  </si>
  <si>
    <t xml:space="preserve">toe pressure 6.1 SD above personal baseline; heel pressure 5.5 SD above personal baseline; foot temperature 3.8 SD above personal baseline</t>
  </si>
  <si>
    <t xml:space="preserve">foot temperature 5.0 SD above personal baseline; heel pressure 4.3 SD above personal baseline; toe pressure 3.2 SD above personal baseline</t>
  </si>
  <si>
    <t xml:space="preserve">foot temperature 5.6 SD above personal baseline; heel pressure 4.2 SD above personal baseline; toe pressure 4.0 SD above personal baseline; standing for ~5 min</t>
  </si>
  <si>
    <t xml:space="preserve">toe pressure 5.5 SD above personal baseline; foot temperature 4.7 SD above personal baseline; heel pressure 4.2 SD above personal baseline; standing for ~6 min</t>
  </si>
  <si>
    <t xml:space="preserve">heel pressure 5.9 SD above personal baseline; toe pressure 4.5 SD above personal baseline; foot temperature 3.3 SD above personal baseline; standing for ~6 min</t>
  </si>
  <si>
    <t xml:space="preserve">foot temperature 5.1 SD above personal baseline; heel pressure 3.7 SD above personal baseline; toe pressure 3.7 SD above personal baseline; standing for ~6 min</t>
  </si>
  <si>
    <t xml:space="preserve">foot temperature 2.3 SD above personal baseline</t>
  </si>
  <si>
    <t xml:space="preserve">foot temperature 2.5 SD above personal baseline</t>
  </si>
  <si>
    <t xml:space="preserve">foot temperature 2.8 SD above personal baseline</t>
  </si>
  <si>
    <t xml:space="preserve">foot temperature 2.2 SD above personal baseline</t>
  </si>
  <si>
    <t xml:space="preserve">foot temperature 3.1 SD above personal baseline</t>
  </si>
  <si>
    <t xml:space="preserve">foot temperature 3.3 SD above personal baseline</t>
  </si>
  <si>
    <t xml:space="preserve">foot temperature 4.4 SD above personal baseline</t>
  </si>
  <si>
    <t xml:space="preserve">foot temperature 3.0 SD above personal baseline</t>
  </si>
  <si>
    <t xml:space="preserve">foot temperature 4.6 SD above personal baseline</t>
  </si>
  <si>
    <t xml:space="preserve">foot temperature 3.9 SD above personal baseline</t>
  </si>
  <si>
    <t xml:space="preserve">foot temperature 4.9 SD above personal baseline</t>
  </si>
  <si>
    <t xml:space="preserve">foot temperature 3.5 SD above personal baseline</t>
  </si>
  <si>
    <t xml:space="preserve">foot temperature 5.1 SD above personal baseline</t>
  </si>
  <si>
    <t xml:space="preserve">foot temperature 4.3 SD above personal baseline</t>
  </si>
  <si>
    <t xml:space="preserve">foot temperature 5.6 SD above personal baseline</t>
  </si>
  <si>
    <t xml:space="preserve">foot temperature 5.2 SD above personal baseline</t>
  </si>
  <si>
    <t xml:space="preserve">foot temperature 5.7 SD above personal baseline</t>
  </si>
  <si>
    <t xml:space="preserve">heel pressure 3.5 SD above personal baseline; foot temperature 2.4 SD above personal baseline</t>
  </si>
  <si>
    <t xml:space="preserve">toe pressure 2.6 SD above personal baseline; heel pressure 2.2 SD above personal baseline</t>
  </si>
  <si>
    <t xml:space="preserve">heel pressure 4.0 SD above personal baseline; foot temperature 2.4 SD above personal baseline</t>
  </si>
  <si>
    <t xml:space="preserve">heel pressure 3.1 SD above personal baseline; foot temperature 2.7 SD above personal baseline; toe pressure 2.4 SD above personal baseline</t>
  </si>
  <si>
    <t xml:space="preserve">heel pressure 2.2 SD above personal baseline</t>
  </si>
  <si>
    <t xml:space="preserve">heel pressure 3.4 SD above personal baseline; toe pressure 2.3 SD above personal baseline</t>
  </si>
  <si>
    <t xml:space="preserve">heel pressure 3.5 SD above personal baseline; foot temperature 3.3 SD above personal baseline; toe pressure 2.2 SD above personal baseline</t>
  </si>
  <si>
    <t xml:space="preserve">foot temperature 3.6 SD above personal baseline; heel pressure 3.3 SD above personal baseline</t>
  </si>
  <si>
    <t xml:space="preserve">foot temperature 3.3 SD above personal baseline; heel pressure 3.1 SD above personal baseline</t>
  </si>
  <si>
    <t xml:space="preserve">heel pressure 3.4 SD above personal baseline; foot temperature 2.4 SD above personal baseline</t>
  </si>
  <si>
    <t xml:space="preserve">heel pressure 2.7 SD above personal baseline; foot temperature 2.6 SD above personal baseline</t>
  </si>
  <si>
    <t xml:space="preserve">foot temperature 3.9 SD above personal baseline; toe pressure 3.2 SD above personal baseline; heel pressure 2.2 SD above personal baseline</t>
  </si>
  <si>
    <t xml:space="preserve">heel pressure 3.3 SD above personal baseline; toe pressure 2.8 SD above personal baseline</t>
  </si>
  <si>
    <t xml:space="preserve">foot temperature 3.9 SD above personal baseline; toe pressure 3.6 SD above personal baseline</t>
  </si>
  <si>
    <t xml:space="preserve">foot temperature 2.6 SD above personal baseline; heel pressure 2.2 SD above personal baseline</t>
  </si>
  <si>
    <t xml:space="preserve">toe pressure 2.6 SD above personal baseline; foot temperature 2.2 SD above personal baseline</t>
  </si>
  <si>
    <t xml:space="preserve">toe pressure 3.2 SD above personal baseline</t>
  </si>
  <si>
    <t xml:space="preserve">Clinical Reference - why this helps a nurse with diabetes</t>
  </si>
  <si>
    <t xml:space="preserve">Facts below are paraphrased from the sources listed at the bottom. Check each source before quoting it in the report, and add the full citation in IEEE style.</t>
  </si>
  <si>
    <t xml:space="preserve">1. Why monitoring pressure and temperature helps</t>
  </si>
  <si>
    <t xml:space="preserve">#</t>
  </si>
  <si>
    <t xml:space="preserve">Key point</t>
  </si>
  <si>
    <t xml:space="preserve">Source (see list below)</t>
  </si>
  <si>
    <t xml:space="preserve">Diabetes-related nerve damage (neuropathy) can remove the feeling of pain, so repeated pressure or heat damage can go unnoticed. It is also linked with abnormally high pressure under the foot.</t>
  </si>
  <si>
    <t xml:space="preserve">[A]</t>
  </si>
  <si>
    <t xml:space="preserve">In people with diabetic neuropathy, foot ulcers occur at sites of high pressure. High pressure alone, without neuropathy, does not appear to cause ulcers, so SoleGuard is aimed at nurses WITH diabetes.</t>
  </si>
  <si>
    <t xml:space="preserve">[B]</t>
  </si>
  <si>
    <t xml:space="preserve">In a study of 63 patients with neuropathy, the relative risk of ulcer was 4.7 at an area of high pressure, 11.0 under callus, and 56.8 at a site of previous ulcer.</t>
  </si>
  <si>
    <t xml:space="preserve">[C]</t>
  </si>
  <si>
    <t xml:space="preserve">Skin temperature rises at a site before an ulcer forms, because of inflammation. Home-monitoring trials treat a difference of more than 2.2 °C (4 °F) between the same spot on the two feet, on two days in a row, as the warning sign.</t>
  </si>
  <si>
    <t xml:space="preserve">[D][E]</t>
  </si>
  <si>
    <t xml:space="preserve">A 2022 meta-analysis of 5 randomised trials (772 participants) found daily home foot-temperature monitoring cut the risk of a diabetic foot ulcer (relative risk 0.51, 95% CI 0.31 to 0.84), with low certainty.</t>
  </si>
  <si>
    <t xml:space="preserve">[D]</t>
  </si>
  <si>
    <t xml:space="preserve">An earlier meta-analysis of trials reported ulcers in 7.9% of monitored patients versus 22.6% on standard care.</t>
  </si>
  <si>
    <t xml:space="preserve">[E]</t>
  </si>
  <si>
    <t xml:space="preserve">Reviews report that up to about 85% of diabetes-related lower-limb amputations follow a foot ulcer, so preventing the ulcer is the goal.</t>
  </si>
  <si>
    <t xml:space="preserve">Why nurses: long shifts on their feet add repeated load. Add your synopsis literature-survey references on nurses' occupational foot health here.</t>
  </si>
  <si>
    <t xml:space="preserve">[your synopsis]</t>
  </si>
  <si>
    <t xml:space="preserve">2. What can happen if the readings are ignored (add photo evidence in the Photo column)</t>
  </si>
  <si>
    <t xml:space="preserve">Stage</t>
  </si>
  <si>
    <t xml:space="preserve">What happens</t>
  </si>
  <si>
    <t xml:space="preserve">What it can look like</t>
  </si>
  <si>
    <t xml:space="preserve">SoleGuard warning signal</t>
  </si>
  <si>
    <t xml:space="preserve">Photo (insert image here)</t>
  </si>
  <si>
    <t xml:space="preserve">Photo source, licence and link</t>
  </si>
  <si>
    <t xml:space="preserve">1. Repeated high pressure or friction</t>
  </si>
  <si>
    <t xml:space="preserve">Tissue is loaded again and again. With reduced sensation the nurse feels no pain, so the nurse does not change behaviour.</t>
  </si>
  <si>
    <t xml:space="preserve">Often looks normal, or slightly red.</t>
  </si>
  <si>
    <t xml:space="preserve">Pressure deviation, especially after long standing.</t>
  </si>
  <si>
    <t xml:space="preserve">[insert photo]</t>
  </si>
  <si>
    <t xml:space="preserve">[add source + licence + link]</t>
  </si>
  <si>
    <t xml:space="preserve">2. Hot spot (inflammation)</t>
  </si>
  <si>
    <t xml:space="preserve">The tissue under the skin becomes inflamed before the skin breaks, so the area runs warmer.</t>
  </si>
  <si>
    <t xml:space="preserve">Warm, possibly red skin (a thermal image shows it best).</t>
  </si>
  <si>
    <t xml:space="preserve">Temperature deviation above own baseline.</t>
  </si>
  <si>
    <t xml:space="preserve">3. Callus</t>
  </si>
  <si>
    <t xml:space="preserve">The skin thickens where pressure repeats. Ulcers are far more likely under callus.</t>
  </si>
  <si>
    <t xml:space="preserve">Hard, thick, yellowish skin, usually at the heel or ball of the foot.</t>
  </si>
  <si>
    <t xml:space="preserve">Pressure deviation recurring in the same zone.</t>
  </si>
  <si>
    <t xml:space="preserve">4. Blister or bleeding under callus</t>
  </si>
  <si>
    <t xml:space="preserve">Pressure damages the tissue under the thickened skin, producing a pre-ulcer lesion.</t>
  </si>
  <si>
    <t xml:space="preserve">Blister, or a dark or blood-stained patch under callus.</t>
  </si>
  <si>
    <t xml:space="preserve">Pressure and temperature both elevated (alert).</t>
  </si>
  <si>
    <t xml:space="preserve">5. Ulcer</t>
  </si>
  <si>
    <t xml:space="preserve">The skin breaks and an open wound forms, usually at a pressure point under the foot.</t>
  </si>
  <si>
    <t xml:space="preserve">Open sore on the sole, often painless.</t>
  </si>
  <si>
    <t xml:space="preserve">Missed warnings: repeated alerts that were ignored.</t>
  </si>
  <si>
    <t xml:space="preserve">6. Infection</t>
  </si>
  <si>
    <t xml:space="preserve">Bacteria enter the wound. The infection can spread to deeper tissue and bone.</t>
  </si>
  <si>
    <t xml:space="preserve">Spreading redness, swelling, warmth, discharge, odour.</t>
  </si>
  <si>
    <t xml:space="preserve">Sustained high temperature.</t>
  </si>
  <si>
    <t xml:space="preserve">7. Amputation</t>
  </si>
  <si>
    <t xml:space="preserve">Severe infection or tissue death can mean surgery to remove part of the foot or leg.</t>
  </si>
  <si>
    <t xml:space="preserve">Tissue that is dark or dead.</t>
  </si>
  <si>
    <t xml:space="preserve">This is the outcome SoleGuard aims to prevent by acting at stages 1 to 3.</t>
  </si>
  <si>
    <t xml:space="preserve">3. Limits we should state honestly</t>
  </si>
  <si>
    <t xml:space="preserve">Home-monitoring studies compare the same spot on the left and right foot. SoleGuard compares each reading with the nurse's OWN earlier baseline from one insole. It is a related idea, not the same method, and has not been clinically validated.</t>
  </si>
  <si>
    <t xml:space="preserve">The 2022 meta-analysis rates the certainty of its evidence as low, and at least one trial reported no significant difference in ulcer recurrence.</t>
  </si>
  <si>
    <t xml:space="preserve">High pressure matters most in feet with neuropathy. SoleGuard targets nurses with diabetes, not every nurse.</t>
  </si>
  <si>
    <t xml:space="preserve">The 10 nurses in this workbook are simulated, and their names, ages and health details are fictional. The 2 and 3 SD thresholds are standard statistical conventions, not clinically tuned values.</t>
  </si>
  <si>
    <t xml:space="preserve">Photos: use open-licence or open-access images and cite them. Do not photograph real people without their written consent.</t>
  </si>
  <si>
    <t xml:space="preserve">4. Sources (verify full citations before using them in the report)</t>
  </si>
  <si>
    <t xml:space="preserve">Reviews on plantar pressure and diabetic foot ulcers: review on high plantar pressure and pressure feedback, https://e-space.mmu.ac.uk/624548/8/dmrr.3258.pdf ; Wounds UK article on the diabetic foot, https://wounds-uk.com/wp-content/uploads/2023/02/content_11507.pdf</t>
  </si>
  <si>
    <t xml:space="preserve">Clinical implications of foot pressures during normal gait, Diabetes on the Net (The Diabetic Foot Journal), https://diabetesonthenet.com/diabetic-foot-journal/clinical-implications-of-foot-pressures-during-normal-gait/</t>
  </si>
  <si>
    <t xml:space="preserve">The association between callus formation, high pressures and neuropathy in diabetic foot ulceration (PubMed 8946157), https://www.qxmd.com/r/8946157</t>
  </si>
  <si>
    <t xml:space="preserve">Golledge J, Fernando ME, Alahakoon C, Lazzarini PA, Aan de Stegge WB, van Netten JJ, Bus SA. Efficacy of at home monitoring of foot temperature for risk reduction of diabetes-related foot ulcer: a meta-analysis. Diabetes/Metabolism Research and Reviews 2022;38(6):e3549. https://researchonline.jcu.edu.au/75128/</t>
  </si>
  <si>
    <t xml:space="preserve">The Association Between Elevated Foot Skin Temperature and the Incidence of Diabetic Foot Ulcers: A Meta-Analysis. Int J Low Extrem Wounds 2021;20(2):111-118. doi:10.1177/1534734619897501. https://pubmed.ncbi.nlm.nih.gov/32106729/</t>
  </si>
  <si>
    <t xml:space="preserve">[F]</t>
  </si>
  <si>
    <t xml:space="preserve">Lavery LA et al. Diabetes Care 2007;30:14-20 (home temperature monitoring trial; summary at https://mdedge.com/content/monitoring-foot-temperature-cuts-ulceration-risk). Verify the full citation from the journal.</t>
  </si>
</sst>
</file>

<file path=xl/styles.xml><?xml version="1.0" encoding="utf-8"?>
<styleSheet xmlns="http://schemas.openxmlformats.org/spreadsheetml/2006/main">
  <numFmts count="7">
    <numFmt numFmtId="164" formatCode="General"/>
    <numFmt numFmtId="165" formatCode="0.0"/>
    <numFmt numFmtId="166" formatCode="General"/>
    <numFmt numFmtId="167" formatCode="0.0%"/>
    <numFmt numFmtId="168" formatCode="yyyy\-mm\-dd\ hh:mm"/>
    <numFmt numFmtId="169" formatCode="0.00"/>
    <numFmt numFmtId="170" formatCode="yyyy\-mm\-dd\ hh:mm:ss"/>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2"/>
      <color rgb="FFC00000"/>
      <name val="Arial"/>
      <family val="0"/>
      <charset val="1"/>
    </font>
    <font>
      <sz val="10"/>
      <name val="Arial"/>
      <family val="0"/>
      <charset val="1"/>
    </font>
    <font>
      <b val="true"/>
      <sz val="10"/>
      <name val="Arial"/>
      <family val="0"/>
      <charset val="1"/>
    </font>
    <font>
      <b val="true"/>
      <sz val="10"/>
      <color rgb="FFC00000"/>
      <name val="Arial"/>
      <family val="0"/>
      <charset val="1"/>
    </font>
    <font>
      <b val="true"/>
      <sz val="10"/>
      <color rgb="FFFFFFFF"/>
      <name val="Arial"/>
      <family val="0"/>
      <charset val="1"/>
    </font>
    <font>
      <sz val="10"/>
      <color rgb="FF0000FF"/>
      <name val="Arial"/>
      <family val="0"/>
      <charset val="1"/>
    </font>
    <font>
      <b val="true"/>
      <sz val="12"/>
      <name val="Arial"/>
      <family val="0"/>
      <charset val="1"/>
    </font>
  </fonts>
  <fills count="7">
    <fill>
      <patternFill patternType="none"/>
    </fill>
    <fill>
      <patternFill patternType="gray125"/>
    </fill>
    <fill>
      <patternFill patternType="solid">
        <fgColor rgb="FFFCE4D6"/>
        <bgColor rgb="FFF2F2F2"/>
      </patternFill>
    </fill>
    <fill>
      <patternFill patternType="solid">
        <fgColor rgb="FFD9E2F3"/>
        <bgColor rgb="FFF2F2F2"/>
      </patternFill>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7" fillId="0" borderId="1" xfId="0" applyFont="true" applyBorder="true" applyAlignment="true" applyProtection="false">
      <alignment horizontal="center" vertical="top" textRotation="0" wrapText="false" indent="0" shrinkToFit="false"/>
      <protection locked="true" hidden="false"/>
    </xf>
    <xf numFmtId="166"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2" fillId="5" borderId="0" xfId="0" applyFont="true" applyBorder="false" applyAlignment="tru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general" vertical="bottom" textRotation="0" wrapText="false" indent="0" shrinkToFit="false"/>
      <protection locked="true" hidden="false"/>
    </xf>
    <xf numFmtId="164" fontId="12" fillId="6" borderId="0" xfId="0" applyFont="true" applyBorder="true" applyAlignment="true" applyProtection="false">
      <alignment horizontal="left" vertical="top" textRotation="0" wrapText="true" indent="0" shrinkToFit="false"/>
      <protection locked="true" hidden="false"/>
    </xf>
    <xf numFmtId="166" fontId="7" fillId="6"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left" vertical="bottom" textRotation="0" wrapText="false" indent="0" shrinkToFit="false"/>
      <protection locked="true" hidden="false"/>
    </xf>
    <xf numFmtId="168" fontId="7" fillId="0" borderId="0" xfId="0" applyFont="true" applyBorder="fals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9"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9" fontId="11" fillId="0" borderId="1" xfId="0" applyFont="true" applyBorder="true" applyAlignment="true" applyProtection="false">
      <alignment horizontal="center" vertical="top" textRotation="0" wrapText="false" indent="0" shrinkToFit="false"/>
      <protection locked="true" hidden="false"/>
    </xf>
    <xf numFmtId="167" fontId="7" fillId="0" borderId="1" xfId="0" applyFont="true" applyBorder="true" applyAlignment="true" applyProtection="false">
      <alignment horizontal="center" vertical="top"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F8CBAD"/>
        </patternFill>
      </fill>
    </dxf>
    <dxf>
      <fill>
        <patternFill>
          <bgColor rgb="FFFFE699"/>
        </patternFill>
      </fill>
    </dxf>
    <dxf>
      <fill>
        <patternFill>
          <bgColor rgb="FFC6E0B4"/>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CE4D6"/>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1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57.75" hidden="false" customHeight="true" outlineLevel="0" collapsed="false">
      <c r="A5" s="5" t="s">
        <v>3</v>
      </c>
    </row>
    <row r="7" customFormat="false" ht="15" hidden="false" customHeight="true" outlineLevel="0" collapsed="false">
      <c r="A7" s="6" t="s">
        <v>4</v>
      </c>
      <c r="B7" s="7"/>
    </row>
    <row r="8" customFormat="false" ht="15" hidden="false" customHeight="true" outlineLevel="0" collapsed="false">
      <c r="A8" s="8" t="s">
        <v>5</v>
      </c>
      <c r="B8" s="9" t="s">
        <v>6</v>
      </c>
    </row>
    <row r="9" customFormat="false" ht="15" hidden="false" customHeight="true" outlineLevel="0" collapsed="false">
      <c r="A9" s="8" t="s">
        <v>7</v>
      </c>
      <c r="B9" s="9" t="s">
        <v>8</v>
      </c>
    </row>
    <row r="10" customFormat="false" ht="30" hidden="false" customHeight="true" outlineLevel="0" collapsed="false">
      <c r="A10" s="8" t="s">
        <v>9</v>
      </c>
      <c r="B10" s="9" t="s">
        <v>10</v>
      </c>
    </row>
    <row r="11" customFormat="false" ht="15" hidden="false" customHeight="true" outlineLevel="0" collapsed="false">
      <c r="A11" s="8"/>
      <c r="B11" s="9"/>
    </row>
    <row r="12" customFormat="false" ht="15" hidden="false" customHeight="true" outlineLevel="0" collapsed="false">
      <c r="A12" s="6" t="s">
        <v>11</v>
      </c>
      <c r="B12" s="7"/>
    </row>
    <row r="13" customFormat="false" ht="15" hidden="false" customHeight="true" outlineLevel="0" collapsed="false">
      <c r="A13" s="8" t="s">
        <v>12</v>
      </c>
      <c r="B13" s="9" t="s">
        <v>13</v>
      </c>
    </row>
    <row r="14" customFormat="false" ht="30" hidden="false" customHeight="true" outlineLevel="0" collapsed="false">
      <c r="A14" s="8" t="s">
        <v>14</v>
      </c>
      <c r="B14" s="9" t="s">
        <v>15</v>
      </c>
    </row>
    <row r="15" customFormat="false" ht="30" hidden="false" customHeight="true" outlineLevel="0" collapsed="false">
      <c r="A15" s="8" t="s">
        <v>16</v>
      </c>
      <c r="B15" s="9" t="s">
        <v>17</v>
      </c>
    </row>
    <row r="16" customFormat="false" ht="30" hidden="false" customHeight="true" outlineLevel="0" collapsed="false">
      <c r="A16" s="8" t="s">
        <v>18</v>
      </c>
      <c r="B16" s="9" t="s">
        <v>19</v>
      </c>
    </row>
    <row r="17" customFormat="false" ht="15" hidden="false" customHeight="true" outlineLevel="0" collapsed="false">
      <c r="A17" s="8"/>
      <c r="B17" s="9"/>
    </row>
    <row r="18" customFormat="false" ht="15" hidden="false" customHeight="true" outlineLevel="0" collapsed="false">
      <c r="A18" s="6" t="s">
        <v>20</v>
      </c>
      <c r="B18" s="7"/>
    </row>
    <row r="19" customFormat="false" ht="30" hidden="false" customHeight="true" outlineLevel="0" collapsed="false">
      <c r="A19" s="8" t="s">
        <v>21</v>
      </c>
      <c r="B19" s="9" t="s">
        <v>22</v>
      </c>
    </row>
    <row r="20" customFormat="false" ht="30" hidden="false" customHeight="true" outlineLevel="0" collapsed="false">
      <c r="A20" s="8" t="s">
        <v>23</v>
      </c>
      <c r="B20" s="9" t="s">
        <v>24</v>
      </c>
    </row>
    <row r="21" customFormat="false" ht="30" hidden="false" customHeight="true" outlineLevel="0" collapsed="false">
      <c r="A21" s="8" t="s">
        <v>25</v>
      </c>
      <c r="B21" s="9" t="s">
        <v>26</v>
      </c>
    </row>
    <row r="22" customFormat="false" ht="30" hidden="false" customHeight="true" outlineLevel="0" collapsed="false">
      <c r="A22" s="8" t="s">
        <v>27</v>
      </c>
      <c r="B22" s="9" t="s">
        <v>28</v>
      </c>
    </row>
    <row r="23" customFormat="false" ht="30" hidden="false" customHeight="true" outlineLevel="0" collapsed="false">
      <c r="A23" s="8" t="s">
        <v>29</v>
      </c>
      <c r="B23" s="9" t="s">
        <v>30</v>
      </c>
    </row>
    <row r="24" customFormat="false" ht="15" hidden="false" customHeight="true" outlineLevel="0" collapsed="false">
      <c r="A24" s="8"/>
      <c r="B24" s="9"/>
    </row>
    <row r="25" customFormat="false" ht="15" hidden="false" customHeight="true" outlineLevel="0" collapsed="false">
      <c r="A25" s="6" t="s">
        <v>31</v>
      </c>
      <c r="B25" s="7"/>
    </row>
    <row r="26" customFormat="false" ht="15" hidden="false" customHeight="true" outlineLevel="0" collapsed="false">
      <c r="A26" s="8" t="s">
        <v>32</v>
      </c>
      <c r="B26" s="9" t="s">
        <v>33</v>
      </c>
    </row>
    <row r="27" customFormat="false" ht="15" hidden="false" customHeight="true" outlineLevel="0" collapsed="false">
      <c r="A27" s="8" t="s">
        <v>34</v>
      </c>
      <c r="B27" s="9" t="s">
        <v>35</v>
      </c>
    </row>
    <row r="28" customFormat="false" ht="15" hidden="false" customHeight="true" outlineLevel="0" collapsed="false">
      <c r="A28" s="8"/>
      <c r="B28" s="9"/>
    </row>
    <row r="29" customFormat="false" ht="15" hidden="false" customHeight="true" outlineLevel="0" collapsed="false">
      <c r="A29" s="6" t="s">
        <v>36</v>
      </c>
      <c r="B29" s="7"/>
    </row>
    <row r="30" customFormat="false" ht="30" hidden="false" customHeight="true" outlineLevel="0" collapsed="false">
      <c r="A30" s="8" t="s">
        <v>37</v>
      </c>
      <c r="B30" s="9" t="s">
        <v>38</v>
      </c>
    </row>
    <row r="31" customFormat="false" ht="30" hidden="false" customHeight="true" outlineLevel="0" collapsed="false">
      <c r="A31" s="8" t="s">
        <v>39</v>
      </c>
      <c r="B31" s="9" t="s">
        <v>40</v>
      </c>
    </row>
    <row r="32" customFormat="false" ht="30" hidden="false" customHeight="true" outlineLevel="0" collapsed="false">
      <c r="A32" s="8" t="s">
        <v>41</v>
      </c>
      <c r="B32" s="9" t="s">
        <v>42</v>
      </c>
    </row>
    <row r="34" customFormat="false" ht="15" hidden="false" customHeight="true" outlineLevel="0" collapsed="false">
      <c r="A34" s="6" t="s">
        <v>43</v>
      </c>
      <c r="B34" s="7"/>
    </row>
    <row r="35" customFormat="false" ht="30" hidden="false" customHeight="true" outlineLevel="0" collapsed="false">
      <c r="A35" s="8" t="s">
        <v>44</v>
      </c>
      <c r="B35" s="9"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7"/>
    <col collapsed="false" customWidth="true" hidden="false" outlineLevel="0" max="4" min="4" style="1" width="9"/>
    <col collapsed="false" customWidth="true" hidden="false" outlineLevel="0" max="5" min="5" style="1" width="17"/>
    <col collapsed="false" customWidth="true" hidden="false" outlineLevel="0" max="8" min="6" style="1" width="11"/>
    <col collapsed="false" customWidth="true" hidden="false" outlineLevel="0" max="9" min="9" style="1" width="24"/>
    <col collapsed="false" customWidth="true" hidden="false" outlineLevel="0" max="10" min="10" style="1" width="28"/>
    <col collapsed="false" customWidth="true" hidden="false" outlineLevel="0" max="11" min="11" style="1" width="18"/>
    <col collapsed="false" customWidth="true" hidden="false" outlineLevel="0" max="14" min="12" style="1" width="12"/>
    <col collapsed="false" customWidth="true" hidden="false" outlineLevel="0" max="16" min="15" style="1" width="10"/>
    <col collapsed="false" customWidth="true" hidden="false" outlineLevel="0" max="17" min="17" style="1" width="70"/>
  </cols>
  <sheetData>
    <row r="1" customFormat="false" ht="19.5" hidden="false" customHeight="true" outlineLevel="0" collapsed="false">
      <c r="A1" s="2" t="s">
        <v>46</v>
      </c>
    </row>
    <row r="2" customFormat="false" ht="15" hidden="false" customHeight="true" outlineLevel="0" collapsed="false">
      <c r="A2" s="10" t="s">
        <v>47</v>
      </c>
    </row>
    <row r="3" customFormat="false" ht="15" hidden="false" customHeight="true" outlineLevel="0" collapsed="false">
      <c r="A3" s="3" t="s">
        <v>48</v>
      </c>
    </row>
    <row r="4" customFormat="false" ht="61.5" hidden="false" customHeight="true" outlineLevel="0" collapsed="false">
      <c r="A4" s="11" t="s">
        <v>49</v>
      </c>
      <c r="B4" s="11" t="s">
        <v>50</v>
      </c>
      <c r="C4" s="11" t="s">
        <v>51</v>
      </c>
      <c r="D4" s="11" t="s">
        <v>52</v>
      </c>
      <c r="E4" s="11" t="s">
        <v>53</v>
      </c>
      <c r="F4" s="11" t="s">
        <v>54</v>
      </c>
      <c r="G4" s="11" t="s">
        <v>55</v>
      </c>
      <c r="H4" s="11" t="s">
        <v>56</v>
      </c>
      <c r="I4" s="11" t="s">
        <v>57</v>
      </c>
      <c r="J4" s="11" t="s">
        <v>58</v>
      </c>
      <c r="K4" s="11" t="s">
        <v>59</v>
      </c>
      <c r="L4" s="11" t="s">
        <v>60</v>
      </c>
      <c r="M4" s="11" t="s">
        <v>61</v>
      </c>
      <c r="N4" s="11" t="s">
        <v>62</v>
      </c>
      <c r="O4" s="11" t="s">
        <v>63</v>
      </c>
      <c r="P4" s="11" t="s">
        <v>64</v>
      </c>
      <c r="Q4" s="11" t="s">
        <v>65</v>
      </c>
    </row>
    <row r="5" customFormat="false" ht="48" hidden="false" customHeight="true" outlineLevel="0" collapsed="false">
      <c r="A5" s="12" t="s">
        <v>66</v>
      </c>
      <c r="B5" s="13" t="s">
        <v>67</v>
      </c>
      <c r="C5" s="14" t="n">
        <v>34</v>
      </c>
      <c r="D5" s="14" t="s">
        <v>68</v>
      </c>
      <c r="E5" s="13" t="s">
        <v>69</v>
      </c>
      <c r="F5" s="14" t="n">
        <v>9</v>
      </c>
      <c r="G5" s="14" t="s">
        <v>70</v>
      </c>
      <c r="H5" s="14" t="n">
        <v>4</v>
      </c>
      <c r="I5" s="13" t="s">
        <v>71</v>
      </c>
      <c r="J5" s="13" t="s">
        <v>72</v>
      </c>
      <c r="K5" s="15" t="str">
        <f aca="false">INDEX('Cohort Summary'!$W$5:$W$14,MATCH($A5,'Cohort Summary'!$A$5:$A$14,0))</f>
        <v>No signs</v>
      </c>
      <c r="L5" s="15" t="str">
        <f aca="false">INDEX('Cohort Summary'!$Y$5:$Y$14,MATCH($A5,'Cohort Summary'!$A$5:$A$14,0))</f>
        <v>normal</v>
      </c>
      <c r="M5" s="16" t="n">
        <f aca="false">INDEX('Cohort Summary'!$S$5:$S$14,MATCH($A5,'Cohort Summary'!$A$5:$A$14,0))</f>
        <v>1.85882352941176</v>
      </c>
      <c r="N5" s="16" t="n">
        <f aca="false">INDEX('Cohort Summary'!$T$5:$T$14,MATCH($A5,'Cohort Summary'!$A$5:$A$14,0))</f>
        <v>1.92727272727273</v>
      </c>
      <c r="O5" s="17" t="n">
        <f aca="false">INDEX('Cohort Summary'!$N$5:$N$14,MATCH($A5,'Cohort Summary'!$A$5:$A$14,0))</f>
        <v>0</v>
      </c>
      <c r="P5" s="17" t="n">
        <f aca="false">INDEX('Cohort Summary'!$O$5:$O$14,MATCH($A5,'Cohort Summary'!$A$5:$A$14,0))</f>
        <v>0</v>
      </c>
      <c r="Q5" s="18" t="str">
        <f aca="false">INDEX('Cohort Summary'!$Z$5:$Z$14,MATCH($A5,'Cohort Summary'!$A$5:$A$14,0))</f>
        <v>No meaningful deviation from own baseline during the live shift.</v>
      </c>
    </row>
    <row r="6" customFormat="false" ht="48" hidden="false" customHeight="true" outlineLevel="0" collapsed="false">
      <c r="A6" s="12" t="s">
        <v>73</v>
      </c>
      <c r="B6" s="13" t="s">
        <v>74</v>
      </c>
      <c r="C6" s="14" t="n">
        <v>41</v>
      </c>
      <c r="D6" s="14" t="s">
        <v>68</v>
      </c>
      <c r="E6" s="13" t="s">
        <v>75</v>
      </c>
      <c r="F6" s="14" t="n">
        <v>15</v>
      </c>
      <c r="G6" s="14" t="s">
        <v>70</v>
      </c>
      <c r="H6" s="14" t="n">
        <v>8</v>
      </c>
      <c r="I6" s="13" t="s">
        <v>76</v>
      </c>
      <c r="J6" s="13" t="s">
        <v>77</v>
      </c>
      <c r="K6" s="15" t="str">
        <f aca="false">INDEX('Cohort Summary'!$W$5:$W$14,MATCH($A6,'Cohort Summary'!$A$5:$A$14,0))</f>
        <v>Pressure only</v>
      </c>
      <c r="L6" s="15" t="str">
        <f aca="false">INDEX('Cohort Summary'!$Y$5:$Y$14,MATCH($A6,'Cohort Summary'!$A$5:$A$14,0))</f>
        <v>alert</v>
      </c>
      <c r="M6" s="16" t="n">
        <f aca="false">INDEX('Cohort Summary'!$S$5:$S$14,MATCH($A6,'Cohort Summary'!$A$5:$A$14,0))</f>
        <v>5.21165644171779</v>
      </c>
      <c r="N6" s="16" t="n">
        <f aca="false">INDEX('Cohort Summary'!$T$5:$T$14,MATCH($A6,'Cohort Summary'!$A$5:$A$14,0))</f>
        <v>1.515625</v>
      </c>
      <c r="O6" s="17" t="n">
        <f aca="false">INDEX('Cohort Summary'!$N$5:$N$14,MATCH($A6,'Cohort Summary'!$A$5:$A$14,0))</f>
        <v>17</v>
      </c>
      <c r="P6" s="17" t="n">
        <f aca="false">INDEX('Cohort Summary'!$O$5:$O$14,MATCH($A6,'Cohort Summary'!$A$5:$A$14,0))</f>
        <v>3</v>
      </c>
      <c r="Q6" s="18" t="str">
        <f aca="false">INDEX('Cohort Summary'!$Z$5:$Z$14,MATCH($A6,'Cohort Summary'!$A$5:$A$14,0))</f>
        <v>Deviation from own baseline: pressure peaked 5.2 SD above own normal (20 elevated readings). 3 alert and 17 caution readings.</v>
      </c>
    </row>
    <row r="7" customFormat="false" ht="48" hidden="false" customHeight="true" outlineLevel="0" collapsed="false">
      <c r="A7" s="12" t="s">
        <v>78</v>
      </c>
      <c r="B7" s="13" t="s">
        <v>79</v>
      </c>
      <c r="C7" s="14" t="n">
        <v>38</v>
      </c>
      <c r="D7" s="14" t="s">
        <v>68</v>
      </c>
      <c r="E7" s="13" t="s">
        <v>80</v>
      </c>
      <c r="F7" s="14" t="n">
        <v>12</v>
      </c>
      <c r="G7" s="14" t="s">
        <v>70</v>
      </c>
      <c r="H7" s="14" t="n">
        <v>6</v>
      </c>
      <c r="I7" s="13" t="s">
        <v>71</v>
      </c>
      <c r="J7" s="13" t="s">
        <v>72</v>
      </c>
      <c r="K7" s="15" t="str">
        <f aca="false">INDEX('Cohort Summary'!$W$5:$W$14,MATCH($A7,'Cohort Summary'!$A$5:$A$14,0))</f>
        <v>Temperature only</v>
      </c>
      <c r="L7" s="15" t="str">
        <f aca="false">INDEX('Cohort Summary'!$Y$5:$Y$14,MATCH($A7,'Cohort Summary'!$A$5:$A$14,0))</f>
        <v>caution</v>
      </c>
      <c r="M7" s="16" t="n">
        <f aca="false">INDEX('Cohort Summary'!$S$5:$S$14,MATCH($A7,'Cohort Summary'!$A$5:$A$14,0))</f>
        <v>1.92057761732852</v>
      </c>
      <c r="N7" s="16" t="n">
        <f aca="false">INDEX('Cohort Summary'!$T$5:$T$14,MATCH($A7,'Cohort Summary'!$A$5:$A$14,0))</f>
        <v>6.08771929824561</v>
      </c>
      <c r="O7" s="17" t="n">
        <f aca="false">INDEX('Cohort Summary'!$N$5:$N$14,MATCH($A7,'Cohort Summary'!$A$5:$A$14,0))</f>
        <v>15</v>
      </c>
      <c r="P7" s="17" t="n">
        <f aca="false">INDEX('Cohort Summary'!$O$5:$O$14,MATCH($A7,'Cohort Summary'!$A$5:$A$14,0))</f>
        <v>0</v>
      </c>
      <c r="Q7" s="18" t="str">
        <f aca="false">INDEX('Cohort Summary'!$Z$5:$Z$14,MATCH($A7,'Cohort Summary'!$A$5:$A$14,0))</f>
        <v>Deviation from own baseline: temperature peaked 6.1 SD above own normal (15 elevated readings). 0 alert and 15 caution readings.</v>
      </c>
    </row>
    <row r="8" customFormat="false" ht="48" hidden="false" customHeight="true" outlineLevel="0" collapsed="false">
      <c r="A8" s="12" t="s">
        <v>81</v>
      </c>
      <c r="B8" s="13" t="s">
        <v>82</v>
      </c>
      <c r="C8" s="14" t="n">
        <v>49</v>
      </c>
      <c r="D8" s="14" t="s">
        <v>68</v>
      </c>
      <c r="E8" s="13" t="s">
        <v>83</v>
      </c>
      <c r="F8" s="14" t="n">
        <v>24</v>
      </c>
      <c r="G8" s="14" t="s">
        <v>70</v>
      </c>
      <c r="H8" s="14" t="n">
        <v>12</v>
      </c>
      <c r="I8" s="13" t="s">
        <v>84</v>
      </c>
      <c r="J8" s="13" t="s">
        <v>85</v>
      </c>
      <c r="K8" s="15" t="str">
        <f aca="false">INDEX('Cohort Summary'!$W$5:$W$14,MATCH($A8,'Cohort Summary'!$A$5:$A$14,0))</f>
        <v>Both</v>
      </c>
      <c r="L8" s="15" t="str">
        <f aca="false">INDEX('Cohort Summary'!$Y$5:$Y$14,MATCH($A8,'Cohort Summary'!$A$5:$A$14,0))</f>
        <v>alert</v>
      </c>
      <c r="M8" s="16" t="n">
        <f aca="false">INDEX('Cohort Summary'!$S$5:$S$14,MATCH($A8,'Cohort Summary'!$A$5:$A$14,0))</f>
        <v>5.70926517571885</v>
      </c>
      <c r="N8" s="16" t="n">
        <f aca="false">INDEX('Cohort Summary'!$T$5:$T$14,MATCH($A8,'Cohort Summary'!$A$5:$A$14,0))</f>
        <v>6.6896551724138</v>
      </c>
      <c r="O8" s="17" t="n">
        <f aca="false">INDEX('Cohort Summary'!$N$5:$N$14,MATCH($A8,'Cohort Summary'!$A$5:$A$14,0))</f>
        <v>3</v>
      </c>
      <c r="P8" s="17" t="n">
        <f aca="false">INDEX('Cohort Summary'!$O$5:$O$14,MATCH($A8,'Cohort Summary'!$A$5:$A$14,0))</f>
        <v>20</v>
      </c>
      <c r="Q8" s="18" t="str">
        <f aca="false">INDEX('Cohort Summary'!$Z$5:$Z$14,MATCH($A8,'Cohort Summary'!$A$5:$A$14,0))</f>
        <v>Deviation from own baseline: pressure peaked 5.7 SD above own normal (23 elevated readings); temperature peaked 6.7 SD above own normal (21 elevated readings). 20 alert and 3 caution readings.</v>
      </c>
    </row>
    <row r="9" customFormat="false" ht="48" hidden="false" customHeight="true" outlineLevel="0" collapsed="false">
      <c r="A9" s="12" t="s">
        <v>86</v>
      </c>
      <c r="B9" s="13" t="s">
        <v>87</v>
      </c>
      <c r="C9" s="14" t="n">
        <v>45</v>
      </c>
      <c r="D9" s="14" t="s">
        <v>88</v>
      </c>
      <c r="E9" s="13" t="s">
        <v>89</v>
      </c>
      <c r="F9" s="14" t="n">
        <v>20</v>
      </c>
      <c r="G9" s="14" t="s">
        <v>70</v>
      </c>
      <c r="H9" s="14" t="n">
        <v>7</v>
      </c>
      <c r="I9" s="13" t="s">
        <v>71</v>
      </c>
      <c r="J9" s="13" t="s">
        <v>90</v>
      </c>
      <c r="K9" s="15" t="str">
        <f aca="false">INDEX('Cohort Summary'!$W$5:$W$14,MATCH($A9,'Cohort Summary'!$A$5:$A$14,0))</f>
        <v>No signs</v>
      </c>
      <c r="L9" s="15" t="str">
        <f aca="false">INDEX('Cohort Summary'!$Y$5:$Y$14,MATCH($A9,'Cohort Summary'!$A$5:$A$14,0))</f>
        <v>normal</v>
      </c>
      <c r="M9" s="16" t="n">
        <f aca="false">INDEX('Cohort Summary'!$S$5:$S$14,MATCH($A9,'Cohort Summary'!$A$5:$A$14,0))</f>
        <v>1.72241992882562</v>
      </c>
      <c r="N9" s="16" t="n">
        <f aca="false">INDEX('Cohort Summary'!$T$5:$T$14,MATCH($A9,'Cohort Summary'!$A$5:$A$14,0))</f>
        <v>1.71428571428571</v>
      </c>
      <c r="O9" s="17" t="n">
        <f aca="false">INDEX('Cohort Summary'!$N$5:$N$14,MATCH($A9,'Cohort Summary'!$A$5:$A$14,0))</f>
        <v>0</v>
      </c>
      <c r="P9" s="17" t="n">
        <f aca="false">INDEX('Cohort Summary'!$O$5:$O$14,MATCH($A9,'Cohort Summary'!$A$5:$A$14,0))</f>
        <v>0</v>
      </c>
      <c r="Q9" s="18" t="str">
        <f aca="false">INDEX('Cohort Summary'!$Z$5:$Z$14,MATCH($A9,'Cohort Summary'!$A$5:$A$14,0))</f>
        <v>No meaningful deviation from own baseline during the live shift.</v>
      </c>
    </row>
    <row r="10" customFormat="false" ht="48" hidden="false" customHeight="true" outlineLevel="0" collapsed="false">
      <c r="A10" s="12" t="s">
        <v>91</v>
      </c>
      <c r="B10" s="13" t="s">
        <v>92</v>
      </c>
      <c r="C10" s="14" t="n">
        <v>36</v>
      </c>
      <c r="D10" s="14" t="s">
        <v>68</v>
      </c>
      <c r="E10" s="13" t="s">
        <v>93</v>
      </c>
      <c r="F10" s="14" t="n">
        <v>11</v>
      </c>
      <c r="G10" s="14" t="s">
        <v>94</v>
      </c>
      <c r="H10" s="14" t="n">
        <v>15</v>
      </c>
      <c r="I10" s="13" t="s">
        <v>76</v>
      </c>
      <c r="J10" s="13" t="s">
        <v>72</v>
      </c>
      <c r="K10" s="15" t="str">
        <f aca="false">INDEX('Cohort Summary'!$W$5:$W$14,MATCH($A10,'Cohort Summary'!$A$5:$A$14,0))</f>
        <v>Pressure only</v>
      </c>
      <c r="L10" s="15" t="str">
        <f aca="false">INDEX('Cohort Summary'!$Y$5:$Y$14,MATCH($A10,'Cohort Summary'!$A$5:$A$14,0))</f>
        <v>alert</v>
      </c>
      <c r="M10" s="16" t="n">
        <f aca="false">INDEX('Cohort Summary'!$S$5:$S$14,MATCH($A10,'Cohort Summary'!$A$5:$A$14,0))</f>
        <v>5.14930555555556</v>
      </c>
      <c r="N10" s="16" t="n">
        <f aca="false">INDEX('Cohort Summary'!$T$5:$T$14,MATCH($A10,'Cohort Summary'!$A$5:$A$14,0))</f>
        <v>1.87037037037037</v>
      </c>
      <c r="O10" s="17" t="n">
        <f aca="false">INDEX('Cohort Summary'!$N$5:$N$14,MATCH($A10,'Cohort Summary'!$A$5:$A$14,0))</f>
        <v>15</v>
      </c>
      <c r="P10" s="17" t="n">
        <f aca="false">INDEX('Cohort Summary'!$O$5:$O$14,MATCH($A10,'Cohort Summary'!$A$5:$A$14,0))</f>
        <v>3</v>
      </c>
      <c r="Q10" s="18" t="str">
        <f aca="false">INDEX('Cohort Summary'!$Z$5:$Z$14,MATCH($A10,'Cohort Summary'!$A$5:$A$14,0))</f>
        <v>Deviation from own baseline: pressure peaked 5.1 SD above own normal (18 elevated readings). 3 alert and 15 caution readings.</v>
      </c>
    </row>
    <row r="11" customFormat="false" ht="48" hidden="false" customHeight="true" outlineLevel="0" collapsed="false">
      <c r="A11" s="12" t="s">
        <v>95</v>
      </c>
      <c r="B11" s="13" t="s">
        <v>96</v>
      </c>
      <c r="C11" s="14" t="n">
        <v>52</v>
      </c>
      <c r="D11" s="14" t="s">
        <v>68</v>
      </c>
      <c r="E11" s="13" t="s">
        <v>80</v>
      </c>
      <c r="F11" s="14" t="n">
        <v>28</v>
      </c>
      <c r="G11" s="14" t="s">
        <v>70</v>
      </c>
      <c r="H11" s="14" t="n">
        <v>14</v>
      </c>
      <c r="I11" s="13" t="s">
        <v>84</v>
      </c>
      <c r="J11" s="13" t="s">
        <v>97</v>
      </c>
      <c r="K11" s="15" t="str">
        <f aca="false">INDEX('Cohort Summary'!$W$5:$W$14,MATCH($A11,'Cohort Summary'!$A$5:$A$14,0))</f>
        <v>Both</v>
      </c>
      <c r="L11" s="15" t="str">
        <f aca="false">INDEX('Cohort Summary'!$Y$5:$Y$14,MATCH($A11,'Cohort Summary'!$A$5:$A$14,0))</f>
        <v>alert</v>
      </c>
      <c r="M11" s="16" t="n">
        <f aca="false">INDEX('Cohort Summary'!$S$5:$S$14,MATCH($A11,'Cohort Summary'!$A$5:$A$14,0))</f>
        <v>6.40138408304498</v>
      </c>
      <c r="N11" s="16" t="n">
        <f aca="false">INDEX('Cohort Summary'!$T$5:$T$14,MATCH($A11,'Cohort Summary'!$A$5:$A$14,0))</f>
        <v>6.29508196721311</v>
      </c>
      <c r="O11" s="17" t="n">
        <f aca="false">INDEX('Cohort Summary'!$N$5:$N$14,MATCH($A11,'Cohort Summary'!$A$5:$A$14,0))</f>
        <v>3</v>
      </c>
      <c r="P11" s="17" t="n">
        <f aca="false">INDEX('Cohort Summary'!$O$5:$O$14,MATCH($A11,'Cohort Summary'!$A$5:$A$14,0))</f>
        <v>44</v>
      </c>
      <c r="Q11" s="18" t="str">
        <f aca="false">INDEX('Cohort Summary'!$Z$5:$Z$14,MATCH($A11,'Cohort Summary'!$A$5:$A$14,0))</f>
        <v>Deviation from own baseline: pressure peaked 6.4 SD above own normal (47 elevated readings); temperature peaked 6.3 SD above own normal (44 elevated readings). 44 alert and 3 caution readings.</v>
      </c>
    </row>
    <row r="12" customFormat="false" ht="48" hidden="false" customHeight="true" outlineLevel="0" collapsed="false">
      <c r="A12" s="12" t="s">
        <v>98</v>
      </c>
      <c r="B12" s="13" t="s">
        <v>99</v>
      </c>
      <c r="C12" s="14" t="n">
        <v>31</v>
      </c>
      <c r="D12" s="14" t="s">
        <v>88</v>
      </c>
      <c r="E12" s="13" t="s">
        <v>69</v>
      </c>
      <c r="F12" s="14" t="n">
        <v>6</v>
      </c>
      <c r="G12" s="14" t="s">
        <v>94</v>
      </c>
      <c r="H12" s="14" t="n">
        <v>3</v>
      </c>
      <c r="I12" s="13" t="s">
        <v>71</v>
      </c>
      <c r="J12" s="13" t="s">
        <v>72</v>
      </c>
      <c r="K12" s="15" t="str">
        <f aca="false">INDEX('Cohort Summary'!$W$5:$W$14,MATCH($A12,'Cohort Summary'!$A$5:$A$14,0))</f>
        <v>No signs</v>
      </c>
      <c r="L12" s="15" t="str">
        <f aca="false">INDEX('Cohort Summary'!$Y$5:$Y$14,MATCH($A12,'Cohort Summary'!$A$5:$A$14,0))</f>
        <v>normal</v>
      </c>
      <c r="M12" s="16" t="n">
        <f aca="false">INDEX('Cohort Summary'!$S$5:$S$14,MATCH($A12,'Cohort Summary'!$A$5:$A$14,0))</f>
        <v>1.77857142857143</v>
      </c>
      <c r="N12" s="16" t="n">
        <f aca="false">INDEX('Cohort Summary'!$T$5:$T$14,MATCH($A12,'Cohort Summary'!$A$5:$A$14,0))</f>
        <v>1.70689655172413</v>
      </c>
      <c r="O12" s="17" t="n">
        <f aca="false">INDEX('Cohort Summary'!$N$5:$N$14,MATCH($A12,'Cohort Summary'!$A$5:$A$14,0))</f>
        <v>0</v>
      </c>
      <c r="P12" s="17" t="n">
        <f aca="false">INDEX('Cohort Summary'!$O$5:$O$14,MATCH($A12,'Cohort Summary'!$A$5:$A$14,0))</f>
        <v>0</v>
      </c>
      <c r="Q12" s="18" t="str">
        <f aca="false">INDEX('Cohort Summary'!$Z$5:$Z$14,MATCH($A12,'Cohort Summary'!$A$5:$A$14,0))</f>
        <v>No meaningful deviation from own baseline during the live shift.</v>
      </c>
    </row>
    <row r="13" customFormat="false" ht="48" hidden="false" customHeight="true" outlineLevel="0" collapsed="false">
      <c r="A13" s="12" t="s">
        <v>100</v>
      </c>
      <c r="B13" s="13" t="s">
        <v>101</v>
      </c>
      <c r="C13" s="14" t="n">
        <v>47</v>
      </c>
      <c r="D13" s="14" t="s">
        <v>68</v>
      </c>
      <c r="E13" s="13" t="s">
        <v>102</v>
      </c>
      <c r="F13" s="14" t="n">
        <v>22</v>
      </c>
      <c r="G13" s="14" t="s">
        <v>70</v>
      </c>
      <c r="H13" s="14" t="n">
        <v>9</v>
      </c>
      <c r="I13" s="13" t="s">
        <v>71</v>
      </c>
      <c r="J13" s="13" t="s">
        <v>103</v>
      </c>
      <c r="K13" s="15" t="str">
        <f aca="false">INDEX('Cohort Summary'!$W$5:$W$14,MATCH($A13,'Cohort Summary'!$A$5:$A$14,0))</f>
        <v>Temperature only</v>
      </c>
      <c r="L13" s="15" t="str">
        <f aca="false">INDEX('Cohort Summary'!$Y$5:$Y$14,MATCH($A13,'Cohort Summary'!$A$5:$A$14,0))</f>
        <v>caution</v>
      </c>
      <c r="M13" s="16" t="n">
        <f aca="false">INDEX('Cohort Summary'!$S$5:$S$14,MATCH($A13,'Cohort Summary'!$A$5:$A$14,0))</f>
        <v>1.97029702970297</v>
      </c>
      <c r="N13" s="16" t="n">
        <f aca="false">INDEX('Cohort Summary'!$T$5:$T$14,MATCH($A13,'Cohort Summary'!$A$5:$A$14,0))</f>
        <v>5.77049180327869</v>
      </c>
      <c r="O13" s="17" t="n">
        <f aca="false">INDEX('Cohort Summary'!$N$5:$N$14,MATCH($A13,'Cohort Summary'!$A$5:$A$14,0))</f>
        <v>55</v>
      </c>
      <c r="P13" s="17" t="n">
        <f aca="false">INDEX('Cohort Summary'!$O$5:$O$14,MATCH($A13,'Cohort Summary'!$A$5:$A$14,0))</f>
        <v>0</v>
      </c>
      <c r="Q13" s="18" t="str">
        <f aca="false">INDEX('Cohort Summary'!$Z$5:$Z$14,MATCH($A13,'Cohort Summary'!$A$5:$A$14,0))</f>
        <v>Deviation from own baseline: temperature peaked 5.8 SD above own normal (55 elevated readings). 0 alert and 55 caution readings.</v>
      </c>
    </row>
    <row r="14" customFormat="false" ht="48" hidden="false" customHeight="true" outlineLevel="0" collapsed="false">
      <c r="A14" s="12" t="s">
        <v>104</v>
      </c>
      <c r="B14" s="13" t="s">
        <v>105</v>
      </c>
      <c r="C14" s="14" t="n">
        <v>43</v>
      </c>
      <c r="D14" s="14" t="s">
        <v>68</v>
      </c>
      <c r="E14" s="13" t="s">
        <v>75</v>
      </c>
      <c r="F14" s="14" t="n">
        <v>18</v>
      </c>
      <c r="G14" s="14" t="s">
        <v>70</v>
      </c>
      <c r="H14" s="14" t="n">
        <v>10</v>
      </c>
      <c r="I14" s="13" t="s">
        <v>76</v>
      </c>
      <c r="J14" s="13" t="s">
        <v>77</v>
      </c>
      <c r="K14" s="15" t="str">
        <f aca="false">INDEX('Cohort Summary'!$W$5:$W$14,MATCH($A14,'Cohort Summary'!$A$5:$A$14,0))</f>
        <v>Both</v>
      </c>
      <c r="L14" s="15" t="str">
        <f aca="false">INDEX('Cohort Summary'!$Y$5:$Y$14,MATCH($A14,'Cohort Summary'!$A$5:$A$14,0))</f>
        <v>alert</v>
      </c>
      <c r="M14" s="16" t="n">
        <f aca="false">INDEX('Cohort Summary'!$S$5:$S$14,MATCH($A14,'Cohort Summary'!$A$5:$A$14,0))</f>
        <v>4.04878048780488</v>
      </c>
      <c r="N14" s="16" t="n">
        <f aca="false">INDEX('Cohort Summary'!$T$5:$T$14,MATCH($A14,'Cohort Summary'!$A$5:$A$14,0))</f>
        <v>3.93220338983051</v>
      </c>
      <c r="O14" s="17" t="n">
        <f aca="false">INDEX('Cohort Summary'!$N$5:$N$14,MATCH($A14,'Cohort Summary'!$A$5:$A$14,0))</f>
        <v>7</v>
      </c>
      <c r="P14" s="17" t="n">
        <f aca="false">INDEX('Cohort Summary'!$O$5:$O$14,MATCH($A14,'Cohort Summary'!$A$5:$A$14,0))</f>
        <v>11</v>
      </c>
      <c r="Q14" s="18" t="str">
        <f aca="false">INDEX('Cohort Summary'!$Z$5:$Z$14,MATCH($A14,'Cohort Summary'!$A$5:$A$14,0))</f>
        <v>Deviation from own baseline: pressure peaked 4.0 SD above own normal (17 elevated readings); temperature peaked 3.9 SD above own normal (13 elevated readings). 11 alert and 7 caution readings.</v>
      </c>
    </row>
  </sheetData>
  <conditionalFormatting sqref="L5:L14">
    <cfRule type="expression" priority="2" aboveAverage="0" equalAverage="0" bottom="0" percent="0" rank="0" text="" dxfId="0">
      <formula>L5="alert"</formula>
    </cfRule>
    <cfRule type="expression" priority="3" aboveAverage="0" equalAverage="0" bottom="0" percent="0" rank="0" text="" dxfId="1">
      <formula>L5="caution"</formula>
    </cfRule>
    <cfRule type="expression" priority="4" aboveAverage="0" equalAverage="0" bottom="0" percent="0" rank="0" text="" dxfId="2">
      <formula>L5="normal"</formula>
    </cfRule>
  </conditionalFormatting>
  <conditionalFormatting sqref="K5:K14">
    <cfRule type="expression" priority="5" aboveAverage="0" equalAverage="0" bottom="0" percent="0" rank="0" text="" dxfId="2">
      <formula>K5="No signs"</formula>
    </cfRule>
    <cfRule type="expression" priority="6" aboveAverage="0" equalAverage="0" bottom="0" percent="0" rank="0" text="" dxfId="1">
      <formula>K5&lt;&gt;"No signs"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9" min="2" style="1" width="18"/>
  </cols>
  <sheetData>
    <row r="1" customFormat="false" ht="19.5" hidden="false" customHeight="true" outlineLevel="0" collapsed="false">
      <c r="A1" s="2" t="s">
        <v>106</v>
      </c>
    </row>
    <row r="2" customFormat="false" ht="15" hidden="false" customHeight="true" outlineLevel="0" collapsed="false">
      <c r="A2" s="10" t="s">
        <v>107</v>
      </c>
    </row>
    <row r="3" customFormat="false" ht="15" hidden="false" customHeight="true" outlineLevel="0" collapsed="false">
      <c r="A3" s="8" t="s">
        <v>108</v>
      </c>
      <c r="B3" s="19" t="s">
        <v>95</v>
      </c>
      <c r="C3" s="3" t="s">
        <v>109</v>
      </c>
    </row>
    <row r="4" customFormat="false" ht="15" hidden="false" customHeight="true" outlineLevel="0" collapsed="false">
      <c r="A4" s="20" t="s">
        <v>50</v>
      </c>
      <c r="B4" s="21" t="str">
        <f aca="false">INDEX('Nurse Profiles'!$B$5:$B$14,MATCH($B$3,'Nurse Profiles'!$A$5:$A$14,0))</f>
        <v>Lakshmi Bhat</v>
      </c>
      <c r="C4" s="21"/>
      <c r="D4" s="21"/>
      <c r="E4" s="21"/>
      <c r="F4" s="21"/>
      <c r="G4" s="21"/>
      <c r="H4" s="21"/>
      <c r="I4" s="21"/>
    </row>
    <row r="5" customFormat="false" ht="15" hidden="false" customHeight="true" outlineLevel="0" collapsed="false">
      <c r="A5" s="20" t="s">
        <v>51</v>
      </c>
      <c r="B5" s="22" t="n">
        <f aca="false">INDEX('Nurse Profiles'!$C$5:$C$14,MATCH($B$3,'Nurse Profiles'!$A$5:$A$14,0))</f>
        <v>52</v>
      </c>
      <c r="C5" s="22"/>
      <c r="D5" s="22"/>
      <c r="E5" s="22"/>
      <c r="F5" s="22"/>
      <c r="G5" s="22"/>
      <c r="H5" s="22"/>
      <c r="I5" s="22"/>
    </row>
    <row r="6" customFormat="false" ht="15" hidden="false" customHeight="true" outlineLevel="0" collapsed="false">
      <c r="A6" s="20" t="s">
        <v>52</v>
      </c>
      <c r="B6" s="22" t="str">
        <f aca="false">INDEX('Nurse Profiles'!$D$5:$D$14,MATCH($B$3,'Nurse Profiles'!$A$5:$A$14,0))</f>
        <v>Female</v>
      </c>
      <c r="C6" s="22"/>
      <c r="D6" s="22"/>
      <c r="E6" s="22"/>
      <c r="F6" s="22"/>
      <c r="G6" s="22"/>
      <c r="H6" s="22"/>
      <c r="I6" s="22"/>
    </row>
    <row r="7" customFormat="false" ht="15" hidden="false" customHeight="true" outlineLevel="0" collapsed="false">
      <c r="A7" s="20" t="s">
        <v>110</v>
      </c>
      <c r="B7" s="22" t="str">
        <f aca="false">INDEX('Nurse Profiles'!$E$5:$E$14,MATCH($B$3,'Nurse Profiles'!$A$5:$A$14,0))&amp;", "&amp;INDEX('Nurse Profiles'!$F$5:$F$14,MATCH($B$3,'Nurse Profiles'!$A$5:$A$14,0))&amp;" years in nursing"</f>
        <v>ICU, 28 years in nursing</v>
      </c>
      <c r="C7" s="22"/>
      <c r="D7" s="22"/>
      <c r="E7" s="22"/>
      <c r="F7" s="22"/>
      <c r="G7" s="22"/>
      <c r="H7" s="22"/>
      <c r="I7" s="22"/>
    </row>
    <row r="8" customFormat="false" ht="15" hidden="false" customHeight="true" outlineLevel="0" collapsed="false">
      <c r="A8" s="20" t="s">
        <v>111</v>
      </c>
      <c r="B8" s="22" t="str">
        <f aca="false">INDEX('Nurse Profiles'!$G$5:$G$14,MATCH($B$3,'Nurse Profiles'!$A$5:$A$14,0))&amp;" diabetes for "&amp;INDEX('Nurse Profiles'!$H$5:$H$14,MATCH($B$3,'Nurse Profiles'!$A$5:$A$14,0))&amp;" years"</f>
        <v>Type 2 diabetes for 14 years</v>
      </c>
      <c r="C8" s="22"/>
      <c r="D8" s="22"/>
      <c r="E8" s="22"/>
      <c r="F8" s="22"/>
      <c r="G8" s="22"/>
      <c r="H8" s="22"/>
      <c r="I8" s="22"/>
    </row>
    <row r="9" customFormat="false" ht="15" hidden="false" customHeight="true" outlineLevel="0" collapsed="false">
      <c r="A9" s="20" t="s">
        <v>112</v>
      </c>
      <c r="B9" s="22" t="str">
        <f aca="false">INDEX('Nurse Profiles'!$I$5:$I$14,MATCH($B$3,'Nurse Profiles'!$A$5:$A$14,0))</f>
        <v>Confirmed neuropathy</v>
      </c>
      <c r="C9" s="22"/>
      <c r="D9" s="22"/>
      <c r="E9" s="22"/>
      <c r="F9" s="22"/>
      <c r="G9" s="22"/>
      <c r="H9" s="22"/>
      <c r="I9" s="22"/>
    </row>
    <row r="10" customFormat="false" ht="15" hidden="false" customHeight="true" outlineLevel="0" collapsed="false">
      <c r="A10" s="20" t="s">
        <v>58</v>
      </c>
      <c r="B10" s="22" t="str">
        <f aca="false">INDEX('Nurse Profiles'!$J$5:$J$14,MATCH($B$3,'Nurse Profiles'!$A$5:$A$14,0))</f>
        <v>Hypertension, varicose veins</v>
      </c>
      <c r="C10" s="22"/>
      <c r="D10" s="22"/>
      <c r="E10" s="22"/>
      <c r="F10" s="22"/>
      <c r="G10" s="22"/>
      <c r="H10" s="22"/>
      <c r="I10" s="22"/>
    </row>
    <row r="12" customFormat="false" ht="15" hidden="false" customHeight="true" outlineLevel="0" collapsed="false">
      <c r="A12" s="8" t="s">
        <v>113</v>
      </c>
      <c r="B12" s="23" t="str">
        <f aca="false">INDEX('Cohort Summary'!$B$5:$B$14,MATCH($B$3,'Cohort Summary'!$A$5:$A$14,0))</f>
        <v>Long standing stretches with pressure and temperature rising together</v>
      </c>
      <c r="C12" s="23"/>
      <c r="D12" s="23"/>
      <c r="E12" s="23"/>
      <c r="F12" s="23"/>
      <c r="G12" s="23"/>
      <c r="H12" s="23"/>
      <c r="I12" s="23"/>
    </row>
    <row r="13" customFormat="false" ht="15" hidden="false" customHeight="true" outlineLevel="0" collapsed="false">
      <c r="A13" s="8" t="s">
        <v>114</v>
      </c>
      <c r="B13" s="24" t="str">
        <f aca="false">INDEX('Cohort Summary'!$W$5:$W$14,MATCH($B$3,'Cohort Summary'!$A$5:$A$14,0))</f>
        <v>Both</v>
      </c>
    </row>
    <row r="14" customFormat="false" ht="15" hidden="false" customHeight="true" outlineLevel="0" collapsed="false">
      <c r="A14" s="8" t="s">
        <v>115</v>
      </c>
      <c r="B14" s="24" t="str">
        <f aca="false">INDEX('Cohort Summary'!$Y$5:$Y$14,MATCH($B$3,'Cohort Summary'!$A$5:$A$14,0))</f>
        <v>alert</v>
      </c>
    </row>
    <row r="15" customFormat="false" ht="48" hidden="false" customHeight="true" outlineLevel="0" collapsed="false">
      <c r="A15" s="25" t="s">
        <v>65</v>
      </c>
      <c r="B15" s="23" t="str">
        <f aca="false">INDEX('Cohort Summary'!$Z$5:$Z$14,MATCH($B$3,'Cohort Summary'!$A$5:$A$14,0))</f>
        <v>Deviation from own baseline: pressure peaked 6.4 SD above own normal (47 elevated readings); temperature peaked 6.3 SD above own normal (44 elevated readings). 44 alert and 3 caution readings.</v>
      </c>
      <c r="C15" s="23"/>
      <c r="D15" s="23"/>
      <c r="E15" s="23"/>
      <c r="F15" s="23"/>
      <c r="G15" s="23"/>
      <c r="H15" s="23"/>
      <c r="I15" s="23"/>
    </row>
    <row r="17" customFormat="false" ht="15" hidden="false" customHeight="true" outlineLevel="0" collapsed="false">
      <c r="A17" s="8" t="s">
        <v>116</v>
      </c>
      <c r="B17" s="26" t="n">
        <f aca="false">INDEX('Cohort Summary'!$L$5:$L$14,MATCH($B$3,'Cohort Summary'!$A$5:$A$14,0))</f>
        <v>140</v>
      </c>
    </row>
    <row r="18" customFormat="false" ht="15" hidden="false" customHeight="true" outlineLevel="0" collapsed="false">
      <c r="A18" s="27" t="s">
        <v>117</v>
      </c>
      <c r="B18" s="26" t="n">
        <f aca="false">INDEX('Cohort Summary'!$M$5:$M$14,MATCH($B$3,'Cohort Summary'!$A$5:$A$14,0))</f>
        <v>93</v>
      </c>
    </row>
    <row r="19" customFormat="false" ht="15" hidden="false" customHeight="true" outlineLevel="0" collapsed="false">
      <c r="A19" s="27" t="s">
        <v>118</v>
      </c>
      <c r="B19" s="26" t="n">
        <f aca="false">INDEX('Cohort Summary'!$N$5:$N$14,MATCH($B$3,'Cohort Summary'!$A$5:$A$14,0))</f>
        <v>3</v>
      </c>
    </row>
    <row r="20" customFormat="false" ht="15" hidden="false" customHeight="true" outlineLevel="0" collapsed="false">
      <c r="A20" s="27" t="s">
        <v>119</v>
      </c>
      <c r="B20" s="26" t="n">
        <f aca="false">INDEX('Cohort Summary'!$O$5:$O$14,MATCH($B$3,'Cohort Summary'!$A$5:$A$14,0))</f>
        <v>44</v>
      </c>
    </row>
    <row r="21" customFormat="false" ht="15" hidden="false" customHeight="true" outlineLevel="0" collapsed="false">
      <c r="A21" s="8" t="s">
        <v>120</v>
      </c>
      <c r="B21" s="28" t="n">
        <f aca="false">INDEX('Cohort Summary'!$P$5:$P$14,MATCH($B$3,'Cohort Summary'!$A$5:$A$14,0))</f>
        <v>0.335714285714286</v>
      </c>
    </row>
    <row r="22" customFormat="false" ht="15" hidden="false" customHeight="true" outlineLevel="0" collapsed="false">
      <c r="A22" s="8" t="s">
        <v>121</v>
      </c>
      <c r="B22" s="29" t="n">
        <f aca="false">IFERROR(INDEX(Readings!$B$2:$B$2001,MATCH($B$3&amp;"|caution",Readings!$P$2:$P$2001,0)),"none this shift")</f>
        <v>46303.3138888889</v>
      </c>
    </row>
    <row r="23" customFormat="false" ht="15" hidden="false" customHeight="true" outlineLevel="0" collapsed="false">
      <c r="A23" s="8" t="s">
        <v>122</v>
      </c>
      <c r="B23" s="29" t="n">
        <f aca="false">IFERROR(INDEX(Readings!$B$2:$B$2001,MATCH($B$3&amp;"|alert",Readings!$P$2:$P$2001,0)),"none this shift")</f>
        <v>46303.3142361111</v>
      </c>
    </row>
    <row r="26" customFormat="false" ht="61.5" hidden="false" customHeight="true" outlineLevel="0" collapsed="false">
      <c r="A26" s="11" t="s">
        <v>123</v>
      </c>
      <c r="B26" s="11" t="s">
        <v>124</v>
      </c>
      <c r="C26" s="11" t="s">
        <v>125</v>
      </c>
      <c r="D26" s="11" t="s">
        <v>126</v>
      </c>
      <c r="E26" s="11" t="s">
        <v>127</v>
      </c>
      <c r="F26" s="11" t="s">
        <v>128</v>
      </c>
      <c r="G26" s="11" t="s">
        <v>129</v>
      </c>
      <c r="H26" s="11" t="s">
        <v>130</v>
      </c>
      <c r="I26" s="11" t="s">
        <v>131</v>
      </c>
    </row>
    <row r="27" customFormat="false" ht="15" hidden="false" customHeight="true" outlineLevel="0" collapsed="false">
      <c r="A27" s="30" t="s">
        <v>132</v>
      </c>
      <c r="B27" s="31" t="n">
        <f aca="false">INDEX('Cohort Summary'!$D$5:$D$14,MATCH($B$3,'Cohort Summary'!$A$5:$A$14,0))</f>
        <v>48</v>
      </c>
      <c r="C27" s="32" t="n">
        <f aca="false">INDEX('Cohort Summary'!$E$5:$E$14,MATCH($B$3,'Cohort Summary'!$A$5:$A$14,0))</f>
        <v>2.89</v>
      </c>
      <c r="D27" s="31" t="n">
        <f aca="false">AVERAGEIFS(Readings!$D$2:$D$2001,Readings!$A$2:$A$2001,$B$3,Readings!$C$2:$C$2001,"Live")</f>
        <v>52.2135714285714</v>
      </c>
      <c r="E27" s="31" t="n">
        <f aca="false">_xlfn.MAXIFS(Readings!$D$2:$D$2001,Readings!$A$2:$A$2001,$B$3,Readings!$C$2:$C$2001,"Live")</f>
        <v>66.5</v>
      </c>
      <c r="F27" s="31" t="n">
        <f aca="false">(E27-B27)/C27</f>
        <v>6.40138408304498</v>
      </c>
      <c r="G27" s="33" t="n">
        <f aca="false">COUNTIFS(Readings!$A$2:$A$2001,$B$3,Readings!$C$2:$C$2001,"Live",Readings!$I$2:$I$2001,"&gt;="&amp;'Cohort Summary'!$B$2)</f>
        <v>44</v>
      </c>
      <c r="H27" s="34" t="n">
        <f aca="false">IF($B$17=0,0,G27/$B$17)</f>
        <v>0.314285714285714</v>
      </c>
      <c r="I27" s="35" t="str">
        <f aca="false">IF(G27&gt;='Cohort Summary'!$D$2,"ELEVATED","Normal")</f>
        <v>ELEVATED</v>
      </c>
    </row>
    <row r="28" customFormat="false" ht="15" hidden="false" customHeight="true" outlineLevel="0" collapsed="false">
      <c r="A28" s="30" t="s">
        <v>133</v>
      </c>
      <c r="B28" s="31" t="n">
        <f aca="false">INDEX('Cohort Summary'!$F$5:$F$14,MATCH($B$3,'Cohort Summary'!$A$5:$A$14,0))</f>
        <v>18.45</v>
      </c>
      <c r="C28" s="32" t="n">
        <f aca="false">INDEX('Cohort Summary'!$G$5:$G$14,MATCH($B$3,'Cohort Summary'!$A$5:$A$14,0))</f>
        <v>1.91</v>
      </c>
      <c r="D28" s="31" t="n">
        <f aca="false">AVERAGEIFS(Readings!$E$2:$E$2001,Readings!$A$2:$A$2001,$B$3,Readings!$C$2:$C$2001,"Live")</f>
        <v>18.3864285714286</v>
      </c>
      <c r="E28" s="31" t="n">
        <f aca="false">_xlfn.MAXIFS(Readings!$E$2:$E$2001,Readings!$A$2:$A$2001,$B$3,Readings!$C$2:$C$2001,"Live")</f>
        <v>21.9</v>
      </c>
      <c r="F28" s="31" t="n">
        <f aca="false">(E28-B28)/C28</f>
        <v>1.80628272251309</v>
      </c>
      <c r="G28" s="33" t="n">
        <f aca="false">COUNTIFS(Readings!$A$2:$A$2001,$B$3,Readings!$C$2:$C$2001,"Live",Readings!$J$2:$J$2001,"&gt;="&amp;'Cohort Summary'!$B$2)</f>
        <v>0</v>
      </c>
      <c r="H28" s="34" t="n">
        <f aca="false">IF($B$17=0,0,G28/$B$17)</f>
        <v>0</v>
      </c>
      <c r="I28" s="35" t="str">
        <f aca="false">IF(G28&gt;='Cohort Summary'!$D$2,"ELEVATED","Normal")</f>
        <v>Normal</v>
      </c>
    </row>
    <row r="29" customFormat="false" ht="15" hidden="false" customHeight="true" outlineLevel="0" collapsed="false">
      <c r="A29" s="30" t="s">
        <v>134</v>
      </c>
      <c r="B29" s="31" t="n">
        <f aca="false">INDEX('Cohort Summary'!$H$5:$H$14,MATCH($B$3,'Cohort Summary'!$A$5:$A$14,0))</f>
        <v>34.58</v>
      </c>
      <c r="C29" s="32" t="n">
        <f aca="false">INDEX('Cohort Summary'!$I$5:$I$14,MATCH($B$3,'Cohort Summary'!$A$5:$A$14,0))</f>
        <v>2.63</v>
      </c>
      <c r="D29" s="31" t="n">
        <f aca="false">AVERAGEIFS(Readings!$F$2:$F$2001,Readings!$A$2:$A$2001,$B$3,Readings!$C$2:$C$2001,"Live")</f>
        <v>38.0807142857143</v>
      </c>
      <c r="E29" s="31" t="n">
        <f aca="false">_xlfn.MAXIFS(Readings!$F$2:$F$2001,Readings!$A$2:$A$2001,$B$3,Readings!$C$2:$C$2001,"Live")</f>
        <v>50.7</v>
      </c>
      <c r="F29" s="31" t="n">
        <f aca="false">(E29-B29)/C29</f>
        <v>6.12927756653993</v>
      </c>
      <c r="G29" s="33" t="n">
        <f aca="false">COUNTIFS(Readings!$A$2:$A$2001,$B$3,Readings!$C$2:$C$2001,"Live",Readings!$K$2:$K$2001,"&gt;="&amp;'Cohort Summary'!$B$2)</f>
        <v>44</v>
      </c>
      <c r="H29" s="34" t="n">
        <f aca="false">IF($B$17=0,0,G29/$B$17)</f>
        <v>0.314285714285714</v>
      </c>
      <c r="I29" s="35" t="str">
        <f aca="false">IF(G29&gt;='Cohort Summary'!$D$2,"ELEVATED","Normal")</f>
        <v>ELEVATED</v>
      </c>
    </row>
    <row r="30" customFormat="false" ht="15" hidden="false" customHeight="true" outlineLevel="0" collapsed="false">
      <c r="A30" s="30" t="s">
        <v>135</v>
      </c>
      <c r="B30" s="31" t="n">
        <f aca="false">INDEX('Cohort Summary'!$J$5:$J$14,MATCH($B$3,'Cohort Summary'!$A$5:$A$14,0))</f>
        <v>33.46</v>
      </c>
      <c r="C30" s="32" t="n">
        <f aca="false">INDEX('Cohort Summary'!$K$5:$K$14,MATCH($B$3,'Cohort Summary'!$A$5:$A$14,0))</f>
        <v>0.61</v>
      </c>
      <c r="D30" s="31" t="n">
        <f aca="false">AVERAGEIFS(Readings!$G$2:$G$2001,Readings!$A$2:$A$2001,$B$3,Readings!$C$2:$C$2001,"Live")</f>
        <v>34.1992857142857</v>
      </c>
      <c r="E30" s="31" t="n">
        <f aca="false">_xlfn.MAXIFS(Readings!$G$2:$G$2001,Readings!$A$2:$A$2001,$B$3,Readings!$C$2:$C$2001,"Live")</f>
        <v>37.3</v>
      </c>
      <c r="F30" s="31" t="n">
        <f aca="false">(E30-B30)/C30</f>
        <v>6.29508196721311</v>
      </c>
      <c r="G30" s="33" t="n">
        <f aca="false">COUNTIFS(Readings!$A$2:$A$2001,$B$3,Readings!$C$2:$C$2001,"Live",Readings!$L$2:$L$2001,"&gt;="&amp;'Cohort Summary'!$B$2)</f>
        <v>44</v>
      </c>
      <c r="H30" s="34" t="n">
        <f aca="false">IF($B$17=0,0,G30/$B$17)</f>
        <v>0.314285714285714</v>
      </c>
      <c r="I30" s="35" t="str">
        <f aca="false">IF(G30&gt;='Cohort Summary'!$D$2,"ELEVATED","Normal")</f>
        <v>ELEVATED</v>
      </c>
    </row>
    <row r="32" customFormat="false" ht="15" hidden="false" customHeight="true" outlineLevel="0" collapsed="false">
      <c r="A32" s="8" t="s">
        <v>136</v>
      </c>
    </row>
    <row r="33" customFormat="false" ht="61.5" hidden="false" customHeight="true" outlineLevel="0" collapsed="false">
      <c r="A33" s="23" t="s">
        <v>137</v>
      </c>
      <c r="B33" s="23"/>
      <c r="C33" s="23"/>
      <c r="D33" s="23"/>
      <c r="E33" s="23"/>
      <c r="F33" s="23"/>
      <c r="G33" s="23"/>
      <c r="H33" s="23"/>
      <c r="I33" s="23"/>
    </row>
  </sheetData>
  <mergeCells count="10">
    <mergeCell ref="B4:I4"/>
    <mergeCell ref="B5:I5"/>
    <mergeCell ref="B6:I6"/>
    <mergeCell ref="B7:I7"/>
    <mergeCell ref="B8:I8"/>
    <mergeCell ref="B9:I9"/>
    <mergeCell ref="B10:I10"/>
    <mergeCell ref="B12:I12"/>
    <mergeCell ref="B15:I15"/>
    <mergeCell ref="A33:I33"/>
  </mergeCells>
  <conditionalFormatting sqref="I27:I30">
    <cfRule type="expression" priority="2" aboveAverage="0" equalAverage="0" bottom="0" percent="0" rank="0" text="" dxfId="0">
      <formula>I27="ELEVATED"</formula>
    </cfRule>
    <cfRule type="expression" priority="3" aboveAverage="0" equalAverage="0" bottom="0" percent="0" rank="0" text="" dxfId="2">
      <formula>I27="Normal"</formula>
    </cfRule>
  </conditionalFormatting>
  <conditionalFormatting sqref="B14">
    <cfRule type="expression" priority="4" aboveAverage="0" equalAverage="0" bottom="0" percent="0" rank="0" text="" dxfId="0">
      <formula>$B$14="alert"</formula>
    </cfRule>
    <cfRule type="expression" priority="5" aboveAverage="0" equalAverage="0" bottom="0" percent="0" rank="0" text="" dxfId="1">
      <formula>$B$14="caution"</formula>
    </cfRule>
    <cfRule type="expression" priority="6" aboveAverage="0" equalAverage="0" bottom="0" percent="0" rank="0" text="" dxfId="2">
      <formula>$B$14="normal"</formula>
    </cfRule>
  </conditionalFormatting>
  <conditionalFormatting sqref="B13">
    <cfRule type="expression" priority="7" aboveAverage="0" equalAverage="0" bottom="0" percent="0" rank="0" text="" dxfId="2">
      <formula>$B$13="No signs"</formula>
    </cfRule>
    <cfRule type="expression" priority="8" aboveAverage="0" equalAverage="0" bottom="0" percent="0" rank="0" text="" dxfId="1">
      <formula>$B$13&lt;&gt;"No signs"</formula>
    </cfRule>
  </conditionalFormatting>
  <dataValidations count="1">
    <dataValidation allowBlank="false" error="Pick a nurse from the list" errorStyle="stop" errorTitle="Unknown nurse" operator="between" showDropDown="false" showErrorMessage="false" showInputMessage="false" sqref="B3" type="list">
      <formula1>'Cohort Summary'!$A$5:$A$14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4"/>
    <col collapsed="false" customWidth="true" hidden="false" outlineLevel="0" max="3" min="3" style="1" width="16"/>
    <col collapsed="false" customWidth="true" hidden="false" outlineLevel="0" max="25" min="4" style="1" width="13"/>
    <col collapsed="false" customWidth="true" hidden="false" outlineLevel="0" max="26" min="26" style="1" width="70"/>
  </cols>
  <sheetData>
    <row r="1" customFormat="false" ht="19.5" hidden="false" customHeight="true" outlineLevel="0" collapsed="false">
      <c r="A1" s="2" t="s">
        <v>138</v>
      </c>
    </row>
    <row r="2" customFormat="false" ht="15" hidden="false" customHeight="true" outlineLevel="0" collapsed="false">
      <c r="A2" s="8" t="s">
        <v>139</v>
      </c>
      <c r="B2" s="36" t="n">
        <v>2</v>
      </c>
      <c r="C2" s="8" t="s">
        <v>140</v>
      </c>
      <c r="D2" s="36" t="n">
        <v>3</v>
      </c>
      <c r="E2" s="3" t="s">
        <v>141</v>
      </c>
    </row>
    <row r="3" customFormat="false" ht="15" hidden="false" customHeight="true" outlineLevel="0" collapsed="false">
      <c r="A3" s="10" t="s">
        <v>142</v>
      </c>
    </row>
    <row r="4" customFormat="false" ht="61.5" hidden="false" customHeight="true" outlineLevel="0" collapsed="false">
      <c r="A4" s="11" t="s">
        <v>49</v>
      </c>
      <c r="B4" s="11" t="s">
        <v>113</v>
      </c>
      <c r="C4" s="11" t="s">
        <v>143</v>
      </c>
      <c r="D4" s="11" t="s">
        <v>144</v>
      </c>
      <c r="E4" s="11" t="s">
        <v>145</v>
      </c>
      <c r="F4" s="11" t="s">
        <v>146</v>
      </c>
      <c r="G4" s="11" t="s">
        <v>147</v>
      </c>
      <c r="H4" s="11" t="s">
        <v>148</v>
      </c>
      <c r="I4" s="11" t="s">
        <v>149</v>
      </c>
      <c r="J4" s="11" t="s">
        <v>150</v>
      </c>
      <c r="K4" s="11" t="s">
        <v>151</v>
      </c>
      <c r="L4" s="11" t="s">
        <v>152</v>
      </c>
      <c r="M4" s="11" t="s">
        <v>153</v>
      </c>
      <c r="N4" s="11" t="s">
        <v>154</v>
      </c>
      <c r="O4" s="11" t="s">
        <v>155</v>
      </c>
      <c r="P4" s="11" t="s">
        <v>156</v>
      </c>
      <c r="Q4" s="11" t="s">
        <v>157</v>
      </c>
      <c r="R4" s="11" t="s">
        <v>158</v>
      </c>
      <c r="S4" s="11" t="s">
        <v>61</v>
      </c>
      <c r="T4" s="11" t="s">
        <v>62</v>
      </c>
      <c r="U4" s="11" t="s">
        <v>159</v>
      </c>
      <c r="V4" s="11" t="s">
        <v>160</v>
      </c>
      <c r="W4" s="11" t="s">
        <v>161</v>
      </c>
      <c r="X4" s="11" t="s">
        <v>162</v>
      </c>
      <c r="Y4" s="11" t="s">
        <v>60</v>
      </c>
      <c r="Z4" s="11" t="s">
        <v>163</v>
      </c>
    </row>
    <row r="5" customFormat="false" ht="42" hidden="false" customHeight="true" outlineLevel="0" collapsed="false">
      <c r="A5" s="37" t="s">
        <v>66</v>
      </c>
      <c r="B5" s="18" t="s">
        <v>164</v>
      </c>
      <c r="C5" s="14" t="s">
        <v>165</v>
      </c>
      <c r="D5" s="38" t="n">
        <v>40.03</v>
      </c>
      <c r="E5" s="38" t="n">
        <v>3.11</v>
      </c>
      <c r="F5" s="38" t="n">
        <v>18.53</v>
      </c>
      <c r="G5" s="38" t="n">
        <v>1.94</v>
      </c>
      <c r="H5" s="38" t="n">
        <v>30.26</v>
      </c>
      <c r="I5" s="38" t="n">
        <v>2.55</v>
      </c>
      <c r="J5" s="38" t="n">
        <v>32.94</v>
      </c>
      <c r="K5" s="38" t="n">
        <v>0.55</v>
      </c>
      <c r="L5" s="17" t="n">
        <f aca="false">COUNTIFS(Readings!$A$2:$A$2001,$A5,Readings!$C$2:$C$2001,"Live")</f>
        <v>140</v>
      </c>
      <c r="M5" s="17" t="n">
        <f aca="false">COUNTIFS(Readings!$A$2:$A$2001,$A5,Readings!$C$2:$C$2001,"Live",Readings!$N$2:$N$2001,"normal")</f>
        <v>140</v>
      </c>
      <c r="N5" s="17" t="n">
        <f aca="false">COUNTIFS(Readings!$A$2:$A$2001,$A5,Readings!$C$2:$C$2001,"Live",Readings!$N$2:$N$2001,"caution")</f>
        <v>0</v>
      </c>
      <c r="O5" s="17" t="n">
        <f aca="false">COUNTIFS(Readings!$A$2:$A$2001,$A5,Readings!$C$2:$C$2001,"Live",Readings!$N$2:$N$2001,"alert")</f>
        <v>0</v>
      </c>
      <c r="P5" s="39" t="n">
        <f aca="false">IF(L5=0,0,(N5+O5)/L5)</f>
        <v>0</v>
      </c>
      <c r="Q5" s="17" t="n">
        <f aca="false">COUNTIFS(Readings!$A$2:$A$2001,$A5,Readings!$C$2:$C$2001,"Live",Readings!$M$2:$M$2001,"&gt;="&amp;$B$2)</f>
        <v>0</v>
      </c>
      <c r="R5" s="17" t="n">
        <f aca="false">COUNTIFS(Readings!$A$2:$A$2001,$A5,Readings!$C$2:$C$2001,"Live",Readings!$L$2:$L$2001,"&gt;="&amp;$B$2)</f>
        <v>0</v>
      </c>
      <c r="S5" s="16" t="n">
        <f aca="false">_xlfn.MAXIFS(Readings!$M$2:$M$2001,Readings!$A$2:$A$2001,$A5,Readings!$C$2:$C$2001,"Live")</f>
        <v>1.85882352941176</v>
      </c>
      <c r="T5" s="16" t="n">
        <f aca="false">_xlfn.MAXIFS(Readings!$L$2:$L$2001,Readings!$A$2:$A$2001,$A5,Readings!$C$2:$C$2001,"Live")</f>
        <v>1.92727272727273</v>
      </c>
      <c r="U5" s="15" t="str">
        <f aca="false">IF(Q5&gt;=$D$2,"Elevated","Normal")</f>
        <v>Normal</v>
      </c>
      <c r="V5" s="15" t="str">
        <f aca="false">IF(R5&gt;=$D$2,"Elevated","Normal")</f>
        <v>Normal</v>
      </c>
      <c r="W5" s="17" t="str">
        <f aca="false">IF(AND(U5="Elevated",V5="Elevated"),"Both",IF(U5="Elevated","Pressure only",IF(V5="Elevated","Temperature only","No signs")))</f>
        <v>No signs</v>
      </c>
      <c r="X5" s="15" t="str">
        <f aca="false">IF(W5=C5,"Yes","CHECK")</f>
        <v>Yes</v>
      </c>
      <c r="Y5" s="15" t="str">
        <f aca="false">IF(O5&gt;0,"alert",IF(N5&gt;0,"caution","normal"))</f>
        <v>normal</v>
      </c>
      <c r="Z5" s="18" t="str">
        <f aca="false">IF(W5="No signs","No meaningful deviation from own baseline during the live shift.","Deviation from own baseline: "&amp;IF(U5="Elevated","pressure peaked "&amp;TEXT(S5,"0.0")&amp;" SD above own normal ("&amp;Q5&amp;" elevated readings)","")&amp;IF(AND(U5="Elevated",V5="Elevated"),"; ","")&amp;IF(V5="Elevated","temperature peaked "&amp;TEXT(T5,"0.0")&amp;" SD above own normal ("&amp;R5&amp;" elevated readings)","")&amp;". "&amp;O5&amp;" alert and "&amp;N5&amp;" caution readings.")</f>
        <v>No meaningful deviation from own baseline during the live shift.</v>
      </c>
    </row>
    <row r="6" customFormat="false" ht="42" hidden="false" customHeight="true" outlineLevel="0" collapsed="false">
      <c r="A6" s="37" t="s">
        <v>73</v>
      </c>
      <c r="B6" s="18" t="s">
        <v>166</v>
      </c>
      <c r="C6" s="14" t="s">
        <v>167</v>
      </c>
      <c r="D6" s="38" t="n">
        <v>43.81</v>
      </c>
      <c r="E6" s="38" t="n">
        <v>3.26</v>
      </c>
      <c r="F6" s="38" t="n">
        <v>19.05</v>
      </c>
      <c r="G6" s="38" t="n">
        <v>2.12</v>
      </c>
      <c r="H6" s="38" t="n">
        <v>32.45</v>
      </c>
      <c r="I6" s="38" t="n">
        <v>2.94</v>
      </c>
      <c r="J6" s="38" t="n">
        <v>32.83</v>
      </c>
      <c r="K6" s="38" t="n">
        <v>0.64</v>
      </c>
      <c r="L6" s="17" t="n">
        <f aca="false">COUNTIFS(Readings!$A$2:$A$2001,$A6,Readings!$C$2:$C$2001,"Live")</f>
        <v>140</v>
      </c>
      <c r="M6" s="17" t="n">
        <f aca="false">COUNTIFS(Readings!$A$2:$A$2001,$A6,Readings!$C$2:$C$2001,"Live",Readings!$N$2:$N$2001,"normal")</f>
        <v>120</v>
      </c>
      <c r="N6" s="17" t="n">
        <f aca="false">COUNTIFS(Readings!$A$2:$A$2001,$A6,Readings!$C$2:$C$2001,"Live",Readings!$N$2:$N$2001,"caution")</f>
        <v>17</v>
      </c>
      <c r="O6" s="17" t="n">
        <f aca="false">COUNTIFS(Readings!$A$2:$A$2001,$A6,Readings!$C$2:$C$2001,"Live",Readings!$N$2:$N$2001,"alert")</f>
        <v>3</v>
      </c>
      <c r="P6" s="39" t="n">
        <f aca="false">IF(L6=0,0,(N6+O6)/L6)</f>
        <v>0.142857142857143</v>
      </c>
      <c r="Q6" s="17" t="n">
        <f aca="false">COUNTIFS(Readings!$A$2:$A$2001,$A6,Readings!$C$2:$C$2001,"Live",Readings!$M$2:$M$2001,"&gt;="&amp;$B$2)</f>
        <v>20</v>
      </c>
      <c r="R6" s="17" t="n">
        <f aca="false">COUNTIFS(Readings!$A$2:$A$2001,$A6,Readings!$C$2:$C$2001,"Live",Readings!$L$2:$L$2001,"&gt;="&amp;$B$2)</f>
        <v>0</v>
      </c>
      <c r="S6" s="16" t="n">
        <f aca="false">_xlfn.MAXIFS(Readings!$M$2:$M$2001,Readings!$A$2:$A$2001,$A6,Readings!$C$2:$C$2001,"Live")</f>
        <v>5.21165644171779</v>
      </c>
      <c r="T6" s="16" t="n">
        <f aca="false">_xlfn.MAXIFS(Readings!$L$2:$L$2001,Readings!$A$2:$A$2001,$A6,Readings!$C$2:$C$2001,"Live")</f>
        <v>1.515625</v>
      </c>
      <c r="U6" s="15" t="str">
        <f aca="false">IF(Q6&gt;=$D$2,"Elevated","Normal")</f>
        <v>Elevated</v>
      </c>
      <c r="V6" s="15" t="str">
        <f aca="false">IF(R6&gt;=$D$2,"Elevated","Normal")</f>
        <v>Normal</v>
      </c>
      <c r="W6" s="17" t="str">
        <f aca="false">IF(AND(U6="Elevated",V6="Elevated"),"Both",IF(U6="Elevated","Pressure only",IF(V6="Elevated","Temperature only","No signs")))</f>
        <v>Pressure only</v>
      </c>
      <c r="X6" s="15" t="str">
        <f aca="false">IF(W6=C6,"Yes","CHECK")</f>
        <v>Yes</v>
      </c>
      <c r="Y6" s="15" t="str">
        <f aca="false">IF(O6&gt;0,"alert",IF(N6&gt;0,"caution","normal"))</f>
        <v>alert</v>
      </c>
      <c r="Z6" s="18" t="str">
        <f aca="false">IF(W6="No signs","No meaningful deviation from own baseline during the live shift.","Deviation from own baseline: "&amp;IF(U6="Elevated","pressure peaked "&amp;TEXT(S6,"0.0")&amp;" SD above own normal ("&amp;Q6&amp;" elevated readings)","")&amp;IF(AND(U6="Elevated",V6="Elevated"),"; ","")&amp;IF(V6="Elevated","temperature peaked "&amp;TEXT(T6,"0.0")&amp;" SD above own normal ("&amp;R6&amp;" elevated readings)","")&amp;". "&amp;O6&amp;" alert and "&amp;N6&amp;" caution readings.")</f>
        <v>Deviation from own baseline: pressure peaked 5.2 SD above own normal (20 elevated readings). 3 alert and 17 caution readings.</v>
      </c>
    </row>
    <row r="7" customFormat="false" ht="42" hidden="false" customHeight="true" outlineLevel="0" collapsed="false">
      <c r="A7" s="37" t="s">
        <v>78</v>
      </c>
      <c r="B7" s="18" t="s">
        <v>168</v>
      </c>
      <c r="C7" s="14" t="s">
        <v>169</v>
      </c>
      <c r="D7" s="38" t="n">
        <v>36.96</v>
      </c>
      <c r="E7" s="38" t="n">
        <v>2.8</v>
      </c>
      <c r="F7" s="38" t="n">
        <v>18.28</v>
      </c>
      <c r="G7" s="38" t="n">
        <v>2.17</v>
      </c>
      <c r="H7" s="38" t="n">
        <v>27.68</v>
      </c>
      <c r="I7" s="38" t="n">
        <v>2.77</v>
      </c>
      <c r="J7" s="38" t="n">
        <v>33.33</v>
      </c>
      <c r="K7" s="38" t="n">
        <v>0.57</v>
      </c>
      <c r="L7" s="17" t="n">
        <f aca="false">COUNTIFS(Readings!$A$2:$A$2001,$A7,Readings!$C$2:$C$2001,"Live")</f>
        <v>140</v>
      </c>
      <c r="M7" s="17" t="n">
        <f aca="false">COUNTIFS(Readings!$A$2:$A$2001,$A7,Readings!$C$2:$C$2001,"Live",Readings!$N$2:$N$2001,"normal")</f>
        <v>125</v>
      </c>
      <c r="N7" s="17" t="n">
        <f aca="false">COUNTIFS(Readings!$A$2:$A$2001,$A7,Readings!$C$2:$C$2001,"Live",Readings!$N$2:$N$2001,"caution")</f>
        <v>15</v>
      </c>
      <c r="O7" s="17" t="n">
        <f aca="false">COUNTIFS(Readings!$A$2:$A$2001,$A7,Readings!$C$2:$C$2001,"Live",Readings!$N$2:$N$2001,"alert")</f>
        <v>0</v>
      </c>
      <c r="P7" s="39" t="n">
        <f aca="false">IF(L7=0,0,(N7+O7)/L7)</f>
        <v>0.107142857142857</v>
      </c>
      <c r="Q7" s="17" t="n">
        <f aca="false">COUNTIFS(Readings!$A$2:$A$2001,$A7,Readings!$C$2:$C$2001,"Live",Readings!$M$2:$M$2001,"&gt;="&amp;$B$2)</f>
        <v>0</v>
      </c>
      <c r="R7" s="17" t="n">
        <f aca="false">COUNTIFS(Readings!$A$2:$A$2001,$A7,Readings!$C$2:$C$2001,"Live",Readings!$L$2:$L$2001,"&gt;="&amp;$B$2)</f>
        <v>15</v>
      </c>
      <c r="S7" s="16" t="n">
        <f aca="false">_xlfn.MAXIFS(Readings!$M$2:$M$2001,Readings!$A$2:$A$2001,$A7,Readings!$C$2:$C$2001,"Live")</f>
        <v>1.92057761732852</v>
      </c>
      <c r="T7" s="16" t="n">
        <f aca="false">_xlfn.MAXIFS(Readings!$L$2:$L$2001,Readings!$A$2:$A$2001,$A7,Readings!$C$2:$C$2001,"Live")</f>
        <v>6.08771929824561</v>
      </c>
      <c r="U7" s="15" t="str">
        <f aca="false">IF(Q7&gt;=$D$2,"Elevated","Normal")</f>
        <v>Normal</v>
      </c>
      <c r="V7" s="15" t="str">
        <f aca="false">IF(R7&gt;=$D$2,"Elevated","Normal")</f>
        <v>Elevated</v>
      </c>
      <c r="W7" s="17" t="str">
        <f aca="false">IF(AND(U7="Elevated",V7="Elevated"),"Both",IF(U7="Elevated","Pressure only",IF(V7="Elevated","Temperature only","No signs")))</f>
        <v>Temperature only</v>
      </c>
      <c r="X7" s="15" t="str">
        <f aca="false">IF(W7=C7,"Yes","CHECK")</f>
        <v>Yes</v>
      </c>
      <c r="Y7" s="15" t="str">
        <f aca="false">IF(O7&gt;0,"alert",IF(N7&gt;0,"caution","normal"))</f>
        <v>caution</v>
      </c>
      <c r="Z7" s="18" t="str">
        <f aca="false">IF(W7="No signs","No meaningful deviation from own baseline during the live shift.","Deviation from own baseline: "&amp;IF(U7="Elevated","pressure peaked "&amp;TEXT(S7,"0.0")&amp;" SD above own normal ("&amp;Q7&amp;" elevated readings)","")&amp;IF(AND(U7="Elevated",V7="Elevated"),"; ","")&amp;IF(V7="Elevated","temperature peaked "&amp;TEXT(T7,"0.0")&amp;" SD above own normal ("&amp;R7&amp;" elevated readings)","")&amp;". "&amp;O7&amp;" alert and "&amp;N7&amp;" caution readings.")</f>
        <v>Deviation from own baseline: temperature peaked 6.1 SD above own normal (15 elevated readings). 0 alert and 15 caution readings.</v>
      </c>
    </row>
    <row r="8" customFormat="false" ht="42" hidden="false" customHeight="true" outlineLevel="0" collapsed="false">
      <c r="A8" s="37" t="s">
        <v>81</v>
      </c>
      <c r="B8" s="18" t="s">
        <v>170</v>
      </c>
      <c r="C8" s="14" t="s">
        <v>171</v>
      </c>
      <c r="D8" s="38" t="n">
        <v>45.83</v>
      </c>
      <c r="E8" s="38" t="n">
        <v>3.13</v>
      </c>
      <c r="F8" s="38" t="n">
        <v>19.64</v>
      </c>
      <c r="G8" s="38" t="n">
        <v>1.93</v>
      </c>
      <c r="H8" s="38" t="n">
        <v>33.15</v>
      </c>
      <c r="I8" s="38" t="n">
        <v>2.98</v>
      </c>
      <c r="J8" s="38" t="n">
        <v>33.32</v>
      </c>
      <c r="K8" s="38" t="n">
        <v>0.58</v>
      </c>
      <c r="L8" s="17" t="n">
        <f aca="false">COUNTIFS(Readings!$A$2:$A$2001,$A8,Readings!$C$2:$C$2001,"Live")</f>
        <v>140</v>
      </c>
      <c r="M8" s="17" t="n">
        <f aca="false">COUNTIFS(Readings!$A$2:$A$2001,$A8,Readings!$C$2:$C$2001,"Live",Readings!$N$2:$N$2001,"normal")</f>
        <v>117</v>
      </c>
      <c r="N8" s="17" t="n">
        <f aca="false">COUNTIFS(Readings!$A$2:$A$2001,$A8,Readings!$C$2:$C$2001,"Live",Readings!$N$2:$N$2001,"caution")</f>
        <v>3</v>
      </c>
      <c r="O8" s="17" t="n">
        <f aca="false">COUNTIFS(Readings!$A$2:$A$2001,$A8,Readings!$C$2:$C$2001,"Live",Readings!$N$2:$N$2001,"alert")</f>
        <v>20</v>
      </c>
      <c r="P8" s="39" t="n">
        <f aca="false">IF(L8=0,0,(N8+O8)/L8)</f>
        <v>0.164285714285714</v>
      </c>
      <c r="Q8" s="17" t="n">
        <f aca="false">COUNTIFS(Readings!$A$2:$A$2001,$A8,Readings!$C$2:$C$2001,"Live",Readings!$M$2:$M$2001,"&gt;="&amp;$B$2)</f>
        <v>23</v>
      </c>
      <c r="R8" s="17" t="n">
        <f aca="false">COUNTIFS(Readings!$A$2:$A$2001,$A8,Readings!$C$2:$C$2001,"Live",Readings!$L$2:$L$2001,"&gt;="&amp;$B$2)</f>
        <v>21</v>
      </c>
      <c r="S8" s="16" t="n">
        <f aca="false">_xlfn.MAXIFS(Readings!$M$2:$M$2001,Readings!$A$2:$A$2001,$A8,Readings!$C$2:$C$2001,"Live")</f>
        <v>5.70926517571885</v>
      </c>
      <c r="T8" s="16" t="n">
        <f aca="false">_xlfn.MAXIFS(Readings!$L$2:$L$2001,Readings!$A$2:$A$2001,$A8,Readings!$C$2:$C$2001,"Live")</f>
        <v>6.6896551724138</v>
      </c>
      <c r="U8" s="15" t="str">
        <f aca="false">IF(Q8&gt;=$D$2,"Elevated","Normal")</f>
        <v>Elevated</v>
      </c>
      <c r="V8" s="15" t="str">
        <f aca="false">IF(R8&gt;=$D$2,"Elevated","Normal")</f>
        <v>Elevated</v>
      </c>
      <c r="W8" s="17" t="str">
        <f aca="false">IF(AND(U8="Elevated",V8="Elevated"),"Both",IF(U8="Elevated","Pressure only",IF(V8="Elevated","Temperature only","No signs")))</f>
        <v>Both</v>
      </c>
      <c r="X8" s="15" t="str">
        <f aca="false">IF(W8=C8,"Yes","CHECK")</f>
        <v>Yes</v>
      </c>
      <c r="Y8" s="15" t="str">
        <f aca="false">IF(O8&gt;0,"alert",IF(N8&gt;0,"caution","normal"))</f>
        <v>alert</v>
      </c>
      <c r="Z8" s="18" t="str">
        <f aca="false">IF(W8="No signs","No meaningful deviation from own baseline during the live shift.","Deviation from own baseline: "&amp;IF(U8="Elevated","pressure peaked "&amp;TEXT(S8,"0.0")&amp;" SD above own normal ("&amp;Q8&amp;" elevated readings)","")&amp;IF(AND(U8="Elevated",V8="Elevated"),"; ","")&amp;IF(V8="Elevated","temperature peaked "&amp;TEXT(T8,"0.0")&amp;" SD above own normal ("&amp;R8&amp;" elevated readings)","")&amp;". "&amp;O8&amp;" alert and "&amp;N8&amp;" caution readings.")</f>
        <v>Deviation from own baseline: pressure peaked 5.7 SD above own normal (23 elevated readings); temperature peaked 6.7 SD above own normal (21 elevated readings). 20 alert and 3 caution readings.</v>
      </c>
    </row>
    <row r="9" customFormat="false" ht="42" hidden="false" customHeight="true" outlineLevel="0" collapsed="false">
      <c r="A9" s="37" t="s">
        <v>86</v>
      </c>
      <c r="B9" s="18" t="s">
        <v>172</v>
      </c>
      <c r="C9" s="14" t="s">
        <v>165</v>
      </c>
      <c r="D9" s="38" t="n">
        <v>65.42</v>
      </c>
      <c r="E9" s="38" t="n">
        <v>2.88</v>
      </c>
      <c r="F9" s="38" t="n">
        <v>20.9</v>
      </c>
      <c r="G9" s="38" t="n">
        <v>2.16</v>
      </c>
      <c r="H9" s="38" t="n">
        <v>50.16</v>
      </c>
      <c r="I9" s="38" t="n">
        <v>2.81</v>
      </c>
      <c r="J9" s="38" t="n">
        <v>34.42</v>
      </c>
      <c r="K9" s="38" t="n">
        <v>0.63</v>
      </c>
      <c r="L9" s="17" t="n">
        <f aca="false">COUNTIFS(Readings!$A$2:$A$2001,$A9,Readings!$C$2:$C$2001,"Live")</f>
        <v>140</v>
      </c>
      <c r="M9" s="17" t="n">
        <f aca="false">COUNTIFS(Readings!$A$2:$A$2001,$A9,Readings!$C$2:$C$2001,"Live",Readings!$N$2:$N$2001,"normal")</f>
        <v>140</v>
      </c>
      <c r="N9" s="17" t="n">
        <f aca="false">COUNTIFS(Readings!$A$2:$A$2001,$A9,Readings!$C$2:$C$2001,"Live",Readings!$N$2:$N$2001,"caution")</f>
        <v>0</v>
      </c>
      <c r="O9" s="17" t="n">
        <f aca="false">COUNTIFS(Readings!$A$2:$A$2001,$A9,Readings!$C$2:$C$2001,"Live",Readings!$N$2:$N$2001,"alert")</f>
        <v>0</v>
      </c>
      <c r="P9" s="39" t="n">
        <f aca="false">IF(L9=0,0,(N9+O9)/L9)</f>
        <v>0</v>
      </c>
      <c r="Q9" s="17" t="n">
        <f aca="false">COUNTIFS(Readings!$A$2:$A$2001,$A9,Readings!$C$2:$C$2001,"Live",Readings!$M$2:$M$2001,"&gt;="&amp;$B$2)</f>
        <v>0</v>
      </c>
      <c r="R9" s="17" t="n">
        <f aca="false">COUNTIFS(Readings!$A$2:$A$2001,$A9,Readings!$C$2:$C$2001,"Live",Readings!$L$2:$L$2001,"&gt;="&amp;$B$2)</f>
        <v>0</v>
      </c>
      <c r="S9" s="16" t="n">
        <f aca="false">_xlfn.MAXIFS(Readings!$M$2:$M$2001,Readings!$A$2:$A$2001,$A9,Readings!$C$2:$C$2001,"Live")</f>
        <v>1.72241992882562</v>
      </c>
      <c r="T9" s="16" t="n">
        <f aca="false">_xlfn.MAXIFS(Readings!$L$2:$L$2001,Readings!$A$2:$A$2001,$A9,Readings!$C$2:$C$2001,"Live")</f>
        <v>1.71428571428571</v>
      </c>
      <c r="U9" s="15" t="str">
        <f aca="false">IF(Q9&gt;=$D$2,"Elevated","Normal")</f>
        <v>Normal</v>
      </c>
      <c r="V9" s="15" t="str">
        <f aca="false">IF(R9&gt;=$D$2,"Elevated","Normal")</f>
        <v>Normal</v>
      </c>
      <c r="W9" s="17" t="str">
        <f aca="false">IF(AND(U9="Elevated",V9="Elevated"),"Both",IF(U9="Elevated","Pressure only",IF(V9="Elevated","Temperature only","No signs")))</f>
        <v>No signs</v>
      </c>
      <c r="X9" s="15" t="str">
        <f aca="false">IF(W9=C9,"Yes","CHECK")</f>
        <v>Yes</v>
      </c>
      <c r="Y9" s="15" t="str">
        <f aca="false">IF(O9&gt;0,"alert",IF(N9&gt;0,"caution","normal"))</f>
        <v>normal</v>
      </c>
      <c r="Z9" s="18" t="str">
        <f aca="false">IF(W9="No signs","No meaningful deviation from own baseline during the live shift.","Deviation from own baseline: "&amp;IF(U9="Elevated","pressure peaked "&amp;TEXT(S9,"0.0")&amp;" SD above own normal ("&amp;Q9&amp;" elevated readings)","")&amp;IF(AND(U9="Elevated",V9="Elevated"),"; ","")&amp;IF(V9="Elevated","temperature peaked "&amp;TEXT(T9,"0.0")&amp;" SD above own normal ("&amp;R9&amp;" elevated readings)","")&amp;". "&amp;O9&amp;" alert and "&amp;N9&amp;" caution readings.")</f>
        <v>No meaningful deviation from own baseline during the live shift.</v>
      </c>
    </row>
    <row r="10" customFormat="false" ht="42" hidden="false" customHeight="true" outlineLevel="0" collapsed="false">
      <c r="A10" s="37" t="s">
        <v>91</v>
      </c>
      <c r="B10" s="18" t="s">
        <v>173</v>
      </c>
      <c r="C10" s="14" t="s">
        <v>167</v>
      </c>
      <c r="D10" s="38" t="n">
        <v>42.22</v>
      </c>
      <c r="E10" s="38" t="n">
        <v>2.92</v>
      </c>
      <c r="F10" s="38" t="n">
        <v>21.72</v>
      </c>
      <c r="G10" s="38" t="n">
        <v>2.06</v>
      </c>
      <c r="H10" s="38" t="n">
        <v>29.17</v>
      </c>
      <c r="I10" s="38" t="n">
        <v>2.88</v>
      </c>
      <c r="J10" s="38" t="n">
        <v>32.89</v>
      </c>
      <c r="K10" s="38" t="n">
        <v>0.54</v>
      </c>
      <c r="L10" s="17" t="n">
        <f aca="false">COUNTIFS(Readings!$A$2:$A$2001,$A10,Readings!$C$2:$C$2001,"Live")</f>
        <v>140</v>
      </c>
      <c r="M10" s="17" t="n">
        <f aca="false">COUNTIFS(Readings!$A$2:$A$2001,$A10,Readings!$C$2:$C$2001,"Live",Readings!$N$2:$N$2001,"normal")</f>
        <v>122</v>
      </c>
      <c r="N10" s="17" t="n">
        <f aca="false">COUNTIFS(Readings!$A$2:$A$2001,$A10,Readings!$C$2:$C$2001,"Live",Readings!$N$2:$N$2001,"caution")</f>
        <v>15</v>
      </c>
      <c r="O10" s="17" t="n">
        <f aca="false">COUNTIFS(Readings!$A$2:$A$2001,$A10,Readings!$C$2:$C$2001,"Live",Readings!$N$2:$N$2001,"alert")</f>
        <v>3</v>
      </c>
      <c r="P10" s="39" t="n">
        <f aca="false">IF(L10=0,0,(N10+O10)/L10)</f>
        <v>0.128571428571429</v>
      </c>
      <c r="Q10" s="17" t="n">
        <f aca="false">COUNTIFS(Readings!$A$2:$A$2001,$A10,Readings!$C$2:$C$2001,"Live",Readings!$M$2:$M$2001,"&gt;="&amp;$B$2)</f>
        <v>18</v>
      </c>
      <c r="R10" s="17" t="n">
        <f aca="false">COUNTIFS(Readings!$A$2:$A$2001,$A10,Readings!$C$2:$C$2001,"Live",Readings!$L$2:$L$2001,"&gt;="&amp;$B$2)</f>
        <v>0</v>
      </c>
      <c r="S10" s="16" t="n">
        <f aca="false">_xlfn.MAXIFS(Readings!$M$2:$M$2001,Readings!$A$2:$A$2001,$A10,Readings!$C$2:$C$2001,"Live")</f>
        <v>5.14930555555556</v>
      </c>
      <c r="T10" s="16" t="n">
        <f aca="false">_xlfn.MAXIFS(Readings!$L$2:$L$2001,Readings!$A$2:$A$2001,$A10,Readings!$C$2:$C$2001,"Live")</f>
        <v>1.87037037037037</v>
      </c>
      <c r="U10" s="15" t="str">
        <f aca="false">IF(Q10&gt;=$D$2,"Elevated","Normal")</f>
        <v>Elevated</v>
      </c>
      <c r="V10" s="15" t="str">
        <f aca="false">IF(R10&gt;=$D$2,"Elevated","Normal")</f>
        <v>Normal</v>
      </c>
      <c r="W10" s="17" t="str">
        <f aca="false">IF(AND(U10="Elevated",V10="Elevated"),"Both",IF(U10="Elevated","Pressure only",IF(V10="Elevated","Temperature only","No signs")))</f>
        <v>Pressure only</v>
      </c>
      <c r="X10" s="15" t="str">
        <f aca="false">IF(W10=C10,"Yes","CHECK")</f>
        <v>Yes</v>
      </c>
      <c r="Y10" s="15" t="str">
        <f aca="false">IF(O10&gt;0,"alert",IF(N10&gt;0,"caution","normal"))</f>
        <v>alert</v>
      </c>
      <c r="Z10" s="18" t="str">
        <f aca="false">IF(W10="No signs","No meaningful deviation from own baseline during the live shift.","Deviation from own baseline: "&amp;IF(U10="Elevated","pressure peaked "&amp;TEXT(S10,"0.0")&amp;" SD above own normal ("&amp;Q10&amp;" elevated readings)","")&amp;IF(AND(U10="Elevated",V10="Elevated"),"; ","")&amp;IF(V10="Elevated","temperature peaked "&amp;TEXT(T10,"0.0")&amp;" SD above own normal ("&amp;R10&amp;" elevated readings)","")&amp;". "&amp;O10&amp;" alert and "&amp;N10&amp;" caution readings.")</f>
        <v>Deviation from own baseline: pressure peaked 5.1 SD above own normal (18 elevated readings). 3 alert and 15 caution readings.</v>
      </c>
    </row>
    <row r="11" customFormat="false" ht="42" hidden="false" customHeight="true" outlineLevel="0" collapsed="false">
      <c r="A11" s="37" t="s">
        <v>95</v>
      </c>
      <c r="B11" s="18" t="s">
        <v>174</v>
      </c>
      <c r="C11" s="14" t="s">
        <v>171</v>
      </c>
      <c r="D11" s="38" t="n">
        <v>48</v>
      </c>
      <c r="E11" s="38" t="n">
        <v>2.89</v>
      </c>
      <c r="F11" s="38" t="n">
        <v>18.45</v>
      </c>
      <c r="G11" s="38" t="n">
        <v>1.91</v>
      </c>
      <c r="H11" s="38" t="n">
        <v>34.58</v>
      </c>
      <c r="I11" s="38" t="n">
        <v>2.63</v>
      </c>
      <c r="J11" s="38" t="n">
        <v>33.46</v>
      </c>
      <c r="K11" s="38" t="n">
        <v>0.61</v>
      </c>
      <c r="L11" s="17" t="n">
        <f aca="false">COUNTIFS(Readings!$A$2:$A$2001,$A11,Readings!$C$2:$C$2001,"Live")</f>
        <v>140</v>
      </c>
      <c r="M11" s="17" t="n">
        <f aca="false">COUNTIFS(Readings!$A$2:$A$2001,$A11,Readings!$C$2:$C$2001,"Live",Readings!$N$2:$N$2001,"normal")</f>
        <v>93</v>
      </c>
      <c r="N11" s="17" t="n">
        <f aca="false">COUNTIFS(Readings!$A$2:$A$2001,$A11,Readings!$C$2:$C$2001,"Live",Readings!$N$2:$N$2001,"caution")</f>
        <v>3</v>
      </c>
      <c r="O11" s="17" t="n">
        <f aca="false">COUNTIFS(Readings!$A$2:$A$2001,$A11,Readings!$C$2:$C$2001,"Live",Readings!$N$2:$N$2001,"alert")</f>
        <v>44</v>
      </c>
      <c r="P11" s="39" t="n">
        <f aca="false">IF(L11=0,0,(N11+O11)/L11)</f>
        <v>0.335714285714286</v>
      </c>
      <c r="Q11" s="17" t="n">
        <f aca="false">COUNTIFS(Readings!$A$2:$A$2001,$A11,Readings!$C$2:$C$2001,"Live",Readings!$M$2:$M$2001,"&gt;="&amp;$B$2)</f>
        <v>47</v>
      </c>
      <c r="R11" s="17" t="n">
        <f aca="false">COUNTIFS(Readings!$A$2:$A$2001,$A11,Readings!$C$2:$C$2001,"Live",Readings!$L$2:$L$2001,"&gt;="&amp;$B$2)</f>
        <v>44</v>
      </c>
      <c r="S11" s="16" t="n">
        <f aca="false">_xlfn.MAXIFS(Readings!$M$2:$M$2001,Readings!$A$2:$A$2001,$A11,Readings!$C$2:$C$2001,"Live")</f>
        <v>6.40138408304498</v>
      </c>
      <c r="T11" s="16" t="n">
        <f aca="false">_xlfn.MAXIFS(Readings!$L$2:$L$2001,Readings!$A$2:$A$2001,$A11,Readings!$C$2:$C$2001,"Live")</f>
        <v>6.29508196721311</v>
      </c>
      <c r="U11" s="15" t="str">
        <f aca="false">IF(Q11&gt;=$D$2,"Elevated","Normal")</f>
        <v>Elevated</v>
      </c>
      <c r="V11" s="15" t="str">
        <f aca="false">IF(R11&gt;=$D$2,"Elevated","Normal")</f>
        <v>Elevated</v>
      </c>
      <c r="W11" s="17" t="str">
        <f aca="false">IF(AND(U11="Elevated",V11="Elevated"),"Both",IF(U11="Elevated","Pressure only",IF(V11="Elevated","Temperature only","No signs")))</f>
        <v>Both</v>
      </c>
      <c r="X11" s="15" t="str">
        <f aca="false">IF(W11=C11,"Yes","CHECK")</f>
        <v>Yes</v>
      </c>
      <c r="Y11" s="15" t="str">
        <f aca="false">IF(O11&gt;0,"alert",IF(N11&gt;0,"caution","normal"))</f>
        <v>alert</v>
      </c>
      <c r="Z11" s="18" t="str">
        <f aca="false">IF(W11="No signs","No meaningful deviation from own baseline during the live shift.","Deviation from own baseline: "&amp;IF(U11="Elevated","pressure peaked "&amp;TEXT(S11,"0.0")&amp;" SD above own normal ("&amp;Q11&amp;" elevated readings)","")&amp;IF(AND(U11="Elevated",V11="Elevated"),"; ","")&amp;IF(V11="Elevated","temperature peaked "&amp;TEXT(T11,"0.0")&amp;" SD above own normal ("&amp;R11&amp;" elevated readings)","")&amp;". "&amp;O11&amp;" alert and "&amp;N11&amp;" caution readings.")</f>
        <v>Deviation from own baseline: pressure peaked 6.4 SD above own normal (47 elevated readings); temperature peaked 6.3 SD above own normal (44 elevated readings). 44 alert and 3 caution readings.</v>
      </c>
    </row>
    <row r="12" customFormat="false" ht="42" hidden="false" customHeight="true" outlineLevel="0" collapsed="false">
      <c r="A12" s="37" t="s">
        <v>98</v>
      </c>
      <c r="B12" s="18" t="s">
        <v>164</v>
      </c>
      <c r="C12" s="14" t="s">
        <v>165</v>
      </c>
      <c r="D12" s="38" t="n">
        <v>38.02</v>
      </c>
      <c r="E12" s="38" t="n">
        <v>2.8</v>
      </c>
      <c r="F12" s="38" t="n">
        <v>17.55</v>
      </c>
      <c r="G12" s="38" t="n">
        <v>1.97</v>
      </c>
      <c r="H12" s="38" t="n">
        <v>31.04</v>
      </c>
      <c r="I12" s="38" t="n">
        <v>2.94</v>
      </c>
      <c r="J12" s="38" t="n">
        <v>32.81</v>
      </c>
      <c r="K12" s="38" t="n">
        <v>0.58</v>
      </c>
      <c r="L12" s="17" t="n">
        <f aca="false">COUNTIFS(Readings!$A$2:$A$2001,$A12,Readings!$C$2:$C$2001,"Live")</f>
        <v>140</v>
      </c>
      <c r="M12" s="17" t="n">
        <f aca="false">COUNTIFS(Readings!$A$2:$A$2001,$A12,Readings!$C$2:$C$2001,"Live",Readings!$N$2:$N$2001,"normal")</f>
        <v>140</v>
      </c>
      <c r="N12" s="17" t="n">
        <f aca="false">COUNTIFS(Readings!$A$2:$A$2001,$A12,Readings!$C$2:$C$2001,"Live",Readings!$N$2:$N$2001,"caution")</f>
        <v>0</v>
      </c>
      <c r="O12" s="17" t="n">
        <f aca="false">COUNTIFS(Readings!$A$2:$A$2001,$A12,Readings!$C$2:$C$2001,"Live",Readings!$N$2:$N$2001,"alert")</f>
        <v>0</v>
      </c>
      <c r="P12" s="39" t="n">
        <f aca="false">IF(L12=0,0,(N12+O12)/L12)</f>
        <v>0</v>
      </c>
      <c r="Q12" s="17" t="n">
        <f aca="false">COUNTIFS(Readings!$A$2:$A$2001,$A12,Readings!$C$2:$C$2001,"Live",Readings!$M$2:$M$2001,"&gt;="&amp;$B$2)</f>
        <v>0</v>
      </c>
      <c r="R12" s="17" t="n">
        <f aca="false">COUNTIFS(Readings!$A$2:$A$2001,$A12,Readings!$C$2:$C$2001,"Live",Readings!$L$2:$L$2001,"&gt;="&amp;$B$2)</f>
        <v>0</v>
      </c>
      <c r="S12" s="16" t="n">
        <f aca="false">_xlfn.MAXIFS(Readings!$M$2:$M$2001,Readings!$A$2:$A$2001,$A12,Readings!$C$2:$C$2001,"Live")</f>
        <v>1.77857142857143</v>
      </c>
      <c r="T12" s="16" t="n">
        <f aca="false">_xlfn.MAXIFS(Readings!$L$2:$L$2001,Readings!$A$2:$A$2001,$A12,Readings!$C$2:$C$2001,"Live")</f>
        <v>1.70689655172413</v>
      </c>
      <c r="U12" s="15" t="str">
        <f aca="false">IF(Q12&gt;=$D$2,"Elevated","Normal")</f>
        <v>Normal</v>
      </c>
      <c r="V12" s="15" t="str">
        <f aca="false">IF(R12&gt;=$D$2,"Elevated","Normal")</f>
        <v>Normal</v>
      </c>
      <c r="W12" s="17" t="str">
        <f aca="false">IF(AND(U12="Elevated",V12="Elevated"),"Both",IF(U12="Elevated","Pressure only",IF(V12="Elevated","Temperature only","No signs")))</f>
        <v>No signs</v>
      </c>
      <c r="X12" s="15" t="str">
        <f aca="false">IF(W12=C12,"Yes","CHECK")</f>
        <v>Yes</v>
      </c>
      <c r="Y12" s="15" t="str">
        <f aca="false">IF(O12&gt;0,"alert",IF(N12&gt;0,"caution","normal"))</f>
        <v>normal</v>
      </c>
      <c r="Z12" s="18" t="str">
        <f aca="false">IF(W12="No signs","No meaningful deviation from own baseline during the live shift.","Deviation from own baseline: "&amp;IF(U12="Elevated","pressure peaked "&amp;TEXT(S12,"0.0")&amp;" SD above own normal ("&amp;Q12&amp;" elevated readings)","")&amp;IF(AND(U12="Elevated",V12="Elevated"),"; ","")&amp;IF(V12="Elevated","temperature peaked "&amp;TEXT(T12,"0.0")&amp;" SD above own normal ("&amp;R12&amp;" elevated readings)","")&amp;". "&amp;O12&amp;" alert and "&amp;N12&amp;" caution readings.")</f>
        <v>No meaningful deviation from own baseline during the live shift.</v>
      </c>
    </row>
    <row r="13" customFormat="false" ht="42" hidden="false" customHeight="true" outlineLevel="0" collapsed="false">
      <c r="A13" s="37" t="s">
        <v>100</v>
      </c>
      <c r="B13" s="18" t="s">
        <v>175</v>
      </c>
      <c r="C13" s="14" t="s">
        <v>169</v>
      </c>
      <c r="D13" s="38" t="n">
        <v>40.87</v>
      </c>
      <c r="E13" s="38" t="n">
        <v>2.9</v>
      </c>
      <c r="F13" s="38" t="n">
        <v>18.02</v>
      </c>
      <c r="G13" s="38" t="n">
        <v>2.02</v>
      </c>
      <c r="H13" s="38" t="n">
        <v>30.83</v>
      </c>
      <c r="I13" s="38" t="n">
        <v>3.22</v>
      </c>
      <c r="J13" s="38" t="n">
        <v>33.08</v>
      </c>
      <c r="K13" s="38" t="n">
        <v>0.61</v>
      </c>
      <c r="L13" s="17" t="n">
        <f aca="false">COUNTIFS(Readings!$A$2:$A$2001,$A13,Readings!$C$2:$C$2001,"Live")</f>
        <v>140</v>
      </c>
      <c r="M13" s="17" t="n">
        <f aca="false">COUNTIFS(Readings!$A$2:$A$2001,$A13,Readings!$C$2:$C$2001,"Live",Readings!$N$2:$N$2001,"normal")</f>
        <v>85</v>
      </c>
      <c r="N13" s="17" t="n">
        <f aca="false">COUNTIFS(Readings!$A$2:$A$2001,$A13,Readings!$C$2:$C$2001,"Live",Readings!$N$2:$N$2001,"caution")</f>
        <v>55</v>
      </c>
      <c r="O13" s="17" t="n">
        <f aca="false">COUNTIFS(Readings!$A$2:$A$2001,$A13,Readings!$C$2:$C$2001,"Live",Readings!$N$2:$N$2001,"alert")</f>
        <v>0</v>
      </c>
      <c r="P13" s="39" t="n">
        <f aca="false">IF(L13=0,0,(N13+O13)/L13)</f>
        <v>0.392857142857143</v>
      </c>
      <c r="Q13" s="17" t="n">
        <f aca="false">COUNTIFS(Readings!$A$2:$A$2001,$A13,Readings!$C$2:$C$2001,"Live",Readings!$M$2:$M$2001,"&gt;="&amp;$B$2)</f>
        <v>0</v>
      </c>
      <c r="R13" s="17" t="n">
        <f aca="false">COUNTIFS(Readings!$A$2:$A$2001,$A13,Readings!$C$2:$C$2001,"Live",Readings!$L$2:$L$2001,"&gt;="&amp;$B$2)</f>
        <v>55</v>
      </c>
      <c r="S13" s="16" t="n">
        <f aca="false">_xlfn.MAXIFS(Readings!$M$2:$M$2001,Readings!$A$2:$A$2001,$A13,Readings!$C$2:$C$2001,"Live")</f>
        <v>1.97029702970297</v>
      </c>
      <c r="T13" s="16" t="n">
        <f aca="false">_xlfn.MAXIFS(Readings!$L$2:$L$2001,Readings!$A$2:$A$2001,$A13,Readings!$C$2:$C$2001,"Live")</f>
        <v>5.77049180327869</v>
      </c>
      <c r="U13" s="15" t="str">
        <f aca="false">IF(Q13&gt;=$D$2,"Elevated","Normal")</f>
        <v>Normal</v>
      </c>
      <c r="V13" s="15" t="str">
        <f aca="false">IF(R13&gt;=$D$2,"Elevated","Normal")</f>
        <v>Elevated</v>
      </c>
      <c r="W13" s="17" t="str">
        <f aca="false">IF(AND(U13="Elevated",V13="Elevated"),"Both",IF(U13="Elevated","Pressure only",IF(V13="Elevated","Temperature only","No signs")))</f>
        <v>Temperature only</v>
      </c>
      <c r="X13" s="15" t="str">
        <f aca="false">IF(W13=C13,"Yes","CHECK")</f>
        <v>Yes</v>
      </c>
      <c r="Y13" s="15" t="str">
        <f aca="false">IF(O13&gt;0,"alert",IF(N13&gt;0,"caution","normal"))</f>
        <v>caution</v>
      </c>
      <c r="Z13" s="18" t="str">
        <f aca="false">IF(W13="No signs","No meaningful deviation from own baseline during the live shift.","Deviation from own baseline: "&amp;IF(U13="Elevated","pressure peaked "&amp;TEXT(S13,"0.0")&amp;" SD above own normal ("&amp;Q13&amp;" elevated readings)","")&amp;IF(AND(U13="Elevated",V13="Elevated"),"; ","")&amp;IF(V13="Elevated","temperature peaked "&amp;TEXT(T13,"0.0")&amp;" SD above own normal ("&amp;R13&amp;" elevated readings)","")&amp;". "&amp;O13&amp;" alert and "&amp;N13&amp;" caution readings.")</f>
        <v>Deviation from own baseline: temperature peaked 5.8 SD above own normal (55 elevated readings). 0 alert and 55 caution readings.</v>
      </c>
    </row>
    <row r="14" customFormat="false" ht="42" hidden="false" customHeight="true" outlineLevel="0" collapsed="false">
      <c r="A14" s="37" t="s">
        <v>104</v>
      </c>
      <c r="B14" s="18" t="s">
        <v>176</v>
      </c>
      <c r="C14" s="14" t="s">
        <v>171</v>
      </c>
      <c r="D14" s="38" t="n">
        <v>42.98</v>
      </c>
      <c r="E14" s="38" t="n">
        <v>2.87</v>
      </c>
      <c r="F14" s="38" t="n">
        <v>20.29</v>
      </c>
      <c r="G14" s="38" t="n">
        <v>2.05</v>
      </c>
      <c r="H14" s="38" t="n">
        <v>29.87</v>
      </c>
      <c r="I14" s="38" t="n">
        <v>3.04</v>
      </c>
      <c r="J14" s="38" t="n">
        <v>32.98</v>
      </c>
      <c r="K14" s="38" t="n">
        <v>0.59</v>
      </c>
      <c r="L14" s="17" t="n">
        <f aca="false">COUNTIFS(Readings!$A$2:$A$2001,$A14,Readings!$C$2:$C$2001,"Live")</f>
        <v>140</v>
      </c>
      <c r="M14" s="17" t="n">
        <f aca="false">COUNTIFS(Readings!$A$2:$A$2001,$A14,Readings!$C$2:$C$2001,"Live",Readings!$N$2:$N$2001,"normal")</f>
        <v>122</v>
      </c>
      <c r="N14" s="17" t="n">
        <f aca="false">COUNTIFS(Readings!$A$2:$A$2001,$A14,Readings!$C$2:$C$2001,"Live",Readings!$N$2:$N$2001,"caution")</f>
        <v>7</v>
      </c>
      <c r="O14" s="17" t="n">
        <f aca="false">COUNTIFS(Readings!$A$2:$A$2001,$A14,Readings!$C$2:$C$2001,"Live",Readings!$N$2:$N$2001,"alert")</f>
        <v>11</v>
      </c>
      <c r="P14" s="39" t="n">
        <f aca="false">IF(L14=0,0,(N14+O14)/L14)</f>
        <v>0.128571428571429</v>
      </c>
      <c r="Q14" s="17" t="n">
        <f aca="false">COUNTIFS(Readings!$A$2:$A$2001,$A14,Readings!$C$2:$C$2001,"Live",Readings!$M$2:$M$2001,"&gt;="&amp;$B$2)</f>
        <v>17</v>
      </c>
      <c r="R14" s="17" t="n">
        <f aca="false">COUNTIFS(Readings!$A$2:$A$2001,$A14,Readings!$C$2:$C$2001,"Live",Readings!$L$2:$L$2001,"&gt;="&amp;$B$2)</f>
        <v>13</v>
      </c>
      <c r="S14" s="16" t="n">
        <f aca="false">_xlfn.MAXIFS(Readings!$M$2:$M$2001,Readings!$A$2:$A$2001,$A14,Readings!$C$2:$C$2001,"Live")</f>
        <v>4.04878048780488</v>
      </c>
      <c r="T14" s="16" t="n">
        <f aca="false">_xlfn.MAXIFS(Readings!$L$2:$L$2001,Readings!$A$2:$A$2001,$A14,Readings!$C$2:$C$2001,"Live")</f>
        <v>3.93220338983051</v>
      </c>
      <c r="U14" s="15" t="str">
        <f aca="false">IF(Q14&gt;=$D$2,"Elevated","Normal")</f>
        <v>Elevated</v>
      </c>
      <c r="V14" s="15" t="str">
        <f aca="false">IF(R14&gt;=$D$2,"Elevated","Normal")</f>
        <v>Elevated</v>
      </c>
      <c r="W14" s="17" t="str">
        <f aca="false">IF(AND(U14="Elevated",V14="Elevated"),"Both",IF(U14="Elevated","Pressure only",IF(V14="Elevated","Temperature only","No signs")))</f>
        <v>Both</v>
      </c>
      <c r="X14" s="15" t="str">
        <f aca="false">IF(W14=C14,"Yes","CHECK")</f>
        <v>Yes</v>
      </c>
      <c r="Y14" s="15" t="str">
        <f aca="false">IF(O14&gt;0,"alert",IF(N14&gt;0,"caution","normal"))</f>
        <v>alert</v>
      </c>
      <c r="Z14" s="18" t="str">
        <f aca="false">IF(W14="No signs","No meaningful deviation from own baseline during the live shift.","Deviation from own baseline: "&amp;IF(U14="Elevated","pressure peaked "&amp;TEXT(S14,"0.0")&amp;" SD above own normal ("&amp;Q14&amp;" elevated readings)","")&amp;IF(AND(U14="Elevated",V14="Elevated"),"; ","")&amp;IF(V14="Elevated","temperature peaked "&amp;TEXT(T14,"0.0")&amp;" SD above own normal ("&amp;R14&amp;" elevated readings)","")&amp;". "&amp;O14&amp;" alert and "&amp;N14&amp;" caution readings.")</f>
        <v>Deviation from own baseline: pressure peaked 4.0 SD above own normal (17 elevated readings); temperature peaked 3.9 SD above own normal (13 elevated readings). 11 alert and 7 caution readings.</v>
      </c>
    </row>
    <row r="17" customFormat="false" ht="15" hidden="false" customHeight="true" outlineLevel="0" collapsed="false">
      <c r="A17" s="6" t="s">
        <v>177</v>
      </c>
      <c r="B17" s="7"/>
    </row>
    <row r="18" customFormat="false" ht="15" hidden="false" customHeight="true" outlineLevel="0" collapsed="false">
      <c r="A18" s="27" t="s">
        <v>178</v>
      </c>
      <c r="B18" s="40" t="n">
        <f aca="false">COUNTA(A5:A14)</f>
        <v>10</v>
      </c>
    </row>
    <row r="19" customFormat="false" ht="15" hidden="false" customHeight="true" outlineLevel="0" collapsed="false">
      <c r="A19" s="27" t="s">
        <v>165</v>
      </c>
      <c r="B19" s="40" t="n">
        <f aca="false">COUNTIF(W5:W14,"No signs")</f>
        <v>3</v>
      </c>
    </row>
    <row r="20" customFormat="false" ht="15" hidden="false" customHeight="true" outlineLevel="0" collapsed="false">
      <c r="A20" s="27" t="s">
        <v>167</v>
      </c>
      <c r="B20" s="40" t="n">
        <f aca="false">COUNTIF(W5:W14,"Pressure only")</f>
        <v>2</v>
      </c>
    </row>
    <row r="21" customFormat="false" ht="15" hidden="false" customHeight="true" outlineLevel="0" collapsed="false">
      <c r="A21" s="27" t="s">
        <v>169</v>
      </c>
      <c r="B21" s="40" t="n">
        <f aca="false">COUNTIF(W5:W14,"Temperature only")</f>
        <v>2</v>
      </c>
    </row>
    <row r="22" customFormat="false" ht="15" hidden="false" customHeight="true" outlineLevel="0" collapsed="false">
      <c r="A22" s="27" t="s">
        <v>179</v>
      </c>
      <c r="B22" s="40" t="n">
        <f aca="false">COUNTIF(W5:W14,"Both")</f>
        <v>3</v>
      </c>
    </row>
    <row r="23" customFormat="false" ht="15" hidden="false" customHeight="true" outlineLevel="0" collapsed="false">
      <c r="A23" s="27" t="s">
        <v>180</v>
      </c>
      <c r="B23" s="40" t="str">
        <f aca="false">COUNTIF(X5:X14,"Yes")&amp;" of "&amp;COUNTA(A5:A14)</f>
        <v>10 of 10</v>
      </c>
    </row>
    <row r="24" customFormat="false" ht="15" hidden="false" customHeight="true" outlineLevel="0" collapsed="false">
      <c r="A24" s="27" t="s">
        <v>181</v>
      </c>
      <c r="B24" s="40" t="n">
        <f aca="false">SUM(N5:N14)</f>
        <v>115</v>
      </c>
    </row>
    <row r="25" customFormat="false" ht="15" hidden="false" customHeight="true" outlineLevel="0" collapsed="false">
      <c r="A25" s="27" t="s">
        <v>182</v>
      </c>
      <c r="B25" s="40" t="n">
        <f aca="false">SUM(O5:O14)</f>
        <v>81</v>
      </c>
    </row>
  </sheetData>
  <conditionalFormatting sqref="U5:V14">
    <cfRule type="expression" priority="2" aboveAverage="0" equalAverage="0" bottom="0" percent="0" rank="0" text="" dxfId="0">
      <formula>U5="Elevated"</formula>
    </cfRule>
  </conditionalFormatting>
  <conditionalFormatting sqref="Y5:Y14">
    <cfRule type="expression" priority="3" aboveAverage="0" equalAverage="0" bottom="0" percent="0" rank="0" text="" dxfId="0">
      <formula>Y5="alert"</formula>
    </cfRule>
    <cfRule type="expression" priority="4" aboveAverage="0" equalAverage="0" bottom="0" percent="0" rank="0" text="" dxfId="1">
      <formula>Y5="caution"</formula>
    </cfRule>
    <cfRule type="expression" priority="5" aboveAverage="0" equalAverage="0" bottom="0" percent="0" rank="0" text="" dxfId="2">
      <formula>Y5="normal"</formula>
    </cfRule>
  </conditionalFormatting>
  <conditionalFormatting sqref="X5:X14">
    <cfRule type="expression" priority="6" aboveAverage="0" equalAverage="0" bottom="0" percent="0" rank="0" text="" dxfId="0">
      <formula>X5="CHECK"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9"/>
    <col collapsed="false" customWidth="true" hidden="false" outlineLevel="0" max="3" min="3" style="1" width="12"/>
    <col collapsed="false" customWidth="true" hidden="false" outlineLevel="0" max="6" min="4" style="1" width="10"/>
    <col collapsed="false" customWidth="true" hidden="false" outlineLevel="0" max="7" min="7" style="1" width="11"/>
    <col collapsed="false" customWidth="true" hidden="false" outlineLevel="0" max="8" min="8" style="1" width="12"/>
    <col collapsed="false" customWidth="true" hidden="false" outlineLevel="0" max="12" min="9" style="1" width="11"/>
    <col collapsed="false" customWidth="true" hidden="false" outlineLevel="0" max="13" min="13" style="1" width="12"/>
    <col collapsed="false" customWidth="true" hidden="false" outlineLevel="0" max="14" min="14" style="1" width="13"/>
    <col collapsed="false" customWidth="true" hidden="false" outlineLevel="0" max="15" min="15" style="1" width="70"/>
    <col collapsed="false" customWidth="true" hidden="false" outlineLevel="0" max="16" min="16" style="1" width="16"/>
  </cols>
  <sheetData>
    <row r="1" customFormat="false" ht="48" hidden="false" customHeight="true" outlineLevel="0" collapsed="false">
      <c r="A1" s="11" t="s">
        <v>49</v>
      </c>
      <c r="B1" s="11" t="s">
        <v>183</v>
      </c>
      <c r="C1" s="11" t="s">
        <v>184</v>
      </c>
      <c r="D1" s="11" t="s">
        <v>132</v>
      </c>
      <c r="E1" s="11" t="s">
        <v>133</v>
      </c>
      <c r="F1" s="11" t="s">
        <v>134</v>
      </c>
      <c r="G1" s="11" t="s">
        <v>185</v>
      </c>
      <c r="H1" s="11" t="s">
        <v>186</v>
      </c>
      <c r="I1" s="11" t="s">
        <v>187</v>
      </c>
      <c r="J1" s="11" t="s">
        <v>188</v>
      </c>
      <c r="K1" s="11" t="s">
        <v>189</v>
      </c>
      <c r="L1" s="11" t="s">
        <v>190</v>
      </c>
      <c r="M1" s="11" t="s">
        <v>191</v>
      </c>
      <c r="N1" s="11" t="s">
        <v>192</v>
      </c>
      <c r="O1" s="11" t="s">
        <v>193</v>
      </c>
      <c r="P1" s="11" t="s">
        <v>194</v>
      </c>
    </row>
    <row r="2" customFormat="false" ht="15" hidden="false" customHeight="true" outlineLevel="0" collapsed="false">
      <c r="A2" s="27" t="s">
        <v>66</v>
      </c>
      <c r="B2" s="41" t="n">
        <v>46303.2916666667</v>
      </c>
      <c r="C2" s="27" t="s">
        <v>195</v>
      </c>
      <c r="D2" s="27" t="n">
        <v>38.2</v>
      </c>
      <c r="E2" s="27" t="n">
        <v>16.1</v>
      </c>
      <c r="F2" s="27" t="n">
        <v>31.5</v>
      </c>
      <c r="G2" s="27" t="n">
        <v>32.1</v>
      </c>
      <c r="H2" s="27" t="s">
        <v>196</v>
      </c>
      <c r="I2" s="42" t="n">
        <f aca="false">(D2-INDEX('Cohort Summary'!$D$5:$D$14,MATCH($A2,'Cohort Summary'!$A$5:$A$14,0)))/INDEX('Cohort Summary'!$E$5:$E$14,MATCH($A2,'Cohort Summary'!$A$5:$A$14,0))</f>
        <v>-0.588424437299035</v>
      </c>
      <c r="J2" s="42" t="n">
        <f aca="false">(E2-INDEX('Cohort Summary'!$F$5:$F$14,MATCH($A2,'Cohort Summary'!$A$5:$A$14,0)))/INDEX('Cohort Summary'!$G$5:$G$14,MATCH($A2,'Cohort Summary'!$A$5:$A$14,0))</f>
        <v>-1.25257731958763</v>
      </c>
      <c r="K2" s="42" t="n">
        <f aca="false">(F2-INDEX('Cohort Summary'!$H$5:$H$14,MATCH($A2,'Cohort Summary'!$A$5:$A$14,0)))/INDEX('Cohort Summary'!$I$5:$I$14,MATCH($A2,'Cohort Summary'!$A$5:$A$14,0))</f>
        <v>0.486274509803921</v>
      </c>
      <c r="L2" s="42" t="n">
        <f aca="false">(G2-INDEX('Cohort Summary'!$J$5:$J$14,MATCH($A2,'Cohort Summary'!$A$5:$A$14,0)))/INDEX('Cohort Summary'!$K$5:$K$14,MATCH($A2,'Cohort Summary'!$A$5:$A$14,0))</f>
        <v>-1.52727272727272</v>
      </c>
      <c r="M2" s="42" t="n">
        <f aca="false">MAX(I2:K2)</f>
        <v>0.486274509803921</v>
      </c>
      <c r="N2" s="27" t="s">
        <v>197</v>
      </c>
      <c r="O2" s="27"/>
      <c r="P2" s="27" t="str">
        <f aca="false">A2&amp;"|"&amp;N2</f>
        <v>NURSE-01|normal</v>
      </c>
    </row>
    <row r="3" customFormat="false" ht="15" hidden="false" customHeight="true" outlineLevel="0" collapsed="false">
      <c r="A3" s="27" t="s">
        <v>66</v>
      </c>
      <c r="B3" s="41" t="n">
        <v>46303.2920138889</v>
      </c>
      <c r="C3" s="27" t="s">
        <v>195</v>
      </c>
      <c r="D3" s="27" t="n">
        <v>35.9</v>
      </c>
      <c r="E3" s="27" t="n">
        <v>19.1</v>
      </c>
      <c r="F3" s="27" t="n">
        <v>34.1</v>
      </c>
      <c r="G3" s="27" t="n">
        <v>32.4</v>
      </c>
      <c r="H3" s="27" t="s">
        <v>198</v>
      </c>
      <c r="I3" s="42" t="n">
        <f aca="false">(D3-INDEX('Cohort Summary'!$D$5:$D$14,MATCH($A3,'Cohort Summary'!$A$5:$A$14,0)))/INDEX('Cohort Summary'!$E$5:$E$14,MATCH($A3,'Cohort Summary'!$A$5:$A$14,0))</f>
        <v>-1.32797427652733</v>
      </c>
      <c r="J3" s="42" t="n">
        <f aca="false">(E3-INDEX('Cohort Summary'!$F$5:$F$14,MATCH($A3,'Cohort Summary'!$A$5:$A$14,0)))/INDEX('Cohort Summary'!$G$5:$G$14,MATCH($A3,'Cohort Summary'!$A$5:$A$14,0))</f>
        <v>0.293814432989691</v>
      </c>
      <c r="K3" s="42" t="n">
        <f aca="false">(F3-INDEX('Cohort Summary'!$H$5:$H$14,MATCH($A3,'Cohort Summary'!$A$5:$A$14,0)))/INDEX('Cohort Summary'!$I$5:$I$14,MATCH($A3,'Cohort Summary'!$A$5:$A$14,0))</f>
        <v>1.50588235294118</v>
      </c>
      <c r="L3" s="42" t="n">
        <f aca="false">(G3-INDEX('Cohort Summary'!$J$5:$J$14,MATCH($A3,'Cohort Summary'!$A$5:$A$14,0)))/INDEX('Cohort Summary'!$K$5:$K$14,MATCH($A3,'Cohort Summary'!$A$5:$A$14,0))</f>
        <v>-0.98181818181818</v>
      </c>
      <c r="M3" s="42" t="n">
        <f aca="false">MAX(I3:K3)</f>
        <v>1.50588235294118</v>
      </c>
      <c r="N3" s="27" t="s">
        <v>197</v>
      </c>
      <c r="O3" s="27"/>
      <c r="P3" s="27" t="str">
        <f aca="false">A3&amp;"|"&amp;N3</f>
        <v>NURSE-01|normal</v>
      </c>
    </row>
    <row r="4" customFormat="false" ht="15" hidden="false" customHeight="true" outlineLevel="0" collapsed="false">
      <c r="A4" s="27" t="s">
        <v>66</v>
      </c>
      <c r="B4" s="41" t="n">
        <v>46303.2923611111</v>
      </c>
      <c r="C4" s="27" t="s">
        <v>195</v>
      </c>
      <c r="D4" s="27" t="n">
        <v>39.3</v>
      </c>
      <c r="E4" s="27" t="n">
        <v>15.5</v>
      </c>
      <c r="F4" s="27" t="n">
        <v>25.9</v>
      </c>
      <c r="G4" s="27" t="n">
        <v>32.8</v>
      </c>
      <c r="H4" s="27" t="s">
        <v>196</v>
      </c>
      <c r="I4" s="42" t="n">
        <f aca="false">(D4-INDEX('Cohort Summary'!$D$5:$D$14,MATCH($A4,'Cohort Summary'!$A$5:$A$14,0)))/INDEX('Cohort Summary'!$E$5:$E$14,MATCH($A4,'Cohort Summary'!$A$5:$A$14,0))</f>
        <v>-0.234726688102895</v>
      </c>
      <c r="J4" s="42" t="n">
        <f aca="false">(E4-INDEX('Cohort Summary'!$F$5:$F$14,MATCH($A4,'Cohort Summary'!$A$5:$A$14,0)))/INDEX('Cohort Summary'!$G$5:$G$14,MATCH($A4,'Cohort Summary'!$A$5:$A$14,0))</f>
        <v>-1.56185567010309</v>
      </c>
      <c r="K4" s="42" t="n">
        <f aca="false">(F4-INDEX('Cohort Summary'!$H$5:$H$14,MATCH($A4,'Cohort Summary'!$A$5:$A$14,0)))/INDEX('Cohort Summary'!$I$5:$I$14,MATCH($A4,'Cohort Summary'!$A$5:$A$14,0))</f>
        <v>-1.70980392156863</v>
      </c>
      <c r="L4" s="42" t="n">
        <f aca="false">(G4-INDEX('Cohort Summary'!$J$5:$J$14,MATCH($A4,'Cohort Summary'!$A$5:$A$14,0)))/INDEX('Cohort Summary'!$K$5:$K$14,MATCH($A4,'Cohort Summary'!$A$5:$A$14,0))</f>
        <v>-0.254545454545456</v>
      </c>
      <c r="M4" s="42" t="n">
        <f aca="false">MAX(I4:K4)</f>
        <v>-0.234726688102895</v>
      </c>
      <c r="N4" s="27" t="s">
        <v>197</v>
      </c>
      <c r="O4" s="27"/>
      <c r="P4" s="27" t="str">
        <f aca="false">A4&amp;"|"&amp;N4</f>
        <v>NURSE-01|normal</v>
      </c>
    </row>
    <row r="5" customFormat="false" ht="15" hidden="false" customHeight="true" outlineLevel="0" collapsed="false">
      <c r="A5" s="27" t="s">
        <v>66</v>
      </c>
      <c r="B5" s="41" t="n">
        <v>46303.2927083333</v>
      </c>
      <c r="C5" s="27" t="s">
        <v>195</v>
      </c>
      <c r="D5" s="27" t="n">
        <v>36.2</v>
      </c>
      <c r="E5" s="27" t="n">
        <v>16.6</v>
      </c>
      <c r="F5" s="27" t="n">
        <v>31.3</v>
      </c>
      <c r="G5" s="27" t="n">
        <v>33.9</v>
      </c>
      <c r="H5" s="27" t="s">
        <v>196</v>
      </c>
      <c r="I5" s="42" t="n">
        <f aca="false">(D5-INDEX('Cohort Summary'!$D$5:$D$14,MATCH($A5,'Cohort Summary'!$A$5:$A$14,0)))/INDEX('Cohort Summary'!$E$5:$E$14,MATCH($A5,'Cohort Summary'!$A$5:$A$14,0))</f>
        <v>-1.23151125401929</v>
      </c>
      <c r="J5" s="42" t="n">
        <f aca="false">(E5-INDEX('Cohort Summary'!$F$5:$F$14,MATCH($A5,'Cohort Summary'!$A$5:$A$14,0)))/INDEX('Cohort Summary'!$G$5:$G$14,MATCH($A5,'Cohort Summary'!$A$5:$A$14,0))</f>
        <v>-0.994845360824742</v>
      </c>
      <c r="K5" s="42" t="n">
        <f aca="false">(F5-INDEX('Cohort Summary'!$H$5:$H$14,MATCH($A5,'Cohort Summary'!$A$5:$A$14,0)))/INDEX('Cohort Summary'!$I$5:$I$14,MATCH($A5,'Cohort Summary'!$A$5:$A$14,0))</f>
        <v>0.407843137254902</v>
      </c>
      <c r="L5" s="42" t="n">
        <f aca="false">(G5-INDEX('Cohort Summary'!$J$5:$J$14,MATCH($A5,'Cohort Summary'!$A$5:$A$14,0)))/INDEX('Cohort Summary'!$K$5:$K$14,MATCH($A5,'Cohort Summary'!$A$5:$A$14,0))</f>
        <v>1.74545454545455</v>
      </c>
      <c r="M5" s="42" t="n">
        <f aca="false">MAX(I5:K5)</f>
        <v>0.407843137254902</v>
      </c>
      <c r="N5" s="27" t="s">
        <v>197</v>
      </c>
      <c r="O5" s="27"/>
      <c r="P5" s="27" t="str">
        <f aca="false">A5&amp;"|"&amp;N5</f>
        <v>NURSE-01|normal</v>
      </c>
    </row>
    <row r="6" customFormat="false" ht="15" hidden="false" customHeight="true" outlineLevel="0" collapsed="false">
      <c r="A6" s="27" t="s">
        <v>66</v>
      </c>
      <c r="B6" s="41" t="n">
        <v>46303.2930555556</v>
      </c>
      <c r="C6" s="27" t="s">
        <v>195</v>
      </c>
      <c r="D6" s="27" t="n">
        <v>40.9</v>
      </c>
      <c r="E6" s="27" t="n">
        <v>15.3</v>
      </c>
      <c r="F6" s="27" t="n">
        <v>27.2</v>
      </c>
      <c r="G6" s="27" t="n">
        <v>33.1</v>
      </c>
      <c r="H6" s="27" t="s">
        <v>198</v>
      </c>
      <c r="I6" s="42" t="n">
        <f aca="false">(D6-INDEX('Cohort Summary'!$D$5:$D$14,MATCH($A6,'Cohort Summary'!$A$5:$A$14,0)))/INDEX('Cohort Summary'!$E$5:$E$14,MATCH($A6,'Cohort Summary'!$A$5:$A$14,0))</f>
        <v>0.279742765273311</v>
      </c>
      <c r="J6" s="42" t="n">
        <f aca="false">(E6-INDEX('Cohort Summary'!$F$5:$F$14,MATCH($A6,'Cohort Summary'!$A$5:$A$14,0)))/INDEX('Cohort Summary'!$G$5:$G$14,MATCH($A6,'Cohort Summary'!$A$5:$A$14,0))</f>
        <v>-1.66494845360825</v>
      </c>
      <c r="K6" s="42" t="n">
        <f aca="false">(F6-INDEX('Cohort Summary'!$H$5:$H$14,MATCH($A6,'Cohort Summary'!$A$5:$A$14,0)))/INDEX('Cohort Summary'!$I$5:$I$14,MATCH($A6,'Cohort Summary'!$A$5:$A$14,0))</f>
        <v>-1.2</v>
      </c>
      <c r="L6" s="42" t="n">
        <f aca="false">(G6-INDEX('Cohort Summary'!$J$5:$J$14,MATCH($A6,'Cohort Summary'!$A$5:$A$14,0)))/INDEX('Cohort Summary'!$K$5:$K$14,MATCH($A6,'Cohort Summary'!$A$5:$A$14,0))</f>
        <v>0.290909090909098</v>
      </c>
      <c r="M6" s="42" t="n">
        <f aca="false">MAX(I6:K6)</f>
        <v>0.279742765273311</v>
      </c>
      <c r="N6" s="27" t="s">
        <v>197</v>
      </c>
      <c r="O6" s="27"/>
      <c r="P6" s="27" t="str">
        <f aca="false">A6&amp;"|"&amp;N6</f>
        <v>NURSE-01|normal</v>
      </c>
    </row>
    <row r="7" customFormat="false" ht="15" hidden="false" customHeight="true" outlineLevel="0" collapsed="false">
      <c r="A7" s="27" t="s">
        <v>66</v>
      </c>
      <c r="B7" s="41" t="n">
        <v>46303.2934027778</v>
      </c>
      <c r="C7" s="27" t="s">
        <v>195</v>
      </c>
      <c r="D7" s="27" t="n">
        <v>37.9</v>
      </c>
      <c r="E7" s="27" t="n">
        <v>16</v>
      </c>
      <c r="F7" s="27" t="n">
        <v>26.2</v>
      </c>
      <c r="G7" s="27" t="n">
        <v>32.6</v>
      </c>
      <c r="H7" s="27" t="s">
        <v>196</v>
      </c>
      <c r="I7" s="42" t="n">
        <f aca="false">(D7-INDEX('Cohort Summary'!$D$5:$D$14,MATCH($A7,'Cohort Summary'!$A$5:$A$14,0)))/INDEX('Cohort Summary'!$E$5:$E$14,MATCH($A7,'Cohort Summary'!$A$5:$A$14,0))</f>
        <v>-0.684887459807075</v>
      </c>
      <c r="J7" s="42" t="n">
        <f aca="false">(E7-INDEX('Cohort Summary'!$F$5:$F$14,MATCH($A7,'Cohort Summary'!$A$5:$A$14,0)))/INDEX('Cohort Summary'!$G$5:$G$14,MATCH($A7,'Cohort Summary'!$A$5:$A$14,0))</f>
        <v>-1.30412371134021</v>
      </c>
      <c r="K7" s="42" t="n">
        <f aca="false">(F7-INDEX('Cohort Summary'!$H$5:$H$14,MATCH($A7,'Cohort Summary'!$A$5:$A$14,0)))/INDEX('Cohort Summary'!$I$5:$I$14,MATCH($A7,'Cohort Summary'!$A$5:$A$14,0))</f>
        <v>-1.5921568627451</v>
      </c>
      <c r="L7" s="42" t="n">
        <f aca="false">(G7-INDEX('Cohort Summary'!$J$5:$J$14,MATCH($A7,'Cohort Summary'!$A$5:$A$14,0)))/INDEX('Cohort Summary'!$K$5:$K$14,MATCH($A7,'Cohort Summary'!$A$5:$A$14,0))</f>
        <v>-0.618181818181811</v>
      </c>
      <c r="M7" s="42" t="n">
        <f aca="false">MAX(I7:K7)</f>
        <v>-0.684887459807075</v>
      </c>
      <c r="N7" s="27" t="s">
        <v>197</v>
      </c>
      <c r="O7" s="27"/>
      <c r="P7" s="27" t="str">
        <f aca="false">A7&amp;"|"&amp;N7</f>
        <v>NURSE-01|normal</v>
      </c>
    </row>
    <row r="8" customFormat="false" ht="15" hidden="false" customHeight="true" outlineLevel="0" collapsed="false">
      <c r="A8" s="27" t="s">
        <v>66</v>
      </c>
      <c r="B8" s="41" t="n">
        <v>46303.29375</v>
      </c>
      <c r="C8" s="27" t="s">
        <v>195</v>
      </c>
      <c r="D8" s="27" t="n">
        <v>36.8</v>
      </c>
      <c r="E8" s="27" t="n">
        <v>19.1</v>
      </c>
      <c r="F8" s="27" t="n">
        <v>31.4</v>
      </c>
      <c r="G8" s="27" t="n">
        <v>32.7</v>
      </c>
      <c r="H8" s="27" t="s">
        <v>196</v>
      </c>
      <c r="I8" s="42" t="n">
        <f aca="false">(D8-INDEX('Cohort Summary'!$D$5:$D$14,MATCH($A8,'Cohort Summary'!$A$5:$A$14,0)))/INDEX('Cohort Summary'!$E$5:$E$14,MATCH($A8,'Cohort Summary'!$A$5:$A$14,0))</f>
        <v>-1.03858520900322</v>
      </c>
      <c r="J8" s="42" t="n">
        <f aca="false">(E8-INDEX('Cohort Summary'!$F$5:$F$14,MATCH($A8,'Cohort Summary'!$A$5:$A$14,0)))/INDEX('Cohort Summary'!$G$5:$G$14,MATCH($A8,'Cohort Summary'!$A$5:$A$14,0))</f>
        <v>0.293814432989691</v>
      </c>
      <c r="K8" s="42" t="n">
        <f aca="false">(F8-INDEX('Cohort Summary'!$H$5:$H$14,MATCH($A8,'Cohort Summary'!$A$5:$A$14,0)))/INDEX('Cohort Summary'!$I$5:$I$14,MATCH($A8,'Cohort Summary'!$A$5:$A$14,0))</f>
        <v>0.447058823529411</v>
      </c>
      <c r="L8" s="42" t="n">
        <f aca="false">(G8-INDEX('Cohort Summary'!$J$5:$J$14,MATCH($A8,'Cohort Summary'!$A$5:$A$14,0)))/INDEX('Cohort Summary'!$K$5:$K$14,MATCH($A8,'Cohort Summary'!$A$5:$A$14,0))</f>
        <v>-0.436363636363627</v>
      </c>
      <c r="M8" s="42" t="n">
        <f aca="false">MAX(I8:K8)</f>
        <v>0.447058823529411</v>
      </c>
      <c r="N8" s="27" t="s">
        <v>197</v>
      </c>
      <c r="O8" s="27"/>
      <c r="P8" s="27" t="str">
        <f aca="false">A8&amp;"|"&amp;N8</f>
        <v>NURSE-01|normal</v>
      </c>
    </row>
    <row r="9" customFormat="false" ht="15" hidden="false" customHeight="true" outlineLevel="0" collapsed="false">
      <c r="A9" s="27" t="s">
        <v>66</v>
      </c>
      <c r="B9" s="41" t="n">
        <v>46303.2940972222</v>
      </c>
      <c r="C9" s="27" t="s">
        <v>195</v>
      </c>
      <c r="D9" s="27" t="n">
        <v>42.1</v>
      </c>
      <c r="E9" s="27" t="n">
        <v>19</v>
      </c>
      <c r="F9" s="27" t="n">
        <v>31.2</v>
      </c>
      <c r="G9" s="27" t="n">
        <v>33</v>
      </c>
      <c r="H9" s="27" t="s">
        <v>196</v>
      </c>
      <c r="I9" s="42" t="n">
        <f aca="false">(D9-INDEX('Cohort Summary'!$D$5:$D$14,MATCH($A9,'Cohort Summary'!$A$5:$A$14,0)))/INDEX('Cohort Summary'!$E$5:$E$14,MATCH($A9,'Cohort Summary'!$A$5:$A$14,0))</f>
        <v>0.665594855305466</v>
      </c>
      <c r="J9" s="42" t="n">
        <f aca="false">(E9-INDEX('Cohort Summary'!$F$5:$F$14,MATCH($A9,'Cohort Summary'!$A$5:$A$14,0)))/INDEX('Cohort Summary'!$G$5:$G$14,MATCH($A9,'Cohort Summary'!$A$5:$A$14,0))</f>
        <v>0.242268041237113</v>
      </c>
      <c r="K9" s="42" t="n">
        <f aca="false">(F9-INDEX('Cohort Summary'!$H$5:$H$14,MATCH($A9,'Cohort Summary'!$A$5:$A$14,0)))/INDEX('Cohort Summary'!$I$5:$I$14,MATCH($A9,'Cohort Summary'!$A$5:$A$14,0))</f>
        <v>0.368627450980391</v>
      </c>
      <c r="L9" s="42" t="n">
        <f aca="false">(G9-INDEX('Cohort Summary'!$J$5:$J$14,MATCH($A9,'Cohort Summary'!$A$5:$A$14,0)))/INDEX('Cohort Summary'!$K$5:$K$14,MATCH($A9,'Cohort Summary'!$A$5:$A$14,0))</f>
        <v>0.109090909090913</v>
      </c>
      <c r="M9" s="42" t="n">
        <f aca="false">MAX(I9:K9)</f>
        <v>0.665594855305466</v>
      </c>
      <c r="N9" s="27" t="s">
        <v>197</v>
      </c>
      <c r="O9" s="27"/>
      <c r="P9" s="27" t="str">
        <f aca="false">A9&amp;"|"&amp;N9</f>
        <v>NURSE-01|normal</v>
      </c>
    </row>
    <row r="10" customFormat="false" ht="15" hidden="false" customHeight="true" outlineLevel="0" collapsed="false">
      <c r="A10" s="27" t="s">
        <v>66</v>
      </c>
      <c r="B10" s="41" t="n">
        <v>46303.2944444444</v>
      </c>
      <c r="C10" s="27" t="s">
        <v>195</v>
      </c>
      <c r="D10" s="27" t="n">
        <v>39.3</v>
      </c>
      <c r="E10" s="27" t="n">
        <v>17.2</v>
      </c>
      <c r="F10" s="27" t="n">
        <v>30.9</v>
      </c>
      <c r="G10" s="27" t="n">
        <v>32.9</v>
      </c>
      <c r="H10" s="27" t="s">
        <v>199</v>
      </c>
      <c r="I10" s="42" t="n">
        <f aca="false">(D10-INDEX('Cohort Summary'!$D$5:$D$14,MATCH($A10,'Cohort Summary'!$A$5:$A$14,0)))/INDEX('Cohort Summary'!$E$5:$E$14,MATCH($A10,'Cohort Summary'!$A$5:$A$14,0))</f>
        <v>-0.234726688102895</v>
      </c>
      <c r="J10" s="42" t="n">
        <f aca="false">(E10-INDEX('Cohort Summary'!$F$5:$F$14,MATCH($A10,'Cohort Summary'!$A$5:$A$14,0)))/INDEX('Cohort Summary'!$G$5:$G$14,MATCH($A10,'Cohort Summary'!$A$5:$A$14,0))</f>
        <v>-0.685567010309279</v>
      </c>
      <c r="K10" s="42" t="n">
        <f aca="false">(F10-INDEX('Cohort Summary'!$H$5:$H$14,MATCH($A10,'Cohort Summary'!$A$5:$A$14,0)))/INDEX('Cohort Summary'!$I$5:$I$14,MATCH($A10,'Cohort Summary'!$A$5:$A$14,0))</f>
        <v>0.250980392156862</v>
      </c>
      <c r="L10" s="42" t="n">
        <f aca="false">(G10-INDEX('Cohort Summary'!$J$5:$J$14,MATCH($A10,'Cohort Summary'!$A$5:$A$14,0)))/INDEX('Cohort Summary'!$K$5:$K$14,MATCH($A10,'Cohort Summary'!$A$5:$A$14,0))</f>
        <v>-0.0727272727272712</v>
      </c>
      <c r="M10" s="42" t="n">
        <f aca="false">MAX(I10:K10)</f>
        <v>0.250980392156862</v>
      </c>
      <c r="N10" s="27" t="s">
        <v>197</v>
      </c>
      <c r="O10" s="27"/>
      <c r="P10" s="27" t="str">
        <f aca="false">A10&amp;"|"&amp;N10</f>
        <v>NURSE-01|normal</v>
      </c>
    </row>
    <row r="11" customFormat="false" ht="15" hidden="false" customHeight="true" outlineLevel="0" collapsed="false">
      <c r="A11" s="27" t="s">
        <v>66</v>
      </c>
      <c r="B11" s="41" t="n">
        <v>46303.2947916667</v>
      </c>
      <c r="C11" s="27" t="s">
        <v>195</v>
      </c>
      <c r="D11" s="27" t="n">
        <v>37.5</v>
      </c>
      <c r="E11" s="27" t="n">
        <v>16.3</v>
      </c>
      <c r="F11" s="27" t="n">
        <v>32.8</v>
      </c>
      <c r="G11" s="27" t="n">
        <v>32.2</v>
      </c>
      <c r="H11" s="27" t="s">
        <v>199</v>
      </c>
      <c r="I11" s="42" t="n">
        <f aca="false">(D11-INDEX('Cohort Summary'!$D$5:$D$14,MATCH($A11,'Cohort Summary'!$A$5:$A$14,0)))/INDEX('Cohort Summary'!$E$5:$E$14,MATCH($A11,'Cohort Summary'!$A$5:$A$14,0))</f>
        <v>-0.813504823151126</v>
      </c>
      <c r="J11" s="42" t="n">
        <f aca="false">(E11-INDEX('Cohort Summary'!$F$5:$F$14,MATCH($A11,'Cohort Summary'!$A$5:$A$14,0)))/INDEX('Cohort Summary'!$G$5:$G$14,MATCH($A11,'Cohort Summary'!$A$5:$A$14,0))</f>
        <v>-1.14948453608247</v>
      </c>
      <c r="K11" s="42" t="n">
        <f aca="false">(F11-INDEX('Cohort Summary'!$H$5:$H$14,MATCH($A11,'Cohort Summary'!$A$5:$A$14,0)))/INDEX('Cohort Summary'!$I$5:$I$14,MATCH($A11,'Cohort Summary'!$A$5:$A$14,0))</f>
        <v>0.996078431372547</v>
      </c>
      <c r="L11" s="42" t="n">
        <f aca="false">(G11-INDEX('Cohort Summary'!$J$5:$J$14,MATCH($A11,'Cohort Summary'!$A$5:$A$14,0)))/INDEX('Cohort Summary'!$K$5:$K$14,MATCH($A11,'Cohort Summary'!$A$5:$A$14,0))</f>
        <v>-1.34545454545454</v>
      </c>
      <c r="M11" s="42" t="n">
        <f aca="false">MAX(I11:K11)</f>
        <v>0.996078431372547</v>
      </c>
      <c r="N11" s="27" t="s">
        <v>197</v>
      </c>
      <c r="O11" s="27"/>
      <c r="P11" s="27" t="str">
        <f aca="false">A11&amp;"|"&amp;N11</f>
        <v>NURSE-01|normal</v>
      </c>
    </row>
    <row r="12" customFormat="false" ht="15" hidden="false" customHeight="true" outlineLevel="0" collapsed="false">
      <c r="A12" s="27" t="s">
        <v>66</v>
      </c>
      <c r="B12" s="41" t="n">
        <v>46303.2951388889</v>
      </c>
      <c r="C12" s="27" t="s">
        <v>195</v>
      </c>
      <c r="D12" s="27" t="n">
        <v>40.3</v>
      </c>
      <c r="E12" s="27" t="n">
        <v>21.1</v>
      </c>
      <c r="F12" s="27" t="n">
        <v>32.3</v>
      </c>
      <c r="G12" s="27" t="n">
        <v>32.6</v>
      </c>
      <c r="H12" s="27" t="s">
        <v>198</v>
      </c>
      <c r="I12" s="42" t="n">
        <f aca="false">(D12-INDEX('Cohort Summary'!$D$5:$D$14,MATCH($A12,'Cohort Summary'!$A$5:$A$14,0)))/INDEX('Cohort Summary'!$E$5:$E$14,MATCH($A12,'Cohort Summary'!$A$5:$A$14,0))</f>
        <v>0.0868167202572335</v>
      </c>
      <c r="J12" s="42" t="n">
        <f aca="false">(E12-INDEX('Cohort Summary'!$F$5:$F$14,MATCH($A12,'Cohort Summary'!$A$5:$A$14,0)))/INDEX('Cohort Summary'!$G$5:$G$14,MATCH($A12,'Cohort Summary'!$A$5:$A$14,0))</f>
        <v>1.32474226804124</v>
      </c>
      <c r="K12" s="42" t="n">
        <f aca="false">(F12-INDEX('Cohort Summary'!$H$5:$H$14,MATCH($A12,'Cohort Summary'!$A$5:$A$14,0)))/INDEX('Cohort Summary'!$I$5:$I$14,MATCH($A12,'Cohort Summary'!$A$5:$A$14,0))</f>
        <v>0.799999999999998</v>
      </c>
      <c r="L12" s="42" t="n">
        <f aca="false">(G12-INDEX('Cohort Summary'!$J$5:$J$14,MATCH($A12,'Cohort Summary'!$A$5:$A$14,0)))/INDEX('Cohort Summary'!$K$5:$K$14,MATCH($A12,'Cohort Summary'!$A$5:$A$14,0))</f>
        <v>-0.618181818181811</v>
      </c>
      <c r="M12" s="42" t="n">
        <f aca="false">MAX(I12:K12)</f>
        <v>1.32474226804124</v>
      </c>
      <c r="N12" s="27" t="s">
        <v>197</v>
      </c>
      <c r="O12" s="27"/>
      <c r="P12" s="27" t="str">
        <f aca="false">A12&amp;"|"&amp;N12</f>
        <v>NURSE-01|normal</v>
      </c>
    </row>
    <row r="13" customFormat="false" ht="15" hidden="false" customHeight="true" outlineLevel="0" collapsed="false">
      <c r="A13" s="27" t="s">
        <v>66</v>
      </c>
      <c r="B13" s="41" t="n">
        <v>46303.2954861111</v>
      </c>
      <c r="C13" s="27" t="s">
        <v>195</v>
      </c>
      <c r="D13" s="27" t="n">
        <v>36.2</v>
      </c>
      <c r="E13" s="27" t="n">
        <v>17.9</v>
      </c>
      <c r="F13" s="27" t="n">
        <v>32.6</v>
      </c>
      <c r="G13" s="27" t="n">
        <v>32.3</v>
      </c>
      <c r="H13" s="27" t="s">
        <v>199</v>
      </c>
      <c r="I13" s="42" t="n">
        <f aca="false">(D13-INDEX('Cohort Summary'!$D$5:$D$14,MATCH($A13,'Cohort Summary'!$A$5:$A$14,0)))/INDEX('Cohort Summary'!$E$5:$E$14,MATCH($A13,'Cohort Summary'!$A$5:$A$14,0))</f>
        <v>-1.23151125401929</v>
      </c>
      <c r="J13" s="42" t="n">
        <f aca="false">(E13-INDEX('Cohort Summary'!$F$5:$F$14,MATCH($A13,'Cohort Summary'!$A$5:$A$14,0)))/INDEX('Cohort Summary'!$G$5:$G$14,MATCH($A13,'Cohort Summary'!$A$5:$A$14,0))</f>
        <v>-0.324742268041238</v>
      </c>
      <c r="K13" s="42" t="n">
        <f aca="false">(F13-INDEX('Cohort Summary'!$H$5:$H$14,MATCH($A13,'Cohort Summary'!$A$5:$A$14,0)))/INDEX('Cohort Summary'!$I$5:$I$14,MATCH($A13,'Cohort Summary'!$A$5:$A$14,0))</f>
        <v>0.917647058823529</v>
      </c>
      <c r="L13" s="42" t="n">
        <f aca="false">(G13-INDEX('Cohort Summary'!$J$5:$J$14,MATCH($A13,'Cohort Summary'!$A$5:$A$14,0)))/INDEX('Cohort Summary'!$K$5:$K$14,MATCH($A13,'Cohort Summary'!$A$5:$A$14,0))</f>
        <v>-1.16363636363636</v>
      </c>
      <c r="M13" s="42" t="n">
        <f aca="false">MAX(I13:K13)</f>
        <v>0.917647058823529</v>
      </c>
      <c r="N13" s="27" t="s">
        <v>197</v>
      </c>
      <c r="O13" s="27"/>
      <c r="P13" s="27" t="str">
        <f aca="false">A13&amp;"|"&amp;N13</f>
        <v>NURSE-01|normal</v>
      </c>
    </row>
    <row r="14" customFormat="false" ht="15" hidden="false" customHeight="true" outlineLevel="0" collapsed="false">
      <c r="A14" s="27" t="s">
        <v>66</v>
      </c>
      <c r="B14" s="41" t="n">
        <v>46303.2958333333</v>
      </c>
      <c r="C14" s="27" t="s">
        <v>195</v>
      </c>
      <c r="D14" s="27" t="n">
        <v>39.2</v>
      </c>
      <c r="E14" s="27" t="n">
        <v>21.7</v>
      </c>
      <c r="F14" s="27" t="n">
        <v>25.8</v>
      </c>
      <c r="G14" s="27" t="n">
        <v>33.1</v>
      </c>
      <c r="H14" s="27" t="s">
        <v>199</v>
      </c>
      <c r="I14" s="42" t="n">
        <f aca="false">(D14-INDEX('Cohort Summary'!$D$5:$D$14,MATCH($A14,'Cohort Summary'!$A$5:$A$14,0)))/INDEX('Cohort Summary'!$E$5:$E$14,MATCH($A14,'Cohort Summary'!$A$5:$A$14,0))</f>
        <v>-0.266881028938906</v>
      </c>
      <c r="J14" s="42" t="n">
        <f aca="false">(E14-INDEX('Cohort Summary'!$F$5:$F$14,MATCH($A14,'Cohort Summary'!$A$5:$A$14,0)))/INDEX('Cohort Summary'!$G$5:$G$14,MATCH($A14,'Cohort Summary'!$A$5:$A$14,0))</f>
        <v>1.6340206185567</v>
      </c>
      <c r="K14" s="42" t="n">
        <f aca="false">(F14-INDEX('Cohort Summary'!$H$5:$H$14,MATCH($A14,'Cohort Summary'!$A$5:$A$14,0)))/INDEX('Cohort Summary'!$I$5:$I$14,MATCH($A14,'Cohort Summary'!$A$5:$A$14,0))</f>
        <v>-1.74901960784314</v>
      </c>
      <c r="L14" s="42" t="n">
        <f aca="false">(G14-INDEX('Cohort Summary'!$J$5:$J$14,MATCH($A14,'Cohort Summary'!$A$5:$A$14,0)))/INDEX('Cohort Summary'!$K$5:$K$14,MATCH($A14,'Cohort Summary'!$A$5:$A$14,0))</f>
        <v>0.290909090909098</v>
      </c>
      <c r="M14" s="42" t="n">
        <f aca="false">MAX(I14:K14)</f>
        <v>1.6340206185567</v>
      </c>
      <c r="N14" s="27" t="s">
        <v>197</v>
      </c>
      <c r="O14" s="27"/>
      <c r="P14" s="27" t="str">
        <f aca="false">A14&amp;"|"&amp;N14</f>
        <v>NURSE-01|normal</v>
      </c>
    </row>
    <row r="15" customFormat="false" ht="15" hidden="false" customHeight="true" outlineLevel="0" collapsed="false">
      <c r="A15" s="27" t="s">
        <v>66</v>
      </c>
      <c r="B15" s="41" t="n">
        <v>46303.2961805556</v>
      </c>
      <c r="C15" s="27" t="s">
        <v>195</v>
      </c>
      <c r="D15" s="27" t="n">
        <v>38.4</v>
      </c>
      <c r="E15" s="27" t="n">
        <v>17.5</v>
      </c>
      <c r="F15" s="27" t="n">
        <v>30</v>
      </c>
      <c r="G15" s="27" t="n">
        <v>33.6</v>
      </c>
      <c r="H15" s="27" t="s">
        <v>198</v>
      </c>
      <c r="I15" s="42" t="n">
        <f aca="false">(D15-INDEX('Cohort Summary'!$D$5:$D$14,MATCH($A15,'Cohort Summary'!$A$5:$A$14,0)))/INDEX('Cohort Summary'!$E$5:$E$14,MATCH($A15,'Cohort Summary'!$A$5:$A$14,0))</f>
        <v>-0.524115755627011</v>
      </c>
      <c r="J15" s="42" t="n">
        <f aca="false">(E15-INDEX('Cohort Summary'!$F$5:$F$14,MATCH($A15,'Cohort Summary'!$A$5:$A$14,0)))/INDEX('Cohort Summary'!$G$5:$G$14,MATCH($A15,'Cohort Summary'!$A$5:$A$14,0))</f>
        <v>-0.530927835051547</v>
      </c>
      <c r="K15" s="42" t="n">
        <f aca="false">(F15-INDEX('Cohort Summary'!$H$5:$H$14,MATCH($A15,'Cohort Summary'!$A$5:$A$14,0)))/INDEX('Cohort Summary'!$I$5:$I$14,MATCH($A15,'Cohort Summary'!$A$5:$A$14,0))</f>
        <v>-0.101960784313726</v>
      </c>
      <c r="L15" s="42" t="n">
        <f aca="false">(G15-INDEX('Cohort Summary'!$J$5:$J$14,MATCH($A15,'Cohort Summary'!$A$5:$A$14,0)))/INDEX('Cohort Summary'!$K$5:$K$14,MATCH($A15,'Cohort Summary'!$A$5:$A$14,0))</f>
        <v>1.20000000000001</v>
      </c>
      <c r="M15" s="42" t="n">
        <f aca="false">MAX(I15:K15)</f>
        <v>-0.101960784313726</v>
      </c>
      <c r="N15" s="27" t="s">
        <v>197</v>
      </c>
      <c r="O15" s="27"/>
      <c r="P15" s="27" t="str">
        <f aca="false">A15&amp;"|"&amp;N15</f>
        <v>NURSE-01|normal</v>
      </c>
    </row>
    <row r="16" customFormat="false" ht="15" hidden="false" customHeight="true" outlineLevel="0" collapsed="false">
      <c r="A16" s="27" t="s">
        <v>66</v>
      </c>
      <c r="B16" s="41" t="n">
        <v>46303.2965277778</v>
      </c>
      <c r="C16" s="27" t="s">
        <v>195</v>
      </c>
      <c r="D16" s="27" t="n">
        <v>43.4</v>
      </c>
      <c r="E16" s="27" t="n">
        <v>21.6</v>
      </c>
      <c r="F16" s="27" t="n">
        <v>29.7</v>
      </c>
      <c r="G16" s="27" t="n">
        <v>33.3</v>
      </c>
      <c r="H16" s="27" t="s">
        <v>198</v>
      </c>
      <c r="I16" s="42" t="n">
        <f aca="false">(D16-INDEX('Cohort Summary'!$D$5:$D$14,MATCH($A16,'Cohort Summary'!$A$5:$A$14,0)))/INDEX('Cohort Summary'!$E$5:$E$14,MATCH($A16,'Cohort Summary'!$A$5:$A$14,0))</f>
        <v>1.08360128617363</v>
      </c>
      <c r="J16" s="42" t="n">
        <f aca="false">(E16-INDEX('Cohort Summary'!$F$5:$F$14,MATCH($A16,'Cohort Summary'!$A$5:$A$14,0)))/INDEX('Cohort Summary'!$G$5:$G$14,MATCH($A16,'Cohort Summary'!$A$5:$A$14,0))</f>
        <v>1.58247422680412</v>
      </c>
      <c r="K16" s="42" t="n">
        <f aca="false">(F16-INDEX('Cohort Summary'!$H$5:$H$14,MATCH($A16,'Cohort Summary'!$A$5:$A$14,0)))/INDEX('Cohort Summary'!$I$5:$I$14,MATCH($A16,'Cohort Summary'!$A$5:$A$14,0))</f>
        <v>-0.219607843137256</v>
      </c>
      <c r="L16" s="42" t="n">
        <f aca="false">(G16-INDEX('Cohort Summary'!$J$5:$J$14,MATCH($A16,'Cohort Summary'!$A$5:$A$14,0)))/INDEX('Cohort Summary'!$K$5:$K$14,MATCH($A16,'Cohort Summary'!$A$5:$A$14,0))</f>
        <v>0.654545454545453</v>
      </c>
      <c r="M16" s="42" t="n">
        <f aca="false">MAX(I16:K16)</f>
        <v>1.58247422680412</v>
      </c>
      <c r="N16" s="27" t="s">
        <v>197</v>
      </c>
      <c r="O16" s="27"/>
      <c r="P16" s="27" t="str">
        <f aca="false">A16&amp;"|"&amp;N16</f>
        <v>NURSE-01|normal</v>
      </c>
    </row>
    <row r="17" customFormat="false" ht="15" hidden="false" customHeight="true" outlineLevel="0" collapsed="false">
      <c r="A17" s="27" t="s">
        <v>66</v>
      </c>
      <c r="B17" s="41" t="n">
        <v>46303.296875</v>
      </c>
      <c r="C17" s="27" t="s">
        <v>195</v>
      </c>
      <c r="D17" s="27" t="n">
        <v>42.3</v>
      </c>
      <c r="E17" s="27" t="n">
        <v>17.2</v>
      </c>
      <c r="F17" s="27" t="n">
        <v>30.8</v>
      </c>
      <c r="G17" s="27" t="n">
        <v>33.4</v>
      </c>
      <c r="H17" s="27" t="s">
        <v>199</v>
      </c>
      <c r="I17" s="42" t="n">
        <f aca="false">(D17-INDEX('Cohort Summary'!$D$5:$D$14,MATCH($A17,'Cohort Summary'!$A$5:$A$14,0)))/INDEX('Cohort Summary'!$E$5:$E$14,MATCH($A17,'Cohort Summary'!$A$5:$A$14,0))</f>
        <v>0.729903536977491</v>
      </c>
      <c r="J17" s="42" t="n">
        <f aca="false">(E17-INDEX('Cohort Summary'!$F$5:$F$14,MATCH($A17,'Cohort Summary'!$A$5:$A$14,0)))/INDEX('Cohort Summary'!$G$5:$G$14,MATCH($A17,'Cohort Summary'!$A$5:$A$14,0))</f>
        <v>-0.685567010309279</v>
      </c>
      <c r="K17" s="42" t="n">
        <f aca="false">(F17-INDEX('Cohort Summary'!$H$5:$H$14,MATCH($A17,'Cohort Summary'!$A$5:$A$14,0)))/INDEX('Cohort Summary'!$I$5:$I$14,MATCH($A17,'Cohort Summary'!$A$5:$A$14,0))</f>
        <v>0.211764705882353</v>
      </c>
      <c r="L17" s="42" t="n">
        <f aca="false">(G17-INDEX('Cohort Summary'!$J$5:$J$14,MATCH($A17,'Cohort Summary'!$A$5:$A$14,0)))/INDEX('Cohort Summary'!$K$5:$K$14,MATCH($A17,'Cohort Summary'!$A$5:$A$14,0))</f>
        <v>0.836363636363638</v>
      </c>
      <c r="M17" s="42" t="n">
        <f aca="false">MAX(I17:K17)</f>
        <v>0.729903536977491</v>
      </c>
      <c r="N17" s="27" t="s">
        <v>197</v>
      </c>
      <c r="O17" s="27"/>
      <c r="P17" s="27" t="str">
        <f aca="false">A17&amp;"|"&amp;N17</f>
        <v>NURSE-01|normal</v>
      </c>
    </row>
    <row r="18" customFormat="false" ht="15" hidden="false" customHeight="true" outlineLevel="0" collapsed="false">
      <c r="A18" s="27" t="s">
        <v>66</v>
      </c>
      <c r="B18" s="41" t="n">
        <v>46303.2972222222</v>
      </c>
      <c r="C18" s="27" t="s">
        <v>195</v>
      </c>
      <c r="D18" s="27" t="n">
        <v>37.8</v>
      </c>
      <c r="E18" s="27" t="n">
        <v>17.7</v>
      </c>
      <c r="F18" s="27" t="n">
        <v>31.7</v>
      </c>
      <c r="G18" s="27" t="n">
        <v>32</v>
      </c>
      <c r="H18" s="27" t="s">
        <v>199</v>
      </c>
      <c r="I18" s="42" t="n">
        <f aca="false">(D18-INDEX('Cohort Summary'!$D$5:$D$14,MATCH($A18,'Cohort Summary'!$A$5:$A$14,0)))/INDEX('Cohort Summary'!$E$5:$E$14,MATCH($A18,'Cohort Summary'!$A$5:$A$14,0))</f>
        <v>-0.717041800643088</v>
      </c>
      <c r="J18" s="42" t="n">
        <f aca="false">(E18-INDEX('Cohort Summary'!$F$5:$F$14,MATCH($A18,'Cohort Summary'!$A$5:$A$14,0)))/INDEX('Cohort Summary'!$G$5:$G$14,MATCH($A18,'Cohort Summary'!$A$5:$A$14,0))</f>
        <v>-0.427835051546393</v>
      </c>
      <c r="K18" s="42" t="n">
        <f aca="false">(F18-INDEX('Cohort Summary'!$H$5:$H$14,MATCH($A18,'Cohort Summary'!$A$5:$A$14,0)))/INDEX('Cohort Summary'!$I$5:$I$14,MATCH($A18,'Cohort Summary'!$A$5:$A$14,0))</f>
        <v>0.56470588235294</v>
      </c>
      <c r="L18" s="42" t="n">
        <f aca="false">(G18-INDEX('Cohort Summary'!$J$5:$J$14,MATCH($A18,'Cohort Summary'!$A$5:$A$14,0)))/INDEX('Cohort Summary'!$K$5:$K$14,MATCH($A18,'Cohort Summary'!$A$5:$A$14,0))</f>
        <v>-1.7090909090909</v>
      </c>
      <c r="M18" s="42" t="n">
        <f aca="false">MAX(I18:K18)</f>
        <v>0.56470588235294</v>
      </c>
      <c r="N18" s="27" t="s">
        <v>197</v>
      </c>
      <c r="O18" s="27"/>
      <c r="P18" s="27" t="str">
        <f aca="false">A18&amp;"|"&amp;N18</f>
        <v>NURSE-01|normal</v>
      </c>
    </row>
    <row r="19" customFormat="false" ht="15" hidden="false" customHeight="true" outlineLevel="0" collapsed="false">
      <c r="A19" s="27" t="s">
        <v>66</v>
      </c>
      <c r="B19" s="41" t="n">
        <v>46303.2975694445</v>
      </c>
      <c r="C19" s="27" t="s">
        <v>195</v>
      </c>
      <c r="D19" s="27" t="n">
        <v>38.6</v>
      </c>
      <c r="E19" s="27" t="n">
        <v>19.3</v>
      </c>
      <c r="F19" s="27" t="n">
        <v>29.9</v>
      </c>
      <c r="G19" s="27" t="n">
        <v>32.4</v>
      </c>
      <c r="H19" s="27" t="s">
        <v>199</v>
      </c>
      <c r="I19" s="42" t="n">
        <f aca="false">(D19-INDEX('Cohort Summary'!$D$5:$D$14,MATCH($A19,'Cohort Summary'!$A$5:$A$14,0)))/INDEX('Cohort Summary'!$E$5:$E$14,MATCH($A19,'Cohort Summary'!$A$5:$A$14,0))</f>
        <v>-0.459807073954984</v>
      </c>
      <c r="J19" s="42" t="n">
        <f aca="false">(E19-INDEX('Cohort Summary'!$F$5:$F$14,MATCH($A19,'Cohort Summary'!$A$5:$A$14,0)))/INDEX('Cohort Summary'!$G$5:$G$14,MATCH($A19,'Cohort Summary'!$A$5:$A$14,0))</f>
        <v>0.396907216494845</v>
      </c>
      <c r="K19" s="42" t="n">
        <f aca="false">(F19-INDEX('Cohort Summary'!$H$5:$H$14,MATCH($A19,'Cohort Summary'!$A$5:$A$14,0)))/INDEX('Cohort Summary'!$I$5:$I$14,MATCH($A19,'Cohort Summary'!$A$5:$A$14,0))</f>
        <v>-0.141176470588236</v>
      </c>
      <c r="L19" s="42" t="n">
        <f aca="false">(G19-INDEX('Cohort Summary'!$J$5:$J$14,MATCH($A19,'Cohort Summary'!$A$5:$A$14,0)))/INDEX('Cohort Summary'!$K$5:$K$14,MATCH($A19,'Cohort Summary'!$A$5:$A$14,0))</f>
        <v>-0.98181818181818</v>
      </c>
      <c r="M19" s="42" t="n">
        <f aca="false">MAX(I19:K19)</f>
        <v>0.396907216494845</v>
      </c>
      <c r="N19" s="27" t="s">
        <v>197</v>
      </c>
      <c r="O19" s="27"/>
      <c r="P19" s="27" t="str">
        <f aca="false">A19&amp;"|"&amp;N19</f>
        <v>NURSE-01|normal</v>
      </c>
    </row>
    <row r="20" customFormat="false" ht="15" hidden="false" customHeight="true" outlineLevel="0" collapsed="false">
      <c r="A20" s="27" t="s">
        <v>66</v>
      </c>
      <c r="B20" s="41" t="n">
        <v>46303.2979166667</v>
      </c>
      <c r="C20" s="27" t="s">
        <v>195</v>
      </c>
      <c r="D20" s="27" t="n">
        <v>36.3</v>
      </c>
      <c r="E20" s="27" t="n">
        <v>16.7</v>
      </c>
      <c r="F20" s="27" t="n">
        <v>28.9</v>
      </c>
      <c r="G20" s="27" t="n">
        <v>33.7</v>
      </c>
      <c r="H20" s="27" t="s">
        <v>198</v>
      </c>
      <c r="I20" s="42" t="n">
        <f aca="false">(D20-INDEX('Cohort Summary'!$D$5:$D$14,MATCH($A20,'Cohort Summary'!$A$5:$A$14,0)))/INDEX('Cohort Summary'!$E$5:$E$14,MATCH($A20,'Cohort Summary'!$A$5:$A$14,0))</f>
        <v>-1.19935691318328</v>
      </c>
      <c r="J20" s="42" t="n">
        <f aca="false">(E20-INDEX('Cohort Summary'!$F$5:$F$14,MATCH($A20,'Cohort Summary'!$A$5:$A$14,0)))/INDEX('Cohort Summary'!$G$5:$G$14,MATCH($A20,'Cohort Summary'!$A$5:$A$14,0))</f>
        <v>-0.943298969072166</v>
      </c>
      <c r="K20" s="42" t="n">
        <f aca="false">(F20-INDEX('Cohort Summary'!$H$5:$H$14,MATCH($A20,'Cohort Summary'!$A$5:$A$14,0)))/INDEX('Cohort Summary'!$I$5:$I$14,MATCH($A20,'Cohort Summary'!$A$5:$A$14,0))</f>
        <v>-0.533333333333335</v>
      </c>
      <c r="L20" s="42" t="n">
        <f aca="false">(G20-INDEX('Cohort Summary'!$J$5:$J$14,MATCH($A20,'Cohort Summary'!$A$5:$A$14,0)))/INDEX('Cohort Summary'!$K$5:$K$14,MATCH($A20,'Cohort Summary'!$A$5:$A$14,0))</f>
        <v>1.38181818181819</v>
      </c>
      <c r="M20" s="42" t="n">
        <f aca="false">MAX(I20:K20)</f>
        <v>-0.533333333333335</v>
      </c>
      <c r="N20" s="27" t="s">
        <v>197</v>
      </c>
      <c r="O20" s="27"/>
      <c r="P20" s="27" t="str">
        <f aca="false">A20&amp;"|"&amp;N20</f>
        <v>NURSE-01|normal</v>
      </c>
    </row>
    <row r="21" customFormat="false" ht="15" hidden="false" customHeight="true" outlineLevel="0" collapsed="false">
      <c r="A21" s="27" t="s">
        <v>66</v>
      </c>
      <c r="B21" s="41" t="n">
        <v>46303.2982638889</v>
      </c>
      <c r="C21" s="27" t="s">
        <v>195</v>
      </c>
      <c r="D21" s="27" t="n">
        <v>36.7</v>
      </c>
      <c r="E21" s="27" t="n">
        <v>17.8</v>
      </c>
      <c r="F21" s="27" t="n">
        <v>27.8</v>
      </c>
      <c r="G21" s="27" t="n">
        <v>32.3</v>
      </c>
      <c r="H21" s="27" t="s">
        <v>199</v>
      </c>
      <c r="I21" s="42" t="n">
        <f aca="false">(D21-INDEX('Cohort Summary'!$D$5:$D$14,MATCH($A21,'Cohort Summary'!$A$5:$A$14,0)))/INDEX('Cohort Summary'!$E$5:$E$14,MATCH($A21,'Cohort Summary'!$A$5:$A$14,0))</f>
        <v>-1.07073954983923</v>
      </c>
      <c r="J21" s="42" t="n">
        <f aca="false">(E21-INDEX('Cohort Summary'!$F$5:$F$14,MATCH($A21,'Cohort Summary'!$A$5:$A$14,0)))/INDEX('Cohort Summary'!$G$5:$G$14,MATCH($A21,'Cohort Summary'!$A$5:$A$14,0))</f>
        <v>-0.376288659793815</v>
      </c>
      <c r="K21" s="42" t="n">
        <f aca="false">(F21-INDEX('Cohort Summary'!$H$5:$H$14,MATCH($A21,'Cohort Summary'!$A$5:$A$14,0)))/INDEX('Cohort Summary'!$I$5:$I$14,MATCH($A21,'Cohort Summary'!$A$5:$A$14,0))</f>
        <v>-0.964705882352942</v>
      </c>
      <c r="L21" s="42" t="n">
        <f aca="false">(G21-INDEX('Cohort Summary'!$J$5:$J$14,MATCH($A21,'Cohort Summary'!$A$5:$A$14,0)))/INDEX('Cohort Summary'!$K$5:$K$14,MATCH($A21,'Cohort Summary'!$A$5:$A$14,0))</f>
        <v>-1.16363636363636</v>
      </c>
      <c r="M21" s="42" t="n">
        <f aca="false">MAX(I21:K21)</f>
        <v>-0.376288659793815</v>
      </c>
      <c r="N21" s="27" t="s">
        <v>197</v>
      </c>
      <c r="O21" s="27"/>
      <c r="P21" s="27" t="str">
        <f aca="false">A21&amp;"|"&amp;N21</f>
        <v>NURSE-01|normal</v>
      </c>
    </row>
    <row r="22" customFormat="false" ht="15" hidden="false" customHeight="true" outlineLevel="0" collapsed="false">
      <c r="A22" s="27" t="s">
        <v>66</v>
      </c>
      <c r="B22" s="41" t="n">
        <v>46303.2986111111</v>
      </c>
      <c r="C22" s="27" t="s">
        <v>195</v>
      </c>
      <c r="D22" s="27" t="n">
        <v>43.6</v>
      </c>
      <c r="E22" s="27" t="n">
        <v>16.9</v>
      </c>
      <c r="F22" s="27" t="n">
        <v>29.2</v>
      </c>
      <c r="G22" s="27" t="n">
        <v>32.7</v>
      </c>
      <c r="H22" s="27" t="s">
        <v>199</v>
      </c>
      <c r="I22" s="42" t="n">
        <f aca="false">(D22-INDEX('Cohort Summary'!$D$5:$D$14,MATCH($A22,'Cohort Summary'!$A$5:$A$14,0)))/INDEX('Cohort Summary'!$E$5:$E$14,MATCH($A22,'Cohort Summary'!$A$5:$A$14,0))</f>
        <v>1.14790996784566</v>
      </c>
      <c r="J22" s="42" t="n">
        <f aca="false">(E22-INDEX('Cohort Summary'!$F$5:$F$14,MATCH($A22,'Cohort Summary'!$A$5:$A$14,0)))/INDEX('Cohort Summary'!$G$5:$G$14,MATCH($A22,'Cohort Summary'!$A$5:$A$14,0))</f>
        <v>-0.840206185567012</v>
      </c>
      <c r="K22" s="42" t="n">
        <f aca="false">(F22-INDEX('Cohort Summary'!$H$5:$H$14,MATCH($A22,'Cohort Summary'!$A$5:$A$14,0)))/INDEX('Cohort Summary'!$I$5:$I$14,MATCH($A22,'Cohort Summary'!$A$5:$A$14,0))</f>
        <v>-0.415686274509805</v>
      </c>
      <c r="L22" s="42" t="n">
        <f aca="false">(G22-INDEX('Cohort Summary'!$J$5:$J$14,MATCH($A22,'Cohort Summary'!$A$5:$A$14,0)))/INDEX('Cohort Summary'!$K$5:$K$14,MATCH($A22,'Cohort Summary'!$A$5:$A$14,0))</f>
        <v>-0.436363636363627</v>
      </c>
      <c r="M22" s="42" t="n">
        <f aca="false">MAX(I22:K22)</f>
        <v>1.14790996784566</v>
      </c>
      <c r="N22" s="27" t="s">
        <v>197</v>
      </c>
      <c r="O22" s="27"/>
      <c r="P22" s="27" t="str">
        <f aca="false">A22&amp;"|"&amp;N22</f>
        <v>NURSE-01|normal</v>
      </c>
    </row>
    <row r="23" customFormat="false" ht="15" hidden="false" customHeight="true" outlineLevel="0" collapsed="false">
      <c r="A23" s="27" t="s">
        <v>66</v>
      </c>
      <c r="B23" s="41" t="n">
        <v>46303.2989583333</v>
      </c>
      <c r="C23" s="27" t="s">
        <v>195</v>
      </c>
      <c r="D23" s="27" t="n">
        <v>44.6</v>
      </c>
      <c r="E23" s="27" t="n">
        <v>16.1</v>
      </c>
      <c r="F23" s="27" t="n">
        <v>26.8</v>
      </c>
      <c r="G23" s="27" t="n">
        <v>32.5</v>
      </c>
      <c r="H23" s="27" t="s">
        <v>198</v>
      </c>
      <c r="I23" s="42" t="n">
        <f aca="false">(D23-INDEX('Cohort Summary'!$D$5:$D$14,MATCH($A23,'Cohort Summary'!$A$5:$A$14,0)))/INDEX('Cohort Summary'!$E$5:$E$14,MATCH($A23,'Cohort Summary'!$A$5:$A$14,0))</f>
        <v>1.46945337620579</v>
      </c>
      <c r="J23" s="42" t="n">
        <f aca="false">(E23-INDEX('Cohort Summary'!$F$5:$F$14,MATCH($A23,'Cohort Summary'!$A$5:$A$14,0)))/INDEX('Cohort Summary'!$G$5:$G$14,MATCH($A23,'Cohort Summary'!$A$5:$A$14,0))</f>
        <v>-1.25257731958763</v>
      </c>
      <c r="K23" s="42" t="n">
        <f aca="false">(F23-INDEX('Cohort Summary'!$H$5:$H$14,MATCH($A23,'Cohort Summary'!$A$5:$A$14,0)))/INDEX('Cohort Summary'!$I$5:$I$14,MATCH($A23,'Cohort Summary'!$A$5:$A$14,0))</f>
        <v>-1.35686274509804</v>
      </c>
      <c r="L23" s="42" t="n">
        <f aca="false">(G23-INDEX('Cohort Summary'!$J$5:$J$14,MATCH($A23,'Cohort Summary'!$A$5:$A$14,0)))/INDEX('Cohort Summary'!$K$5:$K$14,MATCH($A23,'Cohort Summary'!$A$5:$A$14,0))</f>
        <v>-0.799999999999996</v>
      </c>
      <c r="M23" s="42" t="n">
        <f aca="false">MAX(I23:K23)</f>
        <v>1.46945337620579</v>
      </c>
      <c r="N23" s="27" t="s">
        <v>197</v>
      </c>
      <c r="O23" s="27"/>
      <c r="P23" s="27" t="str">
        <f aca="false">A23&amp;"|"&amp;N23</f>
        <v>NURSE-01|normal</v>
      </c>
    </row>
    <row r="24" customFormat="false" ht="15" hidden="false" customHeight="true" outlineLevel="0" collapsed="false">
      <c r="A24" s="27" t="s">
        <v>66</v>
      </c>
      <c r="B24" s="41" t="n">
        <v>46303.2993055556</v>
      </c>
      <c r="C24" s="27" t="s">
        <v>195</v>
      </c>
      <c r="D24" s="27" t="n">
        <v>35.1</v>
      </c>
      <c r="E24" s="27" t="n">
        <v>20.8</v>
      </c>
      <c r="F24" s="27" t="n">
        <v>26.8</v>
      </c>
      <c r="G24" s="27" t="n">
        <v>32.6</v>
      </c>
      <c r="H24" s="27" t="s">
        <v>198</v>
      </c>
      <c r="I24" s="42" t="n">
        <f aca="false">(D24-INDEX('Cohort Summary'!$D$5:$D$14,MATCH($A24,'Cohort Summary'!$A$5:$A$14,0)))/INDEX('Cohort Summary'!$E$5:$E$14,MATCH($A24,'Cohort Summary'!$A$5:$A$14,0))</f>
        <v>-1.58520900321543</v>
      </c>
      <c r="J24" s="42" t="n">
        <f aca="false">(E24-INDEX('Cohort Summary'!$F$5:$F$14,MATCH($A24,'Cohort Summary'!$A$5:$A$14,0)))/INDEX('Cohort Summary'!$G$5:$G$14,MATCH($A24,'Cohort Summary'!$A$5:$A$14,0))</f>
        <v>1.17010309278351</v>
      </c>
      <c r="K24" s="42" t="n">
        <f aca="false">(F24-INDEX('Cohort Summary'!$H$5:$H$14,MATCH($A24,'Cohort Summary'!$A$5:$A$14,0)))/INDEX('Cohort Summary'!$I$5:$I$14,MATCH($A24,'Cohort Summary'!$A$5:$A$14,0))</f>
        <v>-1.35686274509804</v>
      </c>
      <c r="L24" s="42" t="n">
        <f aca="false">(G24-INDEX('Cohort Summary'!$J$5:$J$14,MATCH($A24,'Cohort Summary'!$A$5:$A$14,0)))/INDEX('Cohort Summary'!$K$5:$K$14,MATCH($A24,'Cohort Summary'!$A$5:$A$14,0))</f>
        <v>-0.618181818181811</v>
      </c>
      <c r="M24" s="42" t="n">
        <f aca="false">MAX(I24:K24)</f>
        <v>1.17010309278351</v>
      </c>
      <c r="N24" s="27" t="s">
        <v>197</v>
      </c>
      <c r="O24" s="27"/>
      <c r="P24" s="27" t="str">
        <f aca="false">A24&amp;"|"&amp;N24</f>
        <v>NURSE-01|normal</v>
      </c>
    </row>
    <row r="25" customFormat="false" ht="15" hidden="false" customHeight="true" outlineLevel="0" collapsed="false">
      <c r="A25" s="27" t="s">
        <v>66</v>
      </c>
      <c r="B25" s="41" t="n">
        <v>46303.2996527778</v>
      </c>
      <c r="C25" s="27" t="s">
        <v>195</v>
      </c>
      <c r="D25" s="27" t="n">
        <v>39.2</v>
      </c>
      <c r="E25" s="27" t="n">
        <v>17.6</v>
      </c>
      <c r="F25" s="27" t="n">
        <v>30.7</v>
      </c>
      <c r="G25" s="27" t="n">
        <v>33.9</v>
      </c>
      <c r="H25" s="27" t="s">
        <v>196</v>
      </c>
      <c r="I25" s="42" t="n">
        <f aca="false">(D25-INDEX('Cohort Summary'!$D$5:$D$14,MATCH($A25,'Cohort Summary'!$A$5:$A$14,0)))/INDEX('Cohort Summary'!$E$5:$E$14,MATCH($A25,'Cohort Summary'!$A$5:$A$14,0))</f>
        <v>-0.266881028938906</v>
      </c>
      <c r="J25" s="42" t="n">
        <f aca="false">(E25-INDEX('Cohort Summary'!$F$5:$F$14,MATCH($A25,'Cohort Summary'!$A$5:$A$14,0)))/INDEX('Cohort Summary'!$G$5:$G$14,MATCH($A25,'Cohort Summary'!$A$5:$A$14,0))</f>
        <v>-0.479381443298969</v>
      </c>
      <c r="K25" s="42" t="n">
        <f aca="false">(F25-INDEX('Cohort Summary'!$H$5:$H$14,MATCH($A25,'Cohort Summary'!$A$5:$A$14,0)))/INDEX('Cohort Summary'!$I$5:$I$14,MATCH($A25,'Cohort Summary'!$A$5:$A$14,0))</f>
        <v>0.172549019607842</v>
      </c>
      <c r="L25" s="42" t="n">
        <f aca="false">(G25-INDEX('Cohort Summary'!$J$5:$J$14,MATCH($A25,'Cohort Summary'!$A$5:$A$14,0)))/INDEX('Cohort Summary'!$K$5:$K$14,MATCH($A25,'Cohort Summary'!$A$5:$A$14,0))</f>
        <v>1.74545454545455</v>
      </c>
      <c r="M25" s="42" t="n">
        <f aca="false">MAX(I25:K25)</f>
        <v>0.172549019607842</v>
      </c>
      <c r="N25" s="27" t="s">
        <v>197</v>
      </c>
      <c r="O25" s="27"/>
      <c r="P25" s="27" t="str">
        <f aca="false">A25&amp;"|"&amp;N25</f>
        <v>NURSE-01|normal</v>
      </c>
    </row>
    <row r="26" customFormat="false" ht="15" hidden="false" customHeight="true" outlineLevel="0" collapsed="false">
      <c r="A26" s="27" t="s">
        <v>66</v>
      </c>
      <c r="B26" s="41" t="n">
        <v>46303.3</v>
      </c>
      <c r="C26" s="27" t="s">
        <v>195</v>
      </c>
      <c r="D26" s="27" t="n">
        <v>43.6</v>
      </c>
      <c r="E26" s="27" t="n">
        <v>21.7</v>
      </c>
      <c r="F26" s="27" t="n">
        <v>31.5</v>
      </c>
      <c r="G26" s="27" t="n">
        <v>33.5</v>
      </c>
      <c r="H26" s="27" t="s">
        <v>199</v>
      </c>
      <c r="I26" s="42" t="n">
        <f aca="false">(D26-INDEX('Cohort Summary'!$D$5:$D$14,MATCH($A26,'Cohort Summary'!$A$5:$A$14,0)))/INDEX('Cohort Summary'!$E$5:$E$14,MATCH($A26,'Cohort Summary'!$A$5:$A$14,0))</f>
        <v>1.14790996784566</v>
      </c>
      <c r="J26" s="42" t="n">
        <f aca="false">(E26-INDEX('Cohort Summary'!$F$5:$F$14,MATCH($A26,'Cohort Summary'!$A$5:$A$14,0)))/INDEX('Cohort Summary'!$G$5:$G$14,MATCH($A26,'Cohort Summary'!$A$5:$A$14,0))</f>
        <v>1.6340206185567</v>
      </c>
      <c r="K26" s="42" t="n">
        <f aca="false">(F26-INDEX('Cohort Summary'!$H$5:$H$14,MATCH($A26,'Cohort Summary'!$A$5:$A$14,0)))/INDEX('Cohort Summary'!$I$5:$I$14,MATCH($A26,'Cohort Summary'!$A$5:$A$14,0))</f>
        <v>0.486274509803921</v>
      </c>
      <c r="L26" s="42" t="n">
        <f aca="false">(G26-INDEX('Cohort Summary'!$J$5:$J$14,MATCH($A26,'Cohort Summary'!$A$5:$A$14,0)))/INDEX('Cohort Summary'!$K$5:$K$14,MATCH($A26,'Cohort Summary'!$A$5:$A$14,0))</f>
        <v>1.01818181818182</v>
      </c>
      <c r="M26" s="42" t="n">
        <f aca="false">MAX(I26:K26)</f>
        <v>1.6340206185567</v>
      </c>
      <c r="N26" s="27" t="s">
        <v>197</v>
      </c>
      <c r="O26" s="27"/>
      <c r="P26" s="27" t="str">
        <f aca="false">A26&amp;"|"&amp;N26</f>
        <v>NURSE-01|normal</v>
      </c>
    </row>
    <row r="27" customFormat="false" ht="15" hidden="false" customHeight="true" outlineLevel="0" collapsed="false">
      <c r="A27" s="27" t="s">
        <v>66</v>
      </c>
      <c r="B27" s="41" t="n">
        <v>46303.3003472222</v>
      </c>
      <c r="C27" s="27" t="s">
        <v>195</v>
      </c>
      <c r="D27" s="27" t="n">
        <v>44</v>
      </c>
      <c r="E27" s="27" t="n">
        <v>20.5</v>
      </c>
      <c r="F27" s="27" t="n">
        <v>33.7</v>
      </c>
      <c r="G27" s="27" t="n">
        <v>33.6</v>
      </c>
      <c r="H27" s="27" t="s">
        <v>199</v>
      </c>
      <c r="I27" s="42" t="n">
        <f aca="false">(D27-INDEX('Cohort Summary'!$D$5:$D$14,MATCH($A27,'Cohort Summary'!$A$5:$A$14,0)))/INDEX('Cohort Summary'!$E$5:$E$14,MATCH($A27,'Cohort Summary'!$A$5:$A$14,0))</f>
        <v>1.27652733118971</v>
      </c>
      <c r="J27" s="42" t="n">
        <f aca="false">(E27-INDEX('Cohort Summary'!$F$5:$F$14,MATCH($A27,'Cohort Summary'!$A$5:$A$14,0)))/INDEX('Cohort Summary'!$G$5:$G$14,MATCH($A27,'Cohort Summary'!$A$5:$A$14,0))</f>
        <v>1.01546391752577</v>
      </c>
      <c r="K27" s="42" t="n">
        <f aca="false">(F27-INDEX('Cohort Summary'!$H$5:$H$14,MATCH($A27,'Cohort Summary'!$A$5:$A$14,0)))/INDEX('Cohort Summary'!$I$5:$I$14,MATCH($A27,'Cohort Summary'!$A$5:$A$14,0))</f>
        <v>1.34901960784314</v>
      </c>
      <c r="L27" s="42" t="n">
        <f aca="false">(G27-INDEX('Cohort Summary'!$J$5:$J$14,MATCH($A27,'Cohort Summary'!$A$5:$A$14,0)))/INDEX('Cohort Summary'!$K$5:$K$14,MATCH($A27,'Cohort Summary'!$A$5:$A$14,0))</f>
        <v>1.20000000000001</v>
      </c>
      <c r="M27" s="42" t="n">
        <f aca="false">MAX(I27:K27)</f>
        <v>1.34901960784314</v>
      </c>
      <c r="N27" s="27" t="s">
        <v>197</v>
      </c>
      <c r="O27" s="27"/>
      <c r="P27" s="27" t="str">
        <f aca="false">A27&amp;"|"&amp;N27</f>
        <v>NURSE-01|normal</v>
      </c>
    </row>
    <row r="28" customFormat="false" ht="15" hidden="false" customHeight="true" outlineLevel="0" collapsed="false">
      <c r="A28" s="27" t="s">
        <v>66</v>
      </c>
      <c r="B28" s="41" t="n">
        <v>46303.3006944444</v>
      </c>
      <c r="C28" s="27" t="s">
        <v>195</v>
      </c>
      <c r="D28" s="27" t="n">
        <v>39</v>
      </c>
      <c r="E28" s="27" t="n">
        <v>17.8</v>
      </c>
      <c r="F28" s="27" t="n">
        <v>29.8</v>
      </c>
      <c r="G28" s="27" t="n">
        <v>32.8</v>
      </c>
      <c r="H28" s="27" t="s">
        <v>198</v>
      </c>
      <c r="I28" s="42" t="n">
        <f aca="false">(D28-INDEX('Cohort Summary'!$D$5:$D$14,MATCH($A28,'Cohort Summary'!$A$5:$A$14,0)))/INDEX('Cohort Summary'!$E$5:$E$14,MATCH($A28,'Cohort Summary'!$A$5:$A$14,0))</f>
        <v>-0.331189710610933</v>
      </c>
      <c r="J28" s="42" t="n">
        <f aca="false">(E28-INDEX('Cohort Summary'!$F$5:$F$14,MATCH($A28,'Cohort Summary'!$A$5:$A$14,0)))/INDEX('Cohort Summary'!$G$5:$G$14,MATCH($A28,'Cohort Summary'!$A$5:$A$14,0))</f>
        <v>-0.376288659793815</v>
      </c>
      <c r="K28" s="42" t="n">
        <f aca="false">(F28-INDEX('Cohort Summary'!$H$5:$H$14,MATCH($A28,'Cohort Summary'!$A$5:$A$14,0)))/INDEX('Cohort Summary'!$I$5:$I$14,MATCH($A28,'Cohort Summary'!$A$5:$A$14,0))</f>
        <v>-0.180392156862745</v>
      </c>
      <c r="L28" s="42" t="n">
        <f aca="false">(G28-INDEX('Cohort Summary'!$J$5:$J$14,MATCH($A28,'Cohort Summary'!$A$5:$A$14,0)))/INDEX('Cohort Summary'!$K$5:$K$14,MATCH($A28,'Cohort Summary'!$A$5:$A$14,0))</f>
        <v>-0.254545454545456</v>
      </c>
      <c r="M28" s="42" t="n">
        <f aca="false">MAX(I28:K28)</f>
        <v>-0.180392156862745</v>
      </c>
      <c r="N28" s="27" t="s">
        <v>197</v>
      </c>
      <c r="O28" s="27"/>
      <c r="P28" s="27" t="str">
        <f aca="false">A28&amp;"|"&amp;N28</f>
        <v>NURSE-01|normal</v>
      </c>
    </row>
    <row r="29" customFormat="false" ht="15" hidden="false" customHeight="true" outlineLevel="0" collapsed="false">
      <c r="A29" s="27" t="s">
        <v>66</v>
      </c>
      <c r="B29" s="41" t="n">
        <v>46303.3010416667</v>
      </c>
      <c r="C29" s="27" t="s">
        <v>195</v>
      </c>
      <c r="D29" s="27" t="n">
        <v>35.7</v>
      </c>
      <c r="E29" s="27" t="n">
        <v>16.5</v>
      </c>
      <c r="F29" s="27" t="n">
        <v>26.6</v>
      </c>
      <c r="G29" s="27" t="n">
        <v>32.7</v>
      </c>
      <c r="H29" s="27" t="s">
        <v>198</v>
      </c>
      <c r="I29" s="42" t="n">
        <f aca="false">(D29-INDEX('Cohort Summary'!$D$5:$D$14,MATCH($A29,'Cohort Summary'!$A$5:$A$14,0)))/INDEX('Cohort Summary'!$E$5:$E$14,MATCH($A29,'Cohort Summary'!$A$5:$A$14,0))</f>
        <v>-1.39228295819936</v>
      </c>
      <c r="J29" s="42" t="n">
        <f aca="false">(E29-INDEX('Cohort Summary'!$F$5:$F$14,MATCH($A29,'Cohort Summary'!$A$5:$A$14,0)))/INDEX('Cohort Summary'!$G$5:$G$14,MATCH($A29,'Cohort Summary'!$A$5:$A$14,0))</f>
        <v>-1.04639175257732</v>
      </c>
      <c r="K29" s="42" t="n">
        <f aca="false">(F29-INDEX('Cohort Summary'!$H$5:$H$14,MATCH($A29,'Cohort Summary'!$A$5:$A$14,0)))/INDEX('Cohort Summary'!$I$5:$I$14,MATCH($A29,'Cohort Summary'!$A$5:$A$14,0))</f>
        <v>-1.43529411764706</v>
      </c>
      <c r="L29" s="42" t="n">
        <f aca="false">(G29-INDEX('Cohort Summary'!$J$5:$J$14,MATCH($A29,'Cohort Summary'!$A$5:$A$14,0)))/INDEX('Cohort Summary'!$K$5:$K$14,MATCH($A29,'Cohort Summary'!$A$5:$A$14,0))</f>
        <v>-0.436363636363627</v>
      </c>
      <c r="M29" s="42" t="n">
        <f aca="false">MAX(I29:K29)</f>
        <v>-1.04639175257732</v>
      </c>
      <c r="N29" s="27" t="s">
        <v>197</v>
      </c>
      <c r="O29" s="27"/>
      <c r="P29" s="27" t="str">
        <f aca="false">A29&amp;"|"&amp;N29</f>
        <v>NURSE-01|normal</v>
      </c>
    </row>
    <row r="30" customFormat="false" ht="15" hidden="false" customHeight="true" outlineLevel="0" collapsed="false">
      <c r="A30" s="27" t="s">
        <v>66</v>
      </c>
      <c r="B30" s="41" t="n">
        <v>46303.3013888889</v>
      </c>
      <c r="C30" s="27" t="s">
        <v>195</v>
      </c>
      <c r="D30" s="27" t="n">
        <v>36</v>
      </c>
      <c r="E30" s="27" t="n">
        <v>19</v>
      </c>
      <c r="F30" s="27" t="n">
        <v>30.4</v>
      </c>
      <c r="G30" s="27" t="n">
        <v>33.9</v>
      </c>
      <c r="H30" s="27" t="s">
        <v>196</v>
      </c>
      <c r="I30" s="42" t="n">
        <f aca="false">(D30-INDEX('Cohort Summary'!$D$5:$D$14,MATCH($A30,'Cohort Summary'!$A$5:$A$14,0)))/INDEX('Cohort Summary'!$E$5:$E$14,MATCH($A30,'Cohort Summary'!$A$5:$A$14,0))</f>
        <v>-1.29581993569132</v>
      </c>
      <c r="J30" s="42" t="n">
        <f aca="false">(E30-INDEX('Cohort Summary'!$F$5:$F$14,MATCH($A30,'Cohort Summary'!$A$5:$A$14,0)))/INDEX('Cohort Summary'!$G$5:$G$14,MATCH($A30,'Cohort Summary'!$A$5:$A$14,0))</f>
        <v>0.242268041237113</v>
      </c>
      <c r="K30" s="42" t="n">
        <f aca="false">(F30-INDEX('Cohort Summary'!$H$5:$H$14,MATCH($A30,'Cohort Summary'!$A$5:$A$14,0)))/INDEX('Cohort Summary'!$I$5:$I$14,MATCH($A30,'Cohort Summary'!$A$5:$A$14,0))</f>
        <v>0.0549019607843126</v>
      </c>
      <c r="L30" s="42" t="n">
        <f aca="false">(G30-INDEX('Cohort Summary'!$J$5:$J$14,MATCH($A30,'Cohort Summary'!$A$5:$A$14,0)))/INDEX('Cohort Summary'!$K$5:$K$14,MATCH($A30,'Cohort Summary'!$A$5:$A$14,0))</f>
        <v>1.74545454545455</v>
      </c>
      <c r="M30" s="42" t="n">
        <f aca="false">MAX(I30:K30)</f>
        <v>0.242268041237113</v>
      </c>
      <c r="N30" s="27" t="s">
        <v>197</v>
      </c>
      <c r="O30" s="27"/>
      <c r="P30" s="27" t="str">
        <f aca="false">A30&amp;"|"&amp;N30</f>
        <v>NURSE-01|normal</v>
      </c>
    </row>
    <row r="31" customFormat="false" ht="15" hidden="false" customHeight="true" outlineLevel="0" collapsed="false">
      <c r="A31" s="27" t="s">
        <v>66</v>
      </c>
      <c r="B31" s="41" t="n">
        <v>46303.3017361111</v>
      </c>
      <c r="C31" s="27" t="s">
        <v>195</v>
      </c>
      <c r="D31" s="27" t="n">
        <v>35.3</v>
      </c>
      <c r="E31" s="27" t="n">
        <v>21.1</v>
      </c>
      <c r="F31" s="27" t="n">
        <v>31.1</v>
      </c>
      <c r="G31" s="27" t="n">
        <v>32.3</v>
      </c>
      <c r="H31" s="27" t="s">
        <v>199</v>
      </c>
      <c r="I31" s="42" t="n">
        <f aca="false">(D31-INDEX('Cohort Summary'!$D$5:$D$14,MATCH($A31,'Cohort Summary'!$A$5:$A$14,0)))/INDEX('Cohort Summary'!$E$5:$E$14,MATCH($A31,'Cohort Summary'!$A$5:$A$14,0))</f>
        <v>-1.52090032154341</v>
      </c>
      <c r="J31" s="42" t="n">
        <f aca="false">(E31-INDEX('Cohort Summary'!$F$5:$F$14,MATCH($A31,'Cohort Summary'!$A$5:$A$14,0)))/INDEX('Cohort Summary'!$G$5:$G$14,MATCH($A31,'Cohort Summary'!$A$5:$A$14,0))</f>
        <v>1.32474226804124</v>
      </c>
      <c r="K31" s="42" t="n">
        <f aca="false">(F31-INDEX('Cohort Summary'!$H$5:$H$14,MATCH($A31,'Cohort Summary'!$A$5:$A$14,0)))/INDEX('Cohort Summary'!$I$5:$I$14,MATCH($A31,'Cohort Summary'!$A$5:$A$14,0))</f>
        <v>0.329411764705882</v>
      </c>
      <c r="L31" s="42" t="n">
        <f aca="false">(G31-INDEX('Cohort Summary'!$J$5:$J$14,MATCH($A31,'Cohort Summary'!$A$5:$A$14,0)))/INDEX('Cohort Summary'!$K$5:$K$14,MATCH($A31,'Cohort Summary'!$A$5:$A$14,0))</f>
        <v>-1.16363636363636</v>
      </c>
      <c r="M31" s="42" t="n">
        <f aca="false">MAX(I31:K31)</f>
        <v>1.32474226804124</v>
      </c>
      <c r="N31" s="27" t="s">
        <v>197</v>
      </c>
      <c r="O31" s="27"/>
      <c r="P31" s="27" t="str">
        <f aca="false">A31&amp;"|"&amp;N31</f>
        <v>NURSE-01|normal</v>
      </c>
    </row>
    <row r="32" customFormat="false" ht="15" hidden="false" customHeight="true" outlineLevel="0" collapsed="false">
      <c r="A32" s="27" t="s">
        <v>66</v>
      </c>
      <c r="B32" s="41" t="n">
        <v>46303.3020833333</v>
      </c>
      <c r="C32" s="27" t="s">
        <v>195</v>
      </c>
      <c r="D32" s="27" t="n">
        <v>44.6</v>
      </c>
      <c r="E32" s="27" t="n">
        <v>19.2</v>
      </c>
      <c r="F32" s="27" t="n">
        <v>29.7</v>
      </c>
      <c r="G32" s="27" t="n">
        <v>32.2</v>
      </c>
      <c r="H32" s="27" t="s">
        <v>199</v>
      </c>
      <c r="I32" s="42" t="n">
        <f aca="false">(D32-INDEX('Cohort Summary'!$D$5:$D$14,MATCH($A32,'Cohort Summary'!$A$5:$A$14,0)))/INDEX('Cohort Summary'!$E$5:$E$14,MATCH($A32,'Cohort Summary'!$A$5:$A$14,0))</f>
        <v>1.46945337620579</v>
      </c>
      <c r="J32" s="42" t="n">
        <f aca="false">(E32-INDEX('Cohort Summary'!$F$5:$F$14,MATCH($A32,'Cohort Summary'!$A$5:$A$14,0)))/INDEX('Cohort Summary'!$G$5:$G$14,MATCH($A32,'Cohort Summary'!$A$5:$A$14,0))</f>
        <v>0.345360824742267</v>
      </c>
      <c r="K32" s="42" t="n">
        <f aca="false">(F32-INDEX('Cohort Summary'!$H$5:$H$14,MATCH($A32,'Cohort Summary'!$A$5:$A$14,0)))/INDEX('Cohort Summary'!$I$5:$I$14,MATCH($A32,'Cohort Summary'!$A$5:$A$14,0))</f>
        <v>-0.219607843137256</v>
      </c>
      <c r="L32" s="42" t="n">
        <f aca="false">(G32-INDEX('Cohort Summary'!$J$5:$J$14,MATCH($A32,'Cohort Summary'!$A$5:$A$14,0)))/INDEX('Cohort Summary'!$K$5:$K$14,MATCH($A32,'Cohort Summary'!$A$5:$A$14,0))</f>
        <v>-1.34545454545454</v>
      </c>
      <c r="M32" s="42" t="n">
        <f aca="false">MAX(I32:K32)</f>
        <v>1.46945337620579</v>
      </c>
      <c r="N32" s="27" t="s">
        <v>197</v>
      </c>
      <c r="O32" s="27"/>
      <c r="P32" s="27" t="str">
        <f aca="false">A32&amp;"|"&amp;N32</f>
        <v>NURSE-01|normal</v>
      </c>
    </row>
    <row r="33" customFormat="false" ht="15" hidden="false" customHeight="true" outlineLevel="0" collapsed="false">
      <c r="A33" s="27" t="s">
        <v>66</v>
      </c>
      <c r="B33" s="41" t="n">
        <v>46303.3024305556</v>
      </c>
      <c r="C33" s="27" t="s">
        <v>195</v>
      </c>
      <c r="D33" s="27" t="n">
        <v>44.9</v>
      </c>
      <c r="E33" s="27" t="n">
        <v>18.3</v>
      </c>
      <c r="F33" s="27" t="n">
        <v>29.8</v>
      </c>
      <c r="G33" s="27" t="n">
        <v>32.2</v>
      </c>
      <c r="H33" s="27" t="s">
        <v>198</v>
      </c>
      <c r="I33" s="42" t="n">
        <f aca="false">(D33-INDEX('Cohort Summary'!$D$5:$D$14,MATCH($A33,'Cohort Summary'!$A$5:$A$14,0)))/INDEX('Cohort Summary'!$E$5:$E$14,MATCH($A33,'Cohort Summary'!$A$5:$A$14,0))</f>
        <v>1.56591639871383</v>
      </c>
      <c r="J33" s="42" t="n">
        <f aca="false">(E33-INDEX('Cohort Summary'!$F$5:$F$14,MATCH($A33,'Cohort Summary'!$A$5:$A$14,0)))/INDEX('Cohort Summary'!$G$5:$G$14,MATCH($A33,'Cohort Summary'!$A$5:$A$14,0))</f>
        <v>-0.118556701030928</v>
      </c>
      <c r="K33" s="42" t="n">
        <f aca="false">(F33-INDEX('Cohort Summary'!$H$5:$H$14,MATCH($A33,'Cohort Summary'!$A$5:$A$14,0)))/INDEX('Cohort Summary'!$I$5:$I$14,MATCH($A33,'Cohort Summary'!$A$5:$A$14,0))</f>
        <v>-0.180392156862745</v>
      </c>
      <c r="L33" s="42" t="n">
        <f aca="false">(G33-INDEX('Cohort Summary'!$J$5:$J$14,MATCH($A33,'Cohort Summary'!$A$5:$A$14,0)))/INDEX('Cohort Summary'!$K$5:$K$14,MATCH($A33,'Cohort Summary'!$A$5:$A$14,0))</f>
        <v>-1.34545454545454</v>
      </c>
      <c r="M33" s="42" t="n">
        <f aca="false">MAX(I33:K33)</f>
        <v>1.56591639871383</v>
      </c>
      <c r="N33" s="27" t="s">
        <v>197</v>
      </c>
      <c r="O33" s="27"/>
      <c r="P33" s="27" t="str">
        <f aca="false">A33&amp;"|"&amp;N33</f>
        <v>NURSE-01|normal</v>
      </c>
    </row>
    <row r="34" customFormat="false" ht="15" hidden="false" customHeight="true" outlineLevel="0" collapsed="false">
      <c r="A34" s="27" t="s">
        <v>66</v>
      </c>
      <c r="B34" s="41" t="n">
        <v>46303.3027777778</v>
      </c>
      <c r="C34" s="27" t="s">
        <v>195</v>
      </c>
      <c r="D34" s="27" t="n">
        <v>42.5</v>
      </c>
      <c r="E34" s="27" t="n">
        <v>20.2</v>
      </c>
      <c r="F34" s="27" t="n">
        <v>29.8</v>
      </c>
      <c r="G34" s="27" t="n">
        <v>33.4</v>
      </c>
      <c r="H34" s="27" t="s">
        <v>196</v>
      </c>
      <c r="I34" s="42" t="n">
        <f aca="false">(D34-INDEX('Cohort Summary'!$D$5:$D$14,MATCH($A34,'Cohort Summary'!$A$5:$A$14,0)))/INDEX('Cohort Summary'!$E$5:$E$14,MATCH($A34,'Cohort Summary'!$A$5:$A$14,0))</f>
        <v>0.794212218649517</v>
      </c>
      <c r="J34" s="42" t="n">
        <f aca="false">(E34-INDEX('Cohort Summary'!$F$5:$F$14,MATCH($A34,'Cohort Summary'!$A$5:$A$14,0)))/INDEX('Cohort Summary'!$G$5:$G$14,MATCH($A34,'Cohort Summary'!$A$5:$A$14,0))</f>
        <v>0.86082474226804</v>
      </c>
      <c r="K34" s="42" t="n">
        <f aca="false">(F34-INDEX('Cohort Summary'!$H$5:$H$14,MATCH($A34,'Cohort Summary'!$A$5:$A$14,0)))/INDEX('Cohort Summary'!$I$5:$I$14,MATCH($A34,'Cohort Summary'!$A$5:$A$14,0))</f>
        <v>-0.180392156862745</v>
      </c>
      <c r="L34" s="42" t="n">
        <f aca="false">(G34-INDEX('Cohort Summary'!$J$5:$J$14,MATCH($A34,'Cohort Summary'!$A$5:$A$14,0)))/INDEX('Cohort Summary'!$K$5:$K$14,MATCH($A34,'Cohort Summary'!$A$5:$A$14,0))</f>
        <v>0.836363636363638</v>
      </c>
      <c r="M34" s="42" t="n">
        <f aca="false">MAX(I34:K34)</f>
        <v>0.86082474226804</v>
      </c>
      <c r="N34" s="27" t="s">
        <v>197</v>
      </c>
      <c r="O34" s="27"/>
      <c r="P34" s="27" t="str">
        <f aca="false">A34&amp;"|"&amp;N34</f>
        <v>NURSE-01|normal</v>
      </c>
    </row>
    <row r="35" customFormat="false" ht="15" hidden="false" customHeight="true" outlineLevel="0" collapsed="false">
      <c r="A35" s="27" t="s">
        <v>66</v>
      </c>
      <c r="B35" s="41" t="n">
        <v>46303.303125</v>
      </c>
      <c r="C35" s="27" t="s">
        <v>195</v>
      </c>
      <c r="D35" s="27" t="n">
        <v>35.2</v>
      </c>
      <c r="E35" s="27" t="n">
        <v>21.7</v>
      </c>
      <c r="F35" s="27" t="n">
        <v>30.3</v>
      </c>
      <c r="G35" s="27" t="n">
        <v>32.3</v>
      </c>
      <c r="H35" s="27" t="s">
        <v>196</v>
      </c>
      <c r="I35" s="42" t="n">
        <f aca="false">(D35-INDEX('Cohort Summary'!$D$5:$D$14,MATCH($A35,'Cohort Summary'!$A$5:$A$14,0)))/INDEX('Cohort Summary'!$E$5:$E$14,MATCH($A35,'Cohort Summary'!$A$5:$A$14,0))</f>
        <v>-1.55305466237942</v>
      </c>
      <c r="J35" s="42" t="n">
        <f aca="false">(E35-INDEX('Cohort Summary'!$F$5:$F$14,MATCH($A35,'Cohort Summary'!$A$5:$A$14,0)))/INDEX('Cohort Summary'!$G$5:$G$14,MATCH($A35,'Cohort Summary'!$A$5:$A$14,0))</f>
        <v>1.6340206185567</v>
      </c>
      <c r="K35" s="42" t="n">
        <f aca="false">(F35-INDEX('Cohort Summary'!$H$5:$H$14,MATCH($A35,'Cohort Summary'!$A$5:$A$14,0)))/INDEX('Cohort Summary'!$I$5:$I$14,MATCH($A35,'Cohort Summary'!$A$5:$A$14,0))</f>
        <v>0.0156862745098036</v>
      </c>
      <c r="L35" s="42" t="n">
        <f aca="false">(G35-INDEX('Cohort Summary'!$J$5:$J$14,MATCH($A35,'Cohort Summary'!$A$5:$A$14,0)))/INDEX('Cohort Summary'!$K$5:$K$14,MATCH($A35,'Cohort Summary'!$A$5:$A$14,0))</f>
        <v>-1.16363636363636</v>
      </c>
      <c r="M35" s="42" t="n">
        <f aca="false">MAX(I35:K35)</f>
        <v>1.6340206185567</v>
      </c>
      <c r="N35" s="27" t="s">
        <v>197</v>
      </c>
      <c r="O35" s="27"/>
      <c r="P35" s="27" t="str">
        <f aca="false">A35&amp;"|"&amp;N35</f>
        <v>NURSE-01|normal</v>
      </c>
    </row>
    <row r="36" customFormat="false" ht="15" hidden="false" customHeight="true" outlineLevel="0" collapsed="false">
      <c r="A36" s="27" t="s">
        <v>66</v>
      </c>
      <c r="B36" s="41" t="n">
        <v>46303.3034722222</v>
      </c>
      <c r="C36" s="27" t="s">
        <v>195</v>
      </c>
      <c r="D36" s="27" t="n">
        <v>44.1</v>
      </c>
      <c r="E36" s="27" t="n">
        <v>20.3</v>
      </c>
      <c r="F36" s="27" t="n">
        <v>28</v>
      </c>
      <c r="G36" s="27" t="n">
        <v>33.3</v>
      </c>
      <c r="H36" s="27" t="s">
        <v>198</v>
      </c>
      <c r="I36" s="42" t="n">
        <f aca="false">(D36-INDEX('Cohort Summary'!$D$5:$D$14,MATCH($A36,'Cohort Summary'!$A$5:$A$14,0)))/INDEX('Cohort Summary'!$E$5:$E$14,MATCH($A36,'Cohort Summary'!$A$5:$A$14,0))</f>
        <v>1.30868167202572</v>
      </c>
      <c r="J36" s="42" t="n">
        <f aca="false">(E36-INDEX('Cohort Summary'!$F$5:$F$14,MATCH($A36,'Cohort Summary'!$A$5:$A$14,0)))/INDEX('Cohort Summary'!$G$5:$G$14,MATCH($A36,'Cohort Summary'!$A$5:$A$14,0))</f>
        <v>0.912371134020618</v>
      </c>
      <c r="K36" s="42" t="n">
        <f aca="false">(F36-INDEX('Cohort Summary'!$H$5:$H$14,MATCH($A36,'Cohort Summary'!$A$5:$A$14,0)))/INDEX('Cohort Summary'!$I$5:$I$14,MATCH($A36,'Cohort Summary'!$A$5:$A$14,0))</f>
        <v>-0.886274509803922</v>
      </c>
      <c r="L36" s="42" t="n">
        <f aca="false">(G36-INDEX('Cohort Summary'!$J$5:$J$14,MATCH($A36,'Cohort Summary'!$A$5:$A$14,0)))/INDEX('Cohort Summary'!$K$5:$K$14,MATCH($A36,'Cohort Summary'!$A$5:$A$14,0))</f>
        <v>0.654545454545453</v>
      </c>
      <c r="M36" s="42" t="n">
        <f aca="false">MAX(I36:K36)</f>
        <v>1.30868167202572</v>
      </c>
      <c r="N36" s="27" t="s">
        <v>197</v>
      </c>
      <c r="O36" s="27"/>
      <c r="P36" s="27" t="str">
        <f aca="false">A36&amp;"|"&amp;N36</f>
        <v>NURSE-01|normal</v>
      </c>
    </row>
    <row r="37" customFormat="false" ht="15" hidden="false" customHeight="true" outlineLevel="0" collapsed="false">
      <c r="A37" s="27" t="s">
        <v>66</v>
      </c>
      <c r="B37" s="41" t="n">
        <v>46303.3038194445</v>
      </c>
      <c r="C37" s="27" t="s">
        <v>195</v>
      </c>
      <c r="D37" s="27" t="n">
        <v>42</v>
      </c>
      <c r="E37" s="27" t="n">
        <v>16.8</v>
      </c>
      <c r="F37" s="27" t="n">
        <v>28.7</v>
      </c>
      <c r="G37" s="27" t="n">
        <v>32.3</v>
      </c>
      <c r="H37" s="27" t="s">
        <v>198</v>
      </c>
      <c r="I37" s="42" t="n">
        <f aca="false">(D37-INDEX('Cohort Summary'!$D$5:$D$14,MATCH($A37,'Cohort Summary'!$A$5:$A$14,0)))/INDEX('Cohort Summary'!$E$5:$E$14,MATCH($A37,'Cohort Summary'!$A$5:$A$14,0))</f>
        <v>0.633440514469453</v>
      </c>
      <c r="J37" s="42" t="n">
        <f aca="false">(E37-INDEX('Cohort Summary'!$F$5:$F$14,MATCH($A37,'Cohort Summary'!$A$5:$A$14,0)))/INDEX('Cohort Summary'!$G$5:$G$14,MATCH($A37,'Cohort Summary'!$A$5:$A$14,0))</f>
        <v>-0.891752577319588</v>
      </c>
      <c r="K37" s="42" t="n">
        <f aca="false">(F37-INDEX('Cohort Summary'!$H$5:$H$14,MATCH($A37,'Cohort Summary'!$A$5:$A$14,0)))/INDEX('Cohort Summary'!$I$5:$I$14,MATCH($A37,'Cohort Summary'!$A$5:$A$14,0))</f>
        <v>-0.611764705882354</v>
      </c>
      <c r="L37" s="42" t="n">
        <f aca="false">(G37-INDEX('Cohort Summary'!$J$5:$J$14,MATCH($A37,'Cohort Summary'!$A$5:$A$14,0)))/INDEX('Cohort Summary'!$K$5:$K$14,MATCH($A37,'Cohort Summary'!$A$5:$A$14,0))</f>
        <v>-1.16363636363636</v>
      </c>
      <c r="M37" s="42" t="n">
        <f aca="false">MAX(I37:K37)</f>
        <v>0.633440514469453</v>
      </c>
      <c r="N37" s="27" t="s">
        <v>197</v>
      </c>
      <c r="O37" s="27"/>
      <c r="P37" s="27" t="str">
        <f aca="false">A37&amp;"|"&amp;N37</f>
        <v>NURSE-01|normal</v>
      </c>
    </row>
    <row r="38" customFormat="false" ht="15" hidden="false" customHeight="true" outlineLevel="0" collapsed="false">
      <c r="A38" s="27" t="s">
        <v>66</v>
      </c>
      <c r="B38" s="41" t="n">
        <v>46303.3041666667</v>
      </c>
      <c r="C38" s="27" t="s">
        <v>195</v>
      </c>
      <c r="D38" s="27" t="n">
        <v>40.3</v>
      </c>
      <c r="E38" s="27" t="n">
        <v>20.5</v>
      </c>
      <c r="F38" s="27" t="n">
        <v>28.3</v>
      </c>
      <c r="G38" s="27" t="n">
        <v>32.4</v>
      </c>
      <c r="H38" s="27" t="s">
        <v>198</v>
      </c>
      <c r="I38" s="42" t="n">
        <f aca="false">(D38-INDEX('Cohort Summary'!$D$5:$D$14,MATCH($A38,'Cohort Summary'!$A$5:$A$14,0)))/INDEX('Cohort Summary'!$E$5:$E$14,MATCH($A38,'Cohort Summary'!$A$5:$A$14,0))</f>
        <v>0.0868167202572335</v>
      </c>
      <c r="J38" s="42" t="n">
        <f aca="false">(E38-INDEX('Cohort Summary'!$F$5:$F$14,MATCH($A38,'Cohort Summary'!$A$5:$A$14,0)))/INDEX('Cohort Summary'!$G$5:$G$14,MATCH($A38,'Cohort Summary'!$A$5:$A$14,0))</f>
        <v>1.01546391752577</v>
      </c>
      <c r="K38" s="42" t="n">
        <f aca="false">(F38-INDEX('Cohort Summary'!$H$5:$H$14,MATCH($A38,'Cohort Summary'!$A$5:$A$14,0)))/INDEX('Cohort Summary'!$I$5:$I$14,MATCH($A38,'Cohort Summary'!$A$5:$A$14,0))</f>
        <v>-0.768627450980393</v>
      </c>
      <c r="L38" s="42" t="n">
        <f aca="false">(G38-INDEX('Cohort Summary'!$J$5:$J$14,MATCH($A38,'Cohort Summary'!$A$5:$A$14,0)))/INDEX('Cohort Summary'!$K$5:$K$14,MATCH($A38,'Cohort Summary'!$A$5:$A$14,0))</f>
        <v>-0.98181818181818</v>
      </c>
      <c r="M38" s="42" t="n">
        <f aca="false">MAX(I38:K38)</f>
        <v>1.01546391752577</v>
      </c>
      <c r="N38" s="27" t="s">
        <v>197</v>
      </c>
      <c r="O38" s="27"/>
      <c r="P38" s="27" t="str">
        <f aca="false">A38&amp;"|"&amp;N38</f>
        <v>NURSE-01|normal</v>
      </c>
    </row>
    <row r="39" customFormat="false" ht="15" hidden="false" customHeight="true" outlineLevel="0" collapsed="false">
      <c r="A39" s="27" t="s">
        <v>66</v>
      </c>
      <c r="B39" s="41" t="n">
        <v>46303.3045138889</v>
      </c>
      <c r="C39" s="27" t="s">
        <v>195</v>
      </c>
      <c r="D39" s="27" t="n">
        <v>43.1</v>
      </c>
      <c r="E39" s="27" t="n">
        <v>20.7</v>
      </c>
      <c r="F39" s="27" t="n">
        <v>32.4</v>
      </c>
      <c r="G39" s="27" t="n">
        <v>32.5</v>
      </c>
      <c r="H39" s="27" t="s">
        <v>196</v>
      </c>
      <c r="I39" s="42" t="n">
        <f aca="false">(D39-INDEX('Cohort Summary'!$D$5:$D$14,MATCH($A39,'Cohort Summary'!$A$5:$A$14,0)))/INDEX('Cohort Summary'!$E$5:$E$14,MATCH($A39,'Cohort Summary'!$A$5:$A$14,0))</f>
        <v>0.987138263665595</v>
      </c>
      <c r="J39" s="42" t="n">
        <f aca="false">(E39-INDEX('Cohort Summary'!$F$5:$F$14,MATCH($A39,'Cohort Summary'!$A$5:$A$14,0)))/INDEX('Cohort Summary'!$G$5:$G$14,MATCH($A39,'Cohort Summary'!$A$5:$A$14,0))</f>
        <v>1.11855670103093</v>
      </c>
      <c r="K39" s="42" t="n">
        <f aca="false">(F39-INDEX('Cohort Summary'!$H$5:$H$14,MATCH($A39,'Cohort Summary'!$A$5:$A$14,0)))/INDEX('Cohort Summary'!$I$5:$I$14,MATCH($A39,'Cohort Summary'!$A$5:$A$14,0))</f>
        <v>0.839215686274509</v>
      </c>
      <c r="L39" s="42" t="n">
        <f aca="false">(G39-INDEX('Cohort Summary'!$J$5:$J$14,MATCH($A39,'Cohort Summary'!$A$5:$A$14,0)))/INDEX('Cohort Summary'!$K$5:$K$14,MATCH($A39,'Cohort Summary'!$A$5:$A$14,0))</f>
        <v>-0.799999999999996</v>
      </c>
      <c r="M39" s="42" t="n">
        <f aca="false">MAX(I39:K39)</f>
        <v>1.11855670103093</v>
      </c>
      <c r="N39" s="27" t="s">
        <v>197</v>
      </c>
      <c r="O39" s="27"/>
      <c r="P39" s="27" t="str">
        <f aca="false">A39&amp;"|"&amp;N39</f>
        <v>NURSE-01|normal</v>
      </c>
    </row>
    <row r="40" customFormat="false" ht="15" hidden="false" customHeight="true" outlineLevel="0" collapsed="false">
      <c r="A40" s="27" t="s">
        <v>66</v>
      </c>
      <c r="B40" s="41" t="n">
        <v>46303.3048611111</v>
      </c>
      <c r="C40" s="27" t="s">
        <v>195</v>
      </c>
      <c r="D40" s="27" t="n">
        <v>39.9</v>
      </c>
      <c r="E40" s="27" t="n">
        <v>20.1</v>
      </c>
      <c r="F40" s="27" t="n">
        <v>34.9</v>
      </c>
      <c r="G40" s="27" t="n">
        <v>33.6</v>
      </c>
      <c r="H40" s="27" t="s">
        <v>199</v>
      </c>
      <c r="I40" s="42" t="n">
        <f aca="false">(D40-INDEX('Cohort Summary'!$D$5:$D$14,MATCH($A40,'Cohort Summary'!$A$5:$A$14,0)))/INDEX('Cohort Summary'!$E$5:$E$14,MATCH($A40,'Cohort Summary'!$A$5:$A$14,0))</f>
        <v>-0.0418006430868175</v>
      </c>
      <c r="J40" s="42" t="n">
        <f aca="false">(E40-INDEX('Cohort Summary'!$F$5:$F$14,MATCH($A40,'Cohort Summary'!$A$5:$A$14,0)))/INDEX('Cohort Summary'!$G$5:$G$14,MATCH($A40,'Cohort Summary'!$A$5:$A$14,0))</f>
        <v>0.809278350515464</v>
      </c>
      <c r="K40" s="42" t="n">
        <f aca="false">(F40-INDEX('Cohort Summary'!$H$5:$H$14,MATCH($A40,'Cohort Summary'!$A$5:$A$14,0)))/INDEX('Cohort Summary'!$I$5:$I$14,MATCH($A40,'Cohort Summary'!$A$5:$A$14,0))</f>
        <v>1.81960784313725</v>
      </c>
      <c r="L40" s="42" t="n">
        <f aca="false">(G40-INDEX('Cohort Summary'!$J$5:$J$14,MATCH($A40,'Cohort Summary'!$A$5:$A$14,0)))/INDEX('Cohort Summary'!$K$5:$K$14,MATCH($A40,'Cohort Summary'!$A$5:$A$14,0))</f>
        <v>1.20000000000001</v>
      </c>
      <c r="M40" s="42" t="n">
        <f aca="false">MAX(I40:K40)</f>
        <v>1.81960784313725</v>
      </c>
      <c r="N40" s="27" t="s">
        <v>197</v>
      </c>
      <c r="O40" s="27"/>
      <c r="P40" s="27" t="str">
        <f aca="false">A40&amp;"|"&amp;N40</f>
        <v>NURSE-01|normal</v>
      </c>
    </row>
    <row r="41" customFormat="false" ht="15" hidden="false" customHeight="true" outlineLevel="0" collapsed="false">
      <c r="A41" s="27" t="s">
        <v>66</v>
      </c>
      <c r="B41" s="41" t="n">
        <v>46303.3052083333</v>
      </c>
      <c r="C41" s="27" t="s">
        <v>195</v>
      </c>
      <c r="D41" s="27" t="n">
        <v>37.6</v>
      </c>
      <c r="E41" s="27" t="n">
        <v>19.8</v>
      </c>
      <c r="F41" s="27" t="n">
        <v>34.6</v>
      </c>
      <c r="G41" s="27" t="n">
        <v>32.9</v>
      </c>
      <c r="H41" s="27" t="s">
        <v>196</v>
      </c>
      <c r="I41" s="42" t="n">
        <f aca="false">(D41-INDEX('Cohort Summary'!$D$5:$D$14,MATCH($A41,'Cohort Summary'!$A$5:$A$14,0)))/INDEX('Cohort Summary'!$E$5:$E$14,MATCH($A41,'Cohort Summary'!$A$5:$A$14,0))</f>
        <v>-0.781350482315113</v>
      </c>
      <c r="J41" s="42" t="n">
        <f aca="false">(E41-INDEX('Cohort Summary'!$F$5:$F$14,MATCH($A41,'Cohort Summary'!$A$5:$A$14,0)))/INDEX('Cohort Summary'!$G$5:$G$14,MATCH($A41,'Cohort Summary'!$A$5:$A$14,0))</f>
        <v>0.654639175257732</v>
      </c>
      <c r="K41" s="42" t="n">
        <f aca="false">(F41-INDEX('Cohort Summary'!$H$5:$H$14,MATCH($A41,'Cohort Summary'!$A$5:$A$14,0)))/INDEX('Cohort Summary'!$I$5:$I$14,MATCH($A41,'Cohort Summary'!$A$5:$A$14,0))</f>
        <v>1.70196078431373</v>
      </c>
      <c r="L41" s="42" t="n">
        <f aca="false">(G41-INDEX('Cohort Summary'!$J$5:$J$14,MATCH($A41,'Cohort Summary'!$A$5:$A$14,0)))/INDEX('Cohort Summary'!$K$5:$K$14,MATCH($A41,'Cohort Summary'!$A$5:$A$14,0))</f>
        <v>-0.0727272727272712</v>
      </c>
      <c r="M41" s="42" t="n">
        <f aca="false">MAX(I41:K41)</f>
        <v>1.70196078431373</v>
      </c>
      <c r="N41" s="27" t="s">
        <v>197</v>
      </c>
      <c r="O41" s="27"/>
      <c r="P41" s="27" t="str">
        <f aca="false">A41&amp;"|"&amp;N41</f>
        <v>NURSE-01|normal</v>
      </c>
    </row>
    <row r="42" customFormat="false" ht="15" hidden="false" customHeight="true" outlineLevel="0" collapsed="false">
      <c r="A42" s="27" t="s">
        <v>66</v>
      </c>
      <c r="B42" s="41" t="n">
        <v>46303.3055555556</v>
      </c>
      <c r="C42" s="27" t="s">
        <v>195</v>
      </c>
      <c r="D42" s="27" t="n">
        <v>44.9</v>
      </c>
      <c r="E42" s="27" t="n">
        <v>21.7</v>
      </c>
      <c r="F42" s="27" t="n">
        <v>28.6</v>
      </c>
      <c r="G42" s="27" t="n">
        <v>32.4</v>
      </c>
      <c r="H42" s="27" t="s">
        <v>198</v>
      </c>
      <c r="I42" s="42" t="n">
        <f aca="false">(D42-INDEX('Cohort Summary'!$D$5:$D$14,MATCH($A42,'Cohort Summary'!$A$5:$A$14,0)))/INDEX('Cohort Summary'!$E$5:$E$14,MATCH($A42,'Cohort Summary'!$A$5:$A$14,0))</f>
        <v>1.56591639871383</v>
      </c>
      <c r="J42" s="42" t="n">
        <f aca="false">(E42-INDEX('Cohort Summary'!$F$5:$F$14,MATCH($A42,'Cohort Summary'!$A$5:$A$14,0)))/INDEX('Cohort Summary'!$G$5:$G$14,MATCH($A42,'Cohort Summary'!$A$5:$A$14,0))</f>
        <v>1.6340206185567</v>
      </c>
      <c r="K42" s="42" t="n">
        <f aca="false">(F42-INDEX('Cohort Summary'!$H$5:$H$14,MATCH($A42,'Cohort Summary'!$A$5:$A$14,0)))/INDEX('Cohort Summary'!$I$5:$I$14,MATCH($A42,'Cohort Summary'!$A$5:$A$14,0))</f>
        <v>-0.650980392156863</v>
      </c>
      <c r="L42" s="42" t="n">
        <f aca="false">(G42-INDEX('Cohort Summary'!$J$5:$J$14,MATCH($A42,'Cohort Summary'!$A$5:$A$14,0)))/INDEX('Cohort Summary'!$K$5:$K$14,MATCH($A42,'Cohort Summary'!$A$5:$A$14,0))</f>
        <v>-0.98181818181818</v>
      </c>
      <c r="M42" s="42" t="n">
        <f aca="false">MAX(I42:K42)</f>
        <v>1.6340206185567</v>
      </c>
      <c r="N42" s="27" t="s">
        <v>197</v>
      </c>
      <c r="O42" s="27"/>
      <c r="P42" s="27" t="str">
        <f aca="false">A42&amp;"|"&amp;N42</f>
        <v>NURSE-01|normal</v>
      </c>
    </row>
    <row r="43" customFormat="false" ht="15" hidden="false" customHeight="true" outlineLevel="0" collapsed="false">
      <c r="A43" s="27" t="s">
        <v>66</v>
      </c>
      <c r="B43" s="41" t="n">
        <v>46303.3059027778</v>
      </c>
      <c r="C43" s="27" t="s">
        <v>195</v>
      </c>
      <c r="D43" s="27" t="n">
        <v>39.7</v>
      </c>
      <c r="E43" s="27" t="n">
        <v>17.4</v>
      </c>
      <c r="F43" s="27" t="n">
        <v>29.8</v>
      </c>
      <c r="G43" s="27" t="n">
        <v>34</v>
      </c>
      <c r="H43" s="27" t="s">
        <v>196</v>
      </c>
      <c r="I43" s="42" t="n">
        <f aca="false">(D43-INDEX('Cohort Summary'!$D$5:$D$14,MATCH($A43,'Cohort Summary'!$A$5:$A$14,0)))/INDEX('Cohort Summary'!$E$5:$E$14,MATCH($A43,'Cohort Summary'!$A$5:$A$14,0))</f>
        <v>-0.106109324758842</v>
      </c>
      <c r="J43" s="42" t="n">
        <f aca="false">(E43-INDEX('Cohort Summary'!$F$5:$F$14,MATCH($A43,'Cohort Summary'!$A$5:$A$14,0)))/INDEX('Cohort Summary'!$G$5:$G$14,MATCH($A43,'Cohort Summary'!$A$5:$A$14,0))</f>
        <v>-0.582474226804125</v>
      </c>
      <c r="K43" s="42" t="n">
        <f aca="false">(F43-INDEX('Cohort Summary'!$H$5:$H$14,MATCH($A43,'Cohort Summary'!$A$5:$A$14,0)))/INDEX('Cohort Summary'!$I$5:$I$14,MATCH($A43,'Cohort Summary'!$A$5:$A$14,0))</f>
        <v>-0.180392156862745</v>
      </c>
      <c r="L43" s="42" t="n">
        <f aca="false">(G43-INDEX('Cohort Summary'!$J$5:$J$14,MATCH($A43,'Cohort Summary'!$A$5:$A$14,0)))/INDEX('Cohort Summary'!$K$5:$K$14,MATCH($A43,'Cohort Summary'!$A$5:$A$14,0))</f>
        <v>1.92727272727273</v>
      </c>
      <c r="M43" s="42" t="n">
        <f aca="false">MAX(I43:K43)</f>
        <v>-0.106109324758842</v>
      </c>
      <c r="N43" s="27" t="s">
        <v>197</v>
      </c>
      <c r="O43" s="27"/>
      <c r="P43" s="27" t="str">
        <f aca="false">A43&amp;"|"&amp;N43</f>
        <v>NURSE-01|normal</v>
      </c>
    </row>
    <row r="44" customFormat="false" ht="15" hidden="false" customHeight="true" outlineLevel="0" collapsed="false">
      <c r="A44" s="27" t="s">
        <v>66</v>
      </c>
      <c r="B44" s="41" t="n">
        <v>46303.30625</v>
      </c>
      <c r="C44" s="27" t="s">
        <v>195</v>
      </c>
      <c r="D44" s="27" t="n">
        <v>43.4</v>
      </c>
      <c r="E44" s="27" t="n">
        <v>18.4</v>
      </c>
      <c r="F44" s="27" t="n">
        <v>31.5</v>
      </c>
      <c r="G44" s="27" t="n">
        <v>33.6</v>
      </c>
      <c r="H44" s="27" t="s">
        <v>198</v>
      </c>
      <c r="I44" s="42" t="n">
        <f aca="false">(D44-INDEX('Cohort Summary'!$D$5:$D$14,MATCH($A44,'Cohort Summary'!$A$5:$A$14,0)))/INDEX('Cohort Summary'!$E$5:$E$14,MATCH($A44,'Cohort Summary'!$A$5:$A$14,0))</f>
        <v>1.08360128617363</v>
      </c>
      <c r="J44" s="42" t="n">
        <f aca="false">(E44-INDEX('Cohort Summary'!$F$5:$F$14,MATCH($A44,'Cohort Summary'!$A$5:$A$14,0)))/INDEX('Cohort Summary'!$G$5:$G$14,MATCH($A44,'Cohort Summary'!$A$5:$A$14,0))</f>
        <v>-0.0670103092783518</v>
      </c>
      <c r="K44" s="42" t="n">
        <f aca="false">(F44-INDEX('Cohort Summary'!$H$5:$H$14,MATCH($A44,'Cohort Summary'!$A$5:$A$14,0)))/INDEX('Cohort Summary'!$I$5:$I$14,MATCH($A44,'Cohort Summary'!$A$5:$A$14,0))</f>
        <v>0.486274509803921</v>
      </c>
      <c r="L44" s="42" t="n">
        <f aca="false">(G44-INDEX('Cohort Summary'!$J$5:$J$14,MATCH($A44,'Cohort Summary'!$A$5:$A$14,0)))/INDEX('Cohort Summary'!$K$5:$K$14,MATCH($A44,'Cohort Summary'!$A$5:$A$14,0))</f>
        <v>1.20000000000001</v>
      </c>
      <c r="M44" s="42" t="n">
        <f aca="false">MAX(I44:K44)</f>
        <v>1.08360128617363</v>
      </c>
      <c r="N44" s="27" t="s">
        <v>197</v>
      </c>
      <c r="O44" s="27"/>
      <c r="P44" s="27" t="str">
        <f aca="false">A44&amp;"|"&amp;N44</f>
        <v>NURSE-01|normal</v>
      </c>
    </row>
    <row r="45" customFormat="false" ht="15" hidden="false" customHeight="true" outlineLevel="0" collapsed="false">
      <c r="A45" s="27" t="s">
        <v>66</v>
      </c>
      <c r="B45" s="41" t="n">
        <v>46303.3065972222</v>
      </c>
      <c r="C45" s="27" t="s">
        <v>195</v>
      </c>
      <c r="D45" s="27" t="n">
        <v>43.3</v>
      </c>
      <c r="E45" s="27" t="n">
        <v>15.8</v>
      </c>
      <c r="F45" s="27" t="n">
        <v>28.9</v>
      </c>
      <c r="G45" s="27" t="n">
        <v>33.4</v>
      </c>
      <c r="H45" s="27" t="s">
        <v>198</v>
      </c>
      <c r="I45" s="42" t="n">
        <f aca="false">(D45-INDEX('Cohort Summary'!$D$5:$D$14,MATCH($A45,'Cohort Summary'!$A$5:$A$14,0)))/INDEX('Cohort Summary'!$E$5:$E$14,MATCH($A45,'Cohort Summary'!$A$5:$A$14,0))</f>
        <v>1.05144694533762</v>
      </c>
      <c r="J45" s="42" t="n">
        <f aca="false">(E45-INDEX('Cohort Summary'!$F$5:$F$14,MATCH($A45,'Cohort Summary'!$A$5:$A$14,0)))/INDEX('Cohort Summary'!$G$5:$G$14,MATCH($A45,'Cohort Summary'!$A$5:$A$14,0))</f>
        <v>-1.40721649484536</v>
      </c>
      <c r="K45" s="42" t="n">
        <f aca="false">(F45-INDEX('Cohort Summary'!$H$5:$H$14,MATCH($A45,'Cohort Summary'!$A$5:$A$14,0)))/INDEX('Cohort Summary'!$I$5:$I$14,MATCH($A45,'Cohort Summary'!$A$5:$A$14,0))</f>
        <v>-0.533333333333335</v>
      </c>
      <c r="L45" s="42" t="n">
        <f aca="false">(G45-INDEX('Cohort Summary'!$J$5:$J$14,MATCH($A45,'Cohort Summary'!$A$5:$A$14,0)))/INDEX('Cohort Summary'!$K$5:$K$14,MATCH($A45,'Cohort Summary'!$A$5:$A$14,0))</f>
        <v>0.836363636363638</v>
      </c>
      <c r="M45" s="42" t="n">
        <f aca="false">MAX(I45:K45)</f>
        <v>1.05144694533762</v>
      </c>
      <c r="N45" s="27" t="s">
        <v>197</v>
      </c>
      <c r="O45" s="27"/>
      <c r="P45" s="27" t="str">
        <f aca="false">A45&amp;"|"&amp;N45</f>
        <v>NURSE-01|normal</v>
      </c>
    </row>
    <row r="46" customFormat="false" ht="15" hidden="false" customHeight="true" outlineLevel="0" collapsed="false">
      <c r="A46" s="27" t="s">
        <v>66</v>
      </c>
      <c r="B46" s="41" t="n">
        <v>46303.3069444444</v>
      </c>
      <c r="C46" s="27" t="s">
        <v>195</v>
      </c>
      <c r="D46" s="27" t="n">
        <v>39.8</v>
      </c>
      <c r="E46" s="27" t="n">
        <v>16.2</v>
      </c>
      <c r="F46" s="27" t="n">
        <v>32.9</v>
      </c>
      <c r="G46" s="27" t="n">
        <v>32.7</v>
      </c>
      <c r="H46" s="27" t="s">
        <v>196</v>
      </c>
      <c r="I46" s="42" t="n">
        <f aca="false">(D46-INDEX('Cohort Summary'!$D$5:$D$14,MATCH($A46,'Cohort Summary'!$A$5:$A$14,0)))/INDEX('Cohort Summary'!$E$5:$E$14,MATCH($A46,'Cohort Summary'!$A$5:$A$14,0))</f>
        <v>-0.0739549839228309</v>
      </c>
      <c r="J46" s="42" t="n">
        <f aca="false">(E46-INDEX('Cohort Summary'!$F$5:$F$14,MATCH($A46,'Cohort Summary'!$A$5:$A$14,0)))/INDEX('Cohort Summary'!$G$5:$G$14,MATCH($A46,'Cohort Summary'!$A$5:$A$14,0))</f>
        <v>-1.20103092783505</v>
      </c>
      <c r="K46" s="42" t="n">
        <f aca="false">(F46-INDEX('Cohort Summary'!$H$5:$H$14,MATCH($A46,'Cohort Summary'!$A$5:$A$14,0)))/INDEX('Cohort Summary'!$I$5:$I$14,MATCH($A46,'Cohort Summary'!$A$5:$A$14,0))</f>
        <v>1.03529411764706</v>
      </c>
      <c r="L46" s="42" t="n">
        <f aca="false">(G46-INDEX('Cohort Summary'!$J$5:$J$14,MATCH($A46,'Cohort Summary'!$A$5:$A$14,0)))/INDEX('Cohort Summary'!$K$5:$K$14,MATCH($A46,'Cohort Summary'!$A$5:$A$14,0))</f>
        <v>-0.436363636363627</v>
      </c>
      <c r="M46" s="42" t="n">
        <f aca="false">MAX(I46:K46)</f>
        <v>1.03529411764706</v>
      </c>
      <c r="N46" s="27" t="s">
        <v>197</v>
      </c>
      <c r="O46" s="27"/>
      <c r="P46" s="27" t="str">
        <f aca="false">A46&amp;"|"&amp;N46</f>
        <v>NURSE-01|normal</v>
      </c>
    </row>
    <row r="47" customFormat="false" ht="15" hidden="false" customHeight="true" outlineLevel="0" collapsed="false">
      <c r="A47" s="27" t="s">
        <v>66</v>
      </c>
      <c r="B47" s="41" t="n">
        <v>46303.3072916667</v>
      </c>
      <c r="C47" s="27" t="s">
        <v>195</v>
      </c>
      <c r="D47" s="27" t="n">
        <v>39</v>
      </c>
      <c r="E47" s="27" t="n">
        <v>17.8</v>
      </c>
      <c r="F47" s="27" t="n">
        <v>34.5</v>
      </c>
      <c r="G47" s="27" t="n">
        <v>33.4</v>
      </c>
      <c r="H47" s="27" t="s">
        <v>198</v>
      </c>
      <c r="I47" s="42" t="n">
        <f aca="false">(D47-INDEX('Cohort Summary'!$D$5:$D$14,MATCH($A47,'Cohort Summary'!$A$5:$A$14,0)))/INDEX('Cohort Summary'!$E$5:$E$14,MATCH($A47,'Cohort Summary'!$A$5:$A$14,0))</f>
        <v>-0.331189710610933</v>
      </c>
      <c r="J47" s="42" t="n">
        <f aca="false">(E47-INDEX('Cohort Summary'!$F$5:$F$14,MATCH($A47,'Cohort Summary'!$A$5:$A$14,0)))/INDEX('Cohort Summary'!$G$5:$G$14,MATCH($A47,'Cohort Summary'!$A$5:$A$14,0))</f>
        <v>-0.376288659793815</v>
      </c>
      <c r="K47" s="42" t="n">
        <f aca="false">(F47-INDEX('Cohort Summary'!$H$5:$H$14,MATCH($A47,'Cohort Summary'!$A$5:$A$14,0)))/INDEX('Cohort Summary'!$I$5:$I$14,MATCH($A47,'Cohort Summary'!$A$5:$A$14,0))</f>
        <v>1.66274509803922</v>
      </c>
      <c r="L47" s="42" t="n">
        <f aca="false">(G47-INDEX('Cohort Summary'!$J$5:$J$14,MATCH($A47,'Cohort Summary'!$A$5:$A$14,0)))/INDEX('Cohort Summary'!$K$5:$K$14,MATCH($A47,'Cohort Summary'!$A$5:$A$14,0))</f>
        <v>0.836363636363638</v>
      </c>
      <c r="M47" s="42" t="n">
        <f aca="false">MAX(I47:K47)</f>
        <v>1.66274509803922</v>
      </c>
      <c r="N47" s="27" t="s">
        <v>197</v>
      </c>
      <c r="O47" s="27"/>
      <c r="P47" s="27" t="str">
        <f aca="false">A47&amp;"|"&amp;N47</f>
        <v>NURSE-01|normal</v>
      </c>
    </row>
    <row r="48" customFormat="false" ht="15" hidden="false" customHeight="true" outlineLevel="0" collapsed="false">
      <c r="A48" s="27" t="s">
        <v>66</v>
      </c>
      <c r="B48" s="41" t="n">
        <v>46303.3076388889</v>
      </c>
      <c r="C48" s="27" t="s">
        <v>195</v>
      </c>
      <c r="D48" s="27" t="n">
        <v>44.9</v>
      </c>
      <c r="E48" s="27" t="n">
        <v>15.2</v>
      </c>
      <c r="F48" s="27" t="n">
        <v>30.9</v>
      </c>
      <c r="G48" s="27" t="n">
        <v>32.9</v>
      </c>
      <c r="H48" s="27" t="s">
        <v>196</v>
      </c>
      <c r="I48" s="42" t="n">
        <f aca="false">(D48-INDEX('Cohort Summary'!$D$5:$D$14,MATCH($A48,'Cohort Summary'!$A$5:$A$14,0)))/INDEX('Cohort Summary'!$E$5:$E$14,MATCH($A48,'Cohort Summary'!$A$5:$A$14,0))</f>
        <v>1.56591639871383</v>
      </c>
      <c r="J48" s="42" t="n">
        <f aca="false">(E48-INDEX('Cohort Summary'!$F$5:$F$14,MATCH($A48,'Cohort Summary'!$A$5:$A$14,0)))/INDEX('Cohort Summary'!$G$5:$G$14,MATCH($A48,'Cohort Summary'!$A$5:$A$14,0))</f>
        <v>-1.71649484536083</v>
      </c>
      <c r="K48" s="42" t="n">
        <f aca="false">(F48-INDEX('Cohort Summary'!$H$5:$H$14,MATCH($A48,'Cohort Summary'!$A$5:$A$14,0)))/INDEX('Cohort Summary'!$I$5:$I$14,MATCH($A48,'Cohort Summary'!$A$5:$A$14,0))</f>
        <v>0.250980392156862</v>
      </c>
      <c r="L48" s="42" t="n">
        <f aca="false">(G48-INDEX('Cohort Summary'!$J$5:$J$14,MATCH($A48,'Cohort Summary'!$A$5:$A$14,0)))/INDEX('Cohort Summary'!$K$5:$K$14,MATCH($A48,'Cohort Summary'!$A$5:$A$14,0))</f>
        <v>-0.0727272727272712</v>
      </c>
      <c r="M48" s="42" t="n">
        <f aca="false">MAX(I48:K48)</f>
        <v>1.56591639871383</v>
      </c>
      <c r="N48" s="27" t="s">
        <v>197</v>
      </c>
      <c r="O48" s="27"/>
      <c r="P48" s="27" t="str">
        <f aca="false">A48&amp;"|"&amp;N48</f>
        <v>NURSE-01|normal</v>
      </c>
    </row>
    <row r="49" customFormat="false" ht="15" hidden="false" customHeight="true" outlineLevel="0" collapsed="false">
      <c r="A49" s="27" t="s">
        <v>66</v>
      </c>
      <c r="B49" s="41" t="n">
        <v>46303.3079861111</v>
      </c>
      <c r="C49" s="27" t="s">
        <v>195</v>
      </c>
      <c r="D49" s="27" t="n">
        <v>36.5</v>
      </c>
      <c r="E49" s="27" t="n">
        <v>20.8</v>
      </c>
      <c r="F49" s="27" t="n">
        <v>34.8</v>
      </c>
      <c r="G49" s="27" t="n">
        <v>33.3</v>
      </c>
      <c r="H49" s="27" t="s">
        <v>199</v>
      </c>
      <c r="I49" s="42" t="n">
        <f aca="false">(D49-INDEX('Cohort Summary'!$D$5:$D$14,MATCH($A49,'Cohort Summary'!$A$5:$A$14,0)))/INDEX('Cohort Summary'!$E$5:$E$14,MATCH($A49,'Cohort Summary'!$A$5:$A$14,0))</f>
        <v>-1.13504823151125</v>
      </c>
      <c r="J49" s="42" t="n">
        <f aca="false">(E49-INDEX('Cohort Summary'!$F$5:$F$14,MATCH($A49,'Cohort Summary'!$A$5:$A$14,0)))/INDEX('Cohort Summary'!$G$5:$G$14,MATCH($A49,'Cohort Summary'!$A$5:$A$14,0))</f>
        <v>1.17010309278351</v>
      </c>
      <c r="K49" s="42" t="n">
        <f aca="false">(F49-INDEX('Cohort Summary'!$H$5:$H$14,MATCH($A49,'Cohort Summary'!$A$5:$A$14,0)))/INDEX('Cohort Summary'!$I$5:$I$14,MATCH($A49,'Cohort Summary'!$A$5:$A$14,0))</f>
        <v>1.78039215686274</v>
      </c>
      <c r="L49" s="42" t="n">
        <f aca="false">(G49-INDEX('Cohort Summary'!$J$5:$J$14,MATCH($A49,'Cohort Summary'!$A$5:$A$14,0)))/INDEX('Cohort Summary'!$K$5:$K$14,MATCH($A49,'Cohort Summary'!$A$5:$A$14,0))</f>
        <v>0.654545454545453</v>
      </c>
      <c r="M49" s="42" t="n">
        <f aca="false">MAX(I49:K49)</f>
        <v>1.78039215686274</v>
      </c>
      <c r="N49" s="27" t="s">
        <v>197</v>
      </c>
      <c r="O49" s="27"/>
      <c r="P49" s="27" t="str">
        <f aca="false">A49&amp;"|"&amp;N49</f>
        <v>NURSE-01|normal</v>
      </c>
    </row>
    <row r="50" customFormat="false" ht="15" hidden="false" customHeight="true" outlineLevel="0" collapsed="false">
      <c r="A50" s="27" t="s">
        <v>66</v>
      </c>
      <c r="B50" s="41" t="n">
        <v>46303.3083333333</v>
      </c>
      <c r="C50" s="27" t="s">
        <v>195</v>
      </c>
      <c r="D50" s="27" t="n">
        <v>36.6</v>
      </c>
      <c r="E50" s="27" t="n">
        <v>18.8</v>
      </c>
      <c r="F50" s="27" t="n">
        <v>25.2</v>
      </c>
      <c r="G50" s="27" t="n">
        <v>33.6</v>
      </c>
      <c r="H50" s="27" t="s">
        <v>196</v>
      </c>
      <c r="I50" s="42" t="n">
        <f aca="false">(D50-INDEX('Cohort Summary'!$D$5:$D$14,MATCH($A50,'Cohort Summary'!$A$5:$A$14,0)))/INDEX('Cohort Summary'!$E$5:$E$14,MATCH($A50,'Cohort Summary'!$A$5:$A$14,0))</f>
        <v>-1.10289389067524</v>
      </c>
      <c r="J50" s="42" t="n">
        <f aca="false">(E50-INDEX('Cohort Summary'!$F$5:$F$14,MATCH($A50,'Cohort Summary'!$A$5:$A$14,0)))/INDEX('Cohort Summary'!$G$5:$G$14,MATCH($A50,'Cohort Summary'!$A$5:$A$14,0))</f>
        <v>0.139175257731959</v>
      </c>
      <c r="K50" s="42" t="n">
        <f aca="false">(F50-INDEX('Cohort Summary'!$H$5:$H$14,MATCH($A50,'Cohort Summary'!$A$5:$A$14,0)))/INDEX('Cohort Summary'!$I$5:$I$14,MATCH($A50,'Cohort Summary'!$A$5:$A$14,0))</f>
        <v>-1.9843137254902</v>
      </c>
      <c r="L50" s="42" t="n">
        <f aca="false">(G50-INDEX('Cohort Summary'!$J$5:$J$14,MATCH($A50,'Cohort Summary'!$A$5:$A$14,0)))/INDEX('Cohort Summary'!$K$5:$K$14,MATCH($A50,'Cohort Summary'!$A$5:$A$14,0))</f>
        <v>1.20000000000001</v>
      </c>
      <c r="M50" s="42" t="n">
        <f aca="false">MAX(I50:K50)</f>
        <v>0.139175257731959</v>
      </c>
      <c r="N50" s="27" t="s">
        <v>197</v>
      </c>
      <c r="O50" s="27"/>
      <c r="P50" s="27" t="str">
        <f aca="false">A50&amp;"|"&amp;N50</f>
        <v>NURSE-01|normal</v>
      </c>
    </row>
    <row r="51" customFormat="false" ht="15" hidden="false" customHeight="true" outlineLevel="0" collapsed="false">
      <c r="A51" s="27" t="s">
        <v>66</v>
      </c>
      <c r="B51" s="41" t="n">
        <v>46303.3086805556</v>
      </c>
      <c r="C51" s="27" t="s">
        <v>195</v>
      </c>
      <c r="D51" s="27" t="n">
        <v>41.5</v>
      </c>
      <c r="E51" s="27" t="n">
        <v>18.7</v>
      </c>
      <c r="F51" s="27" t="n">
        <v>34.3</v>
      </c>
      <c r="G51" s="27" t="n">
        <v>32.9</v>
      </c>
      <c r="H51" s="27" t="s">
        <v>198</v>
      </c>
      <c r="I51" s="42" t="n">
        <f aca="false">(D51-INDEX('Cohort Summary'!$D$5:$D$14,MATCH($A51,'Cohort Summary'!$A$5:$A$14,0)))/INDEX('Cohort Summary'!$E$5:$E$14,MATCH($A51,'Cohort Summary'!$A$5:$A$14,0))</f>
        <v>0.472668810289389</v>
      </c>
      <c r="J51" s="42" t="n">
        <f aca="false">(E51-INDEX('Cohort Summary'!$F$5:$F$14,MATCH($A51,'Cohort Summary'!$A$5:$A$14,0)))/INDEX('Cohort Summary'!$G$5:$G$14,MATCH($A51,'Cohort Summary'!$A$5:$A$14,0))</f>
        <v>0.0876288659793805</v>
      </c>
      <c r="K51" s="42" t="n">
        <f aca="false">(F51-INDEX('Cohort Summary'!$H$5:$H$14,MATCH($A51,'Cohort Summary'!$A$5:$A$14,0)))/INDEX('Cohort Summary'!$I$5:$I$14,MATCH($A51,'Cohort Summary'!$A$5:$A$14,0))</f>
        <v>1.58431372549019</v>
      </c>
      <c r="L51" s="42" t="n">
        <f aca="false">(G51-INDEX('Cohort Summary'!$J$5:$J$14,MATCH($A51,'Cohort Summary'!$A$5:$A$14,0)))/INDEX('Cohort Summary'!$K$5:$K$14,MATCH($A51,'Cohort Summary'!$A$5:$A$14,0))</f>
        <v>-0.0727272727272712</v>
      </c>
      <c r="M51" s="42" t="n">
        <f aca="false">MAX(I51:K51)</f>
        <v>1.58431372549019</v>
      </c>
      <c r="N51" s="27" t="s">
        <v>197</v>
      </c>
      <c r="O51" s="27"/>
      <c r="P51" s="27" t="str">
        <f aca="false">A51&amp;"|"&amp;N51</f>
        <v>NURSE-01|normal</v>
      </c>
    </row>
    <row r="52" customFormat="false" ht="15" hidden="false" customHeight="true" outlineLevel="0" collapsed="false">
      <c r="A52" s="27" t="s">
        <v>66</v>
      </c>
      <c r="B52" s="41" t="n">
        <v>46303.3090277778</v>
      </c>
      <c r="C52" s="27" t="s">
        <v>195</v>
      </c>
      <c r="D52" s="27" t="n">
        <v>43.3</v>
      </c>
      <c r="E52" s="27" t="n">
        <v>16.5</v>
      </c>
      <c r="F52" s="27" t="n">
        <v>27.5</v>
      </c>
      <c r="G52" s="27" t="n">
        <v>32.6</v>
      </c>
      <c r="H52" s="27" t="s">
        <v>198</v>
      </c>
      <c r="I52" s="42" t="n">
        <f aca="false">(D52-INDEX('Cohort Summary'!$D$5:$D$14,MATCH($A52,'Cohort Summary'!$A$5:$A$14,0)))/INDEX('Cohort Summary'!$E$5:$E$14,MATCH($A52,'Cohort Summary'!$A$5:$A$14,0))</f>
        <v>1.05144694533762</v>
      </c>
      <c r="J52" s="42" t="n">
        <f aca="false">(E52-INDEX('Cohort Summary'!$F$5:$F$14,MATCH($A52,'Cohort Summary'!$A$5:$A$14,0)))/INDEX('Cohort Summary'!$G$5:$G$14,MATCH($A52,'Cohort Summary'!$A$5:$A$14,0))</f>
        <v>-1.04639175257732</v>
      </c>
      <c r="K52" s="42" t="n">
        <f aca="false">(F52-INDEX('Cohort Summary'!$H$5:$H$14,MATCH($A52,'Cohort Summary'!$A$5:$A$14,0)))/INDEX('Cohort Summary'!$I$5:$I$14,MATCH($A52,'Cohort Summary'!$A$5:$A$14,0))</f>
        <v>-1.08235294117647</v>
      </c>
      <c r="L52" s="42" t="n">
        <f aca="false">(G52-INDEX('Cohort Summary'!$J$5:$J$14,MATCH($A52,'Cohort Summary'!$A$5:$A$14,0)))/INDEX('Cohort Summary'!$K$5:$K$14,MATCH($A52,'Cohort Summary'!$A$5:$A$14,0))</f>
        <v>-0.618181818181811</v>
      </c>
      <c r="M52" s="42" t="n">
        <f aca="false">MAX(I52:K52)</f>
        <v>1.05144694533762</v>
      </c>
      <c r="N52" s="27" t="s">
        <v>197</v>
      </c>
      <c r="O52" s="27"/>
      <c r="P52" s="27" t="str">
        <f aca="false">A52&amp;"|"&amp;N52</f>
        <v>NURSE-01|normal</v>
      </c>
    </row>
    <row r="53" customFormat="false" ht="15" hidden="false" customHeight="true" outlineLevel="0" collapsed="false">
      <c r="A53" s="27" t="s">
        <v>66</v>
      </c>
      <c r="B53" s="41" t="n">
        <v>46303.309375</v>
      </c>
      <c r="C53" s="27" t="s">
        <v>195</v>
      </c>
      <c r="D53" s="27" t="n">
        <v>42.6</v>
      </c>
      <c r="E53" s="27" t="n">
        <v>17.3</v>
      </c>
      <c r="F53" s="27" t="n">
        <v>30.4</v>
      </c>
      <c r="G53" s="27" t="n">
        <v>33.7</v>
      </c>
      <c r="H53" s="27" t="s">
        <v>198</v>
      </c>
      <c r="I53" s="42" t="n">
        <f aca="false">(D53-INDEX('Cohort Summary'!$D$5:$D$14,MATCH($A53,'Cohort Summary'!$A$5:$A$14,0)))/INDEX('Cohort Summary'!$E$5:$E$14,MATCH($A53,'Cohort Summary'!$A$5:$A$14,0))</f>
        <v>0.826366559485531</v>
      </c>
      <c r="J53" s="42" t="n">
        <f aca="false">(E53-INDEX('Cohort Summary'!$F$5:$F$14,MATCH($A53,'Cohort Summary'!$A$5:$A$14,0)))/INDEX('Cohort Summary'!$G$5:$G$14,MATCH($A53,'Cohort Summary'!$A$5:$A$14,0))</f>
        <v>-0.634020618556701</v>
      </c>
      <c r="K53" s="42" t="n">
        <f aca="false">(F53-INDEX('Cohort Summary'!$H$5:$H$14,MATCH($A53,'Cohort Summary'!$A$5:$A$14,0)))/INDEX('Cohort Summary'!$I$5:$I$14,MATCH($A53,'Cohort Summary'!$A$5:$A$14,0))</f>
        <v>0.0549019607843126</v>
      </c>
      <c r="L53" s="42" t="n">
        <f aca="false">(G53-INDEX('Cohort Summary'!$J$5:$J$14,MATCH($A53,'Cohort Summary'!$A$5:$A$14,0)))/INDEX('Cohort Summary'!$K$5:$K$14,MATCH($A53,'Cohort Summary'!$A$5:$A$14,0))</f>
        <v>1.38181818181819</v>
      </c>
      <c r="M53" s="42" t="n">
        <f aca="false">MAX(I53:K53)</f>
        <v>0.826366559485531</v>
      </c>
      <c r="N53" s="27" t="s">
        <v>197</v>
      </c>
      <c r="O53" s="27"/>
      <c r="P53" s="27" t="str">
        <f aca="false">A53&amp;"|"&amp;N53</f>
        <v>NURSE-01|normal</v>
      </c>
    </row>
    <row r="54" customFormat="false" ht="15" hidden="false" customHeight="true" outlineLevel="0" collapsed="false">
      <c r="A54" s="27" t="s">
        <v>66</v>
      </c>
      <c r="B54" s="41" t="n">
        <v>46303.3097222222</v>
      </c>
      <c r="C54" s="27" t="s">
        <v>195</v>
      </c>
      <c r="D54" s="27" t="n">
        <v>44.1</v>
      </c>
      <c r="E54" s="27" t="n">
        <v>17.5</v>
      </c>
      <c r="F54" s="27" t="n">
        <v>29.6</v>
      </c>
      <c r="G54" s="27" t="n">
        <v>33.2</v>
      </c>
      <c r="H54" s="27" t="s">
        <v>196</v>
      </c>
      <c r="I54" s="42" t="n">
        <f aca="false">(D54-INDEX('Cohort Summary'!$D$5:$D$14,MATCH($A54,'Cohort Summary'!$A$5:$A$14,0)))/INDEX('Cohort Summary'!$E$5:$E$14,MATCH($A54,'Cohort Summary'!$A$5:$A$14,0))</f>
        <v>1.30868167202572</v>
      </c>
      <c r="J54" s="42" t="n">
        <f aca="false">(E54-INDEX('Cohort Summary'!$F$5:$F$14,MATCH($A54,'Cohort Summary'!$A$5:$A$14,0)))/INDEX('Cohort Summary'!$G$5:$G$14,MATCH($A54,'Cohort Summary'!$A$5:$A$14,0))</f>
        <v>-0.530927835051547</v>
      </c>
      <c r="K54" s="42" t="n">
        <f aca="false">(F54-INDEX('Cohort Summary'!$H$5:$H$14,MATCH($A54,'Cohort Summary'!$A$5:$A$14,0)))/INDEX('Cohort Summary'!$I$5:$I$14,MATCH($A54,'Cohort Summary'!$A$5:$A$14,0))</f>
        <v>-0.258823529411765</v>
      </c>
      <c r="L54" s="42" t="n">
        <f aca="false">(G54-INDEX('Cohort Summary'!$J$5:$J$14,MATCH($A54,'Cohort Summary'!$A$5:$A$14,0)))/INDEX('Cohort Summary'!$K$5:$K$14,MATCH($A54,'Cohort Summary'!$A$5:$A$14,0))</f>
        <v>0.472727272727282</v>
      </c>
      <c r="M54" s="42" t="n">
        <f aca="false">MAX(I54:K54)</f>
        <v>1.30868167202572</v>
      </c>
      <c r="N54" s="27" t="s">
        <v>197</v>
      </c>
      <c r="O54" s="27"/>
      <c r="P54" s="27" t="str">
        <f aca="false">A54&amp;"|"&amp;N54</f>
        <v>NURSE-01|normal</v>
      </c>
    </row>
    <row r="55" customFormat="false" ht="15" hidden="false" customHeight="true" outlineLevel="0" collapsed="false">
      <c r="A55" s="27" t="s">
        <v>66</v>
      </c>
      <c r="B55" s="41" t="n">
        <v>46303.3100694444</v>
      </c>
      <c r="C55" s="27" t="s">
        <v>195</v>
      </c>
      <c r="D55" s="27" t="n">
        <v>39.2</v>
      </c>
      <c r="E55" s="27" t="n">
        <v>21.4</v>
      </c>
      <c r="F55" s="27" t="n">
        <v>30</v>
      </c>
      <c r="G55" s="27" t="n">
        <v>33.1</v>
      </c>
      <c r="H55" s="27" t="s">
        <v>196</v>
      </c>
      <c r="I55" s="42" t="n">
        <f aca="false">(D55-INDEX('Cohort Summary'!$D$5:$D$14,MATCH($A55,'Cohort Summary'!$A$5:$A$14,0)))/INDEX('Cohort Summary'!$E$5:$E$14,MATCH($A55,'Cohort Summary'!$A$5:$A$14,0))</f>
        <v>-0.266881028938906</v>
      </c>
      <c r="J55" s="42" t="n">
        <f aca="false">(E55-INDEX('Cohort Summary'!$F$5:$F$14,MATCH($A55,'Cohort Summary'!$A$5:$A$14,0)))/INDEX('Cohort Summary'!$G$5:$G$14,MATCH($A55,'Cohort Summary'!$A$5:$A$14,0))</f>
        <v>1.47938144329897</v>
      </c>
      <c r="K55" s="42" t="n">
        <f aca="false">(F55-INDEX('Cohort Summary'!$H$5:$H$14,MATCH($A55,'Cohort Summary'!$A$5:$A$14,0)))/INDEX('Cohort Summary'!$I$5:$I$14,MATCH($A55,'Cohort Summary'!$A$5:$A$14,0))</f>
        <v>-0.101960784313726</v>
      </c>
      <c r="L55" s="42" t="n">
        <f aca="false">(G55-INDEX('Cohort Summary'!$J$5:$J$14,MATCH($A55,'Cohort Summary'!$A$5:$A$14,0)))/INDEX('Cohort Summary'!$K$5:$K$14,MATCH($A55,'Cohort Summary'!$A$5:$A$14,0))</f>
        <v>0.290909090909098</v>
      </c>
      <c r="M55" s="42" t="n">
        <f aca="false">MAX(I55:K55)</f>
        <v>1.47938144329897</v>
      </c>
      <c r="N55" s="27" t="s">
        <v>197</v>
      </c>
      <c r="O55" s="27"/>
      <c r="P55" s="27" t="str">
        <f aca="false">A55&amp;"|"&amp;N55</f>
        <v>NURSE-01|normal</v>
      </c>
    </row>
    <row r="56" customFormat="false" ht="15" hidden="false" customHeight="true" outlineLevel="0" collapsed="false">
      <c r="A56" s="27" t="s">
        <v>66</v>
      </c>
      <c r="B56" s="41" t="n">
        <v>46303.3104166667</v>
      </c>
      <c r="C56" s="27" t="s">
        <v>195</v>
      </c>
      <c r="D56" s="27" t="n">
        <v>40.1</v>
      </c>
      <c r="E56" s="27" t="n">
        <v>21.1</v>
      </c>
      <c r="F56" s="27" t="n">
        <v>32.8</v>
      </c>
      <c r="G56" s="27" t="n">
        <v>33.2</v>
      </c>
      <c r="H56" s="27" t="s">
        <v>198</v>
      </c>
      <c r="I56" s="42" t="n">
        <f aca="false">(D56-INDEX('Cohort Summary'!$D$5:$D$14,MATCH($A56,'Cohort Summary'!$A$5:$A$14,0)))/INDEX('Cohort Summary'!$E$5:$E$14,MATCH($A56,'Cohort Summary'!$A$5:$A$14,0))</f>
        <v>0.0225080385852091</v>
      </c>
      <c r="J56" s="42" t="n">
        <f aca="false">(E56-INDEX('Cohort Summary'!$F$5:$F$14,MATCH($A56,'Cohort Summary'!$A$5:$A$14,0)))/INDEX('Cohort Summary'!$G$5:$G$14,MATCH($A56,'Cohort Summary'!$A$5:$A$14,0))</f>
        <v>1.32474226804124</v>
      </c>
      <c r="K56" s="42" t="n">
        <f aca="false">(F56-INDEX('Cohort Summary'!$H$5:$H$14,MATCH($A56,'Cohort Summary'!$A$5:$A$14,0)))/INDEX('Cohort Summary'!$I$5:$I$14,MATCH($A56,'Cohort Summary'!$A$5:$A$14,0))</f>
        <v>0.996078431372547</v>
      </c>
      <c r="L56" s="42" t="n">
        <f aca="false">(G56-INDEX('Cohort Summary'!$J$5:$J$14,MATCH($A56,'Cohort Summary'!$A$5:$A$14,0)))/INDEX('Cohort Summary'!$K$5:$K$14,MATCH($A56,'Cohort Summary'!$A$5:$A$14,0))</f>
        <v>0.472727272727282</v>
      </c>
      <c r="M56" s="42" t="n">
        <f aca="false">MAX(I56:K56)</f>
        <v>1.32474226804124</v>
      </c>
      <c r="N56" s="27" t="s">
        <v>197</v>
      </c>
      <c r="O56" s="27"/>
      <c r="P56" s="27" t="str">
        <f aca="false">A56&amp;"|"&amp;N56</f>
        <v>NURSE-01|normal</v>
      </c>
    </row>
    <row r="57" customFormat="false" ht="15" hidden="false" customHeight="true" outlineLevel="0" collapsed="false">
      <c r="A57" s="27" t="s">
        <v>66</v>
      </c>
      <c r="B57" s="41" t="n">
        <v>46303.3107638889</v>
      </c>
      <c r="C57" s="27" t="s">
        <v>195</v>
      </c>
      <c r="D57" s="27" t="n">
        <v>36.7</v>
      </c>
      <c r="E57" s="27" t="n">
        <v>18.3</v>
      </c>
      <c r="F57" s="27" t="n">
        <v>32.3</v>
      </c>
      <c r="G57" s="27" t="n">
        <v>33.1</v>
      </c>
      <c r="H57" s="27" t="s">
        <v>199</v>
      </c>
      <c r="I57" s="42" t="n">
        <f aca="false">(D57-INDEX('Cohort Summary'!$D$5:$D$14,MATCH($A57,'Cohort Summary'!$A$5:$A$14,0)))/INDEX('Cohort Summary'!$E$5:$E$14,MATCH($A57,'Cohort Summary'!$A$5:$A$14,0))</f>
        <v>-1.07073954983923</v>
      </c>
      <c r="J57" s="42" t="n">
        <f aca="false">(E57-INDEX('Cohort Summary'!$F$5:$F$14,MATCH($A57,'Cohort Summary'!$A$5:$A$14,0)))/INDEX('Cohort Summary'!$G$5:$G$14,MATCH($A57,'Cohort Summary'!$A$5:$A$14,0))</f>
        <v>-0.118556701030928</v>
      </c>
      <c r="K57" s="42" t="n">
        <f aca="false">(F57-INDEX('Cohort Summary'!$H$5:$H$14,MATCH($A57,'Cohort Summary'!$A$5:$A$14,0)))/INDEX('Cohort Summary'!$I$5:$I$14,MATCH($A57,'Cohort Summary'!$A$5:$A$14,0))</f>
        <v>0.799999999999998</v>
      </c>
      <c r="L57" s="42" t="n">
        <f aca="false">(G57-INDEX('Cohort Summary'!$J$5:$J$14,MATCH($A57,'Cohort Summary'!$A$5:$A$14,0)))/INDEX('Cohort Summary'!$K$5:$K$14,MATCH($A57,'Cohort Summary'!$A$5:$A$14,0))</f>
        <v>0.290909090909098</v>
      </c>
      <c r="M57" s="42" t="n">
        <f aca="false">MAX(I57:K57)</f>
        <v>0.799999999999998</v>
      </c>
      <c r="N57" s="27" t="s">
        <v>197</v>
      </c>
      <c r="O57" s="27"/>
      <c r="P57" s="27" t="str">
        <f aca="false">A57&amp;"|"&amp;N57</f>
        <v>NURSE-01|normal</v>
      </c>
    </row>
    <row r="58" customFormat="false" ht="15" hidden="false" customHeight="true" outlineLevel="0" collapsed="false">
      <c r="A58" s="27" t="s">
        <v>66</v>
      </c>
      <c r="B58" s="41" t="n">
        <v>46303.3111111111</v>
      </c>
      <c r="C58" s="27" t="s">
        <v>195</v>
      </c>
      <c r="D58" s="27" t="n">
        <v>41.8</v>
      </c>
      <c r="E58" s="27" t="n">
        <v>18.7</v>
      </c>
      <c r="F58" s="27" t="n">
        <v>29.8</v>
      </c>
      <c r="G58" s="27" t="n">
        <v>33.6</v>
      </c>
      <c r="H58" s="27" t="s">
        <v>196</v>
      </c>
      <c r="I58" s="42" t="n">
        <f aca="false">(D58-INDEX('Cohort Summary'!$D$5:$D$14,MATCH($A58,'Cohort Summary'!$A$5:$A$14,0)))/INDEX('Cohort Summary'!$E$5:$E$14,MATCH($A58,'Cohort Summary'!$A$5:$A$14,0))</f>
        <v>0.569131832797426</v>
      </c>
      <c r="J58" s="42" t="n">
        <f aca="false">(E58-INDEX('Cohort Summary'!$F$5:$F$14,MATCH($A58,'Cohort Summary'!$A$5:$A$14,0)))/INDEX('Cohort Summary'!$G$5:$G$14,MATCH($A58,'Cohort Summary'!$A$5:$A$14,0))</f>
        <v>0.0876288659793805</v>
      </c>
      <c r="K58" s="42" t="n">
        <f aca="false">(F58-INDEX('Cohort Summary'!$H$5:$H$14,MATCH($A58,'Cohort Summary'!$A$5:$A$14,0)))/INDEX('Cohort Summary'!$I$5:$I$14,MATCH($A58,'Cohort Summary'!$A$5:$A$14,0))</f>
        <v>-0.180392156862745</v>
      </c>
      <c r="L58" s="42" t="n">
        <f aca="false">(G58-INDEX('Cohort Summary'!$J$5:$J$14,MATCH($A58,'Cohort Summary'!$A$5:$A$14,0)))/INDEX('Cohort Summary'!$K$5:$K$14,MATCH($A58,'Cohort Summary'!$A$5:$A$14,0))</f>
        <v>1.20000000000001</v>
      </c>
      <c r="M58" s="42" t="n">
        <f aca="false">MAX(I58:K58)</f>
        <v>0.569131832797426</v>
      </c>
      <c r="N58" s="27" t="s">
        <v>197</v>
      </c>
      <c r="O58" s="27"/>
      <c r="P58" s="27" t="str">
        <f aca="false">A58&amp;"|"&amp;N58</f>
        <v>NURSE-01|normal</v>
      </c>
    </row>
    <row r="59" customFormat="false" ht="15" hidden="false" customHeight="true" outlineLevel="0" collapsed="false">
      <c r="A59" s="27" t="s">
        <v>66</v>
      </c>
      <c r="B59" s="41" t="n">
        <v>46303.3114583333</v>
      </c>
      <c r="C59" s="27" t="s">
        <v>195</v>
      </c>
      <c r="D59" s="27" t="n">
        <v>35.6</v>
      </c>
      <c r="E59" s="27" t="n">
        <v>16.3</v>
      </c>
      <c r="F59" s="27" t="n">
        <v>25.4</v>
      </c>
      <c r="G59" s="27" t="n">
        <v>32.2</v>
      </c>
      <c r="H59" s="27" t="s">
        <v>199</v>
      </c>
      <c r="I59" s="42" t="n">
        <f aca="false">(D59-INDEX('Cohort Summary'!$D$5:$D$14,MATCH($A59,'Cohort Summary'!$A$5:$A$14,0)))/INDEX('Cohort Summary'!$E$5:$E$14,MATCH($A59,'Cohort Summary'!$A$5:$A$14,0))</f>
        <v>-1.42443729903537</v>
      </c>
      <c r="J59" s="42" t="n">
        <f aca="false">(E59-INDEX('Cohort Summary'!$F$5:$F$14,MATCH($A59,'Cohort Summary'!$A$5:$A$14,0)))/INDEX('Cohort Summary'!$G$5:$G$14,MATCH($A59,'Cohort Summary'!$A$5:$A$14,0))</f>
        <v>-1.14948453608247</v>
      </c>
      <c r="K59" s="42" t="n">
        <f aca="false">(F59-INDEX('Cohort Summary'!$H$5:$H$14,MATCH($A59,'Cohort Summary'!$A$5:$A$14,0)))/INDEX('Cohort Summary'!$I$5:$I$14,MATCH($A59,'Cohort Summary'!$A$5:$A$14,0))</f>
        <v>-1.90588235294118</v>
      </c>
      <c r="L59" s="42" t="n">
        <f aca="false">(G59-INDEX('Cohort Summary'!$J$5:$J$14,MATCH($A59,'Cohort Summary'!$A$5:$A$14,0)))/INDEX('Cohort Summary'!$K$5:$K$14,MATCH($A59,'Cohort Summary'!$A$5:$A$14,0))</f>
        <v>-1.34545454545454</v>
      </c>
      <c r="M59" s="42" t="n">
        <f aca="false">MAX(I59:K59)</f>
        <v>-1.14948453608247</v>
      </c>
      <c r="N59" s="27" t="s">
        <v>197</v>
      </c>
      <c r="O59" s="27"/>
      <c r="P59" s="27" t="str">
        <f aca="false">A59&amp;"|"&amp;N59</f>
        <v>NURSE-01|normal</v>
      </c>
    </row>
    <row r="60" customFormat="false" ht="15" hidden="false" customHeight="true" outlineLevel="0" collapsed="false">
      <c r="A60" s="27" t="s">
        <v>66</v>
      </c>
      <c r="B60" s="41" t="n">
        <v>46303.3118055556</v>
      </c>
      <c r="C60" s="27" t="s">
        <v>195</v>
      </c>
      <c r="D60" s="27" t="n">
        <v>40.6</v>
      </c>
      <c r="E60" s="27" t="n">
        <v>20.3</v>
      </c>
      <c r="F60" s="27" t="n">
        <v>34.1</v>
      </c>
      <c r="G60" s="27" t="n">
        <v>32.9</v>
      </c>
      <c r="H60" s="27" t="s">
        <v>196</v>
      </c>
      <c r="I60" s="42" t="n">
        <f aca="false">(D60-INDEX('Cohort Summary'!$D$5:$D$14,MATCH($A60,'Cohort Summary'!$A$5:$A$14,0)))/INDEX('Cohort Summary'!$E$5:$E$14,MATCH($A60,'Cohort Summary'!$A$5:$A$14,0))</f>
        <v>0.183279742765273</v>
      </c>
      <c r="J60" s="42" t="n">
        <f aca="false">(E60-INDEX('Cohort Summary'!$F$5:$F$14,MATCH($A60,'Cohort Summary'!$A$5:$A$14,0)))/INDEX('Cohort Summary'!$G$5:$G$14,MATCH($A60,'Cohort Summary'!$A$5:$A$14,0))</f>
        <v>0.912371134020618</v>
      </c>
      <c r="K60" s="42" t="n">
        <f aca="false">(F60-INDEX('Cohort Summary'!$H$5:$H$14,MATCH($A60,'Cohort Summary'!$A$5:$A$14,0)))/INDEX('Cohort Summary'!$I$5:$I$14,MATCH($A60,'Cohort Summary'!$A$5:$A$14,0))</f>
        <v>1.50588235294118</v>
      </c>
      <c r="L60" s="42" t="n">
        <f aca="false">(G60-INDEX('Cohort Summary'!$J$5:$J$14,MATCH($A60,'Cohort Summary'!$A$5:$A$14,0)))/INDEX('Cohort Summary'!$K$5:$K$14,MATCH($A60,'Cohort Summary'!$A$5:$A$14,0))</f>
        <v>-0.0727272727272712</v>
      </c>
      <c r="M60" s="42" t="n">
        <f aca="false">MAX(I60:K60)</f>
        <v>1.50588235294118</v>
      </c>
      <c r="N60" s="27" t="s">
        <v>197</v>
      </c>
      <c r="O60" s="27"/>
      <c r="P60" s="27" t="str">
        <f aca="false">A60&amp;"|"&amp;N60</f>
        <v>NURSE-01|normal</v>
      </c>
    </row>
    <row r="61" customFormat="false" ht="15" hidden="false" customHeight="true" outlineLevel="0" collapsed="false">
      <c r="A61" s="27" t="s">
        <v>66</v>
      </c>
      <c r="B61" s="41" t="n">
        <v>46303.3121527778</v>
      </c>
      <c r="C61" s="27" t="s">
        <v>195</v>
      </c>
      <c r="D61" s="27" t="n">
        <v>44.7</v>
      </c>
      <c r="E61" s="27" t="n">
        <v>19.2</v>
      </c>
      <c r="F61" s="27" t="n">
        <v>27</v>
      </c>
      <c r="G61" s="27" t="n">
        <v>32.6</v>
      </c>
      <c r="H61" s="27" t="s">
        <v>196</v>
      </c>
      <c r="I61" s="42" t="n">
        <f aca="false">(D61-INDEX('Cohort Summary'!$D$5:$D$14,MATCH($A61,'Cohort Summary'!$A$5:$A$14,0)))/INDEX('Cohort Summary'!$E$5:$E$14,MATCH($A61,'Cohort Summary'!$A$5:$A$14,0))</f>
        <v>1.5016077170418</v>
      </c>
      <c r="J61" s="42" t="n">
        <f aca="false">(E61-INDEX('Cohort Summary'!$F$5:$F$14,MATCH($A61,'Cohort Summary'!$A$5:$A$14,0)))/INDEX('Cohort Summary'!$G$5:$G$14,MATCH($A61,'Cohort Summary'!$A$5:$A$14,0))</f>
        <v>0.345360824742267</v>
      </c>
      <c r="K61" s="42" t="n">
        <f aca="false">(F61-INDEX('Cohort Summary'!$H$5:$H$14,MATCH($A61,'Cohort Summary'!$A$5:$A$14,0)))/INDEX('Cohort Summary'!$I$5:$I$14,MATCH($A61,'Cohort Summary'!$A$5:$A$14,0))</f>
        <v>-1.27843137254902</v>
      </c>
      <c r="L61" s="42" t="n">
        <f aca="false">(G61-INDEX('Cohort Summary'!$J$5:$J$14,MATCH($A61,'Cohort Summary'!$A$5:$A$14,0)))/INDEX('Cohort Summary'!$K$5:$K$14,MATCH($A61,'Cohort Summary'!$A$5:$A$14,0))</f>
        <v>-0.618181818181811</v>
      </c>
      <c r="M61" s="42" t="n">
        <f aca="false">MAX(I61:K61)</f>
        <v>1.5016077170418</v>
      </c>
      <c r="N61" s="27" t="s">
        <v>197</v>
      </c>
      <c r="O61" s="27"/>
      <c r="P61" s="27" t="str">
        <f aca="false">A61&amp;"|"&amp;N61</f>
        <v>NURSE-01|normal</v>
      </c>
    </row>
    <row r="62" customFormat="false" ht="15" hidden="false" customHeight="true" outlineLevel="0" collapsed="false">
      <c r="A62" s="27" t="s">
        <v>66</v>
      </c>
      <c r="B62" s="41" t="n">
        <v>46303.3125</v>
      </c>
      <c r="C62" s="27" t="s">
        <v>200</v>
      </c>
      <c r="D62" s="27" t="n">
        <v>40.3</v>
      </c>
      <c r="E62" s="27" t="n">
        <v>18.3</v>
      </c>
      <c r="F62" s="27" t="n">
        <v>34.4</v>
      </c>
      <c r="G62" s="27" t="n">
        <v>33.4</v>
      </c>
      <c r="H62" s="27" t="s">
        <v>199</v>
      </c>
      <c r="I62" s="42" t="n">
        <f aca="false">(D62-INDEX('Cohort Summary'!$D$5:$D$14,MATCH($A62,'Cohort Summary'!$A$5:$A$14,0)))/INDEX('Cohort Summary'!$E$5:$E$14,MATCH($A62,'Cohort Summary'!$A$5:$A$14,0))</f>
        <v>0.0868167202572335</v>
      </c>
      <c r="J62" s="42" t="n">
        <f aca="false">(E62-INDEX('Cohort Summary'!$F$5:$F$14,MATCH($A62,'Cohort Summary'!$A$5:$A$14,0)))/INDEX('Cohort Summary'!$G$5:$G$14,MATCH($A62,'Cohort Summary'!$A$5:$A$14,0))</f>
        <v>-0.118556701030928</v>
      </c>
      <c r="K62" s="42" t="n">
        <f aca="false">(F62-INDEX('Cohort Summary'!$H$5:$H$14,MATCH($A62,'Cohort Summary'!$A$5:$A$14,0)))/INDEX('Cohort Summary'!$I$5:$I$14,MATCH($A62,'Cohort Summary'!$A$5:$A$14,0))</f>
        <v>1.6235294117647</v>
      </c>
      <c r="L62" s="42" t="n">
        <f aca="false">(G62-INDEX('Cohort Summary'!$J$5:$J$14,MATCH($A62,'Cohort Summary'!$A$5:$A$14,0)))/INDEX('Cohort Summary'!$K$5:$K$14,MATCH($A62,'Cohort Summary'!$A$5:$A$14,0))</f>
        <v>0.836363636363638</v>
      </c>
      <c r="M62" s="42" t="n">
        <f aca="false">MAX(I62:K62)</f>
        <v>1.6235294117647</v>
      </c>
      <c r="N62" s="27" t="s">
        <v>197</v>
      </c>
      <c r="O62" s="27"/>
      <c r="P62" s="27" t="str">
        <f aca="false">A62&amp;"|"&amp;N62</f>
        <v>NURSE-01|normal</v>
      </c>
    </row>
    <row r="63" customFormat="false" ht="15" hidden="false" customHeight="true" outlineLevel="0" collapsed="false">
      <c r="A63" s="27" t="s">
        <v>66</v>
      </c>
      <c r="B63" s="41" t="n">
        <v>46303.3128472222</v>
      </c>
      <c r="C63" s="27" t="s">
        <v>200</v>
      </c>
      <c r="D63" s="27" t="n">
        <v>44.2</v>
      </c>
      <c r="E63" s="27" t="n">
        <v>21.2</v>
      </c>
      <c r="F63" s="27" t="n">
        <v>27</v>
      </c>
      <c r="G63" s="27" t="n">
        <v>32.9</v>
      </c>
      <c r="H63" s="27" t="s">
        <v>199</v>
      </c>
      <c r="I63" s="42" t="n">
        <f aca="false">(D63-INDEX('Cohort Summary'!$D$5:$D$14,MATCH($A63,'Cohort Summary'!$A$5:$A$14,0)))/INDEX('Cohort Summary'!$E$5:$E$14,MATCH($A63,'Cohort Summary'!$A$5:$A$14,0))</f>
        <v>1.34083601286174</v>
      </c>
      <c r="J63" s="42" t="n">
        <f aca="false">(E63-INDEX('Cohort Summary'!$F$5:$F$14,MATCH($A63,'Cohort Summary'!$A$5:$A$14,0)))/INDEX('Cohort Summary'!$G$5:$G$14,MATCH($A63,'Cohort Summary'!$A$5:$A$14,0))</f>
        <v>1.37628865979381</v>
      </c>
      <c r="K63" s="42" t="n">
        <f aca="false">(F63-INDEX('Cohort Summary'!$H$5:$H$14,MATCH($A63,'Cohort Summary'!$A$5:$A$14,0)))/INDEX('Cohort Summary'!$I$5:$I$14,MATCH($A63,'Cohort Summary'!$A$5:$A$14,0))</f>
        <v>-1.27843137254902</v>
      </c>
      <c r="L63" s="42" t="n">
        <f aca="false">(G63-INDEX('Cohort Summary'!$J$5:$J$14,MATCH($A63,'Cohort Summary'!$A$5:$A$14,0)))/INDEX('Cohort Summary'!$K$5:$K$14,MATCH($A63,'Cohort Summary'!$A$5:$A$14,0))</f>
        <v>-0.0727272727272712</v>
      </c>
      <c r="M63" s="42" t="n">
        <f aca="false">MAX(I63:K63)</f>
        <v>1.37628865979381</v>
      </c>
      <c r="N63" s="27" t="s">
        <v>197</v>
      </c>
      <c r="O63" s="27"/>
      <c r="P63" s="27" t="str">
        <f aca="false">A63&amp;"|"&amp;N63</f>
        <v>NURSE-01|normal</v>
      </c>
    </row>
    <row r="64" customFormat="false" ht="15" hidden="false" customHeight="true" outlineLevel="0" collapsed="false">
      <c r="A64" s="27" t="s">
        <v>66</v>
      </c>
      <c r="B64" s="41" t="n">
        <v>46303.3131944445</v>
      </c>
      <c r="C64" s="27" t="s">
        <v>200</v>
      </c>
      <c r="D64" s="27" t="n">
        <v>36.2</v>
      </c>
      <c r="E64" s="27" t="n">
        <v>18.1</v>
      </c>
      <c r="F64" s="27" t="n">
        <v>25.7</v>
      </c>
      <c r="G64" s="27" t="n">
        <v>32.5</v>
      </c>
      <c r="H64" s="27" t="s">
        <v>198</v>
      </c>
      <c r="I64" s="42" t="n">
        <f aca="false">(D64-INDEX('Cohort Summary'!$D$5:$D$14,MATCH($A64,'Cohort Summary'!$A$5:$A$14,0)))/INDEX('Cohort Summary'!$E$5:$E$14,MATCH($A64,'Cohort Summary'!$A$5:$A$14,0))</f>
        <v>-1.23151125401929</v>
      </c>
      <c r="J64" s="42" t="n">
        <f aca="false">(E64-INDEX('Cohort Summary'!$F$5:$F$14,MATCH($A64,'Cohort Summary'!$A$5:$A$14,0)))/INDEX('Cohort Summary'!$G$5:$G$14,MATCH($A64,'Cohort Summary'!$A$5:$A$14,0))</f>
        <v>-0.221649484536082</v>
      </c>
      <c r="K64" s="42" t="n">
        <f aca="false">(F64-INDEX('Cohort Summary'!$H$5:$H$14,MATCH($A64,'Cohort Summary'!$A$5:$A$14,0)))/INDEX('Cohort Summary'!$I$5:$I$14,MATCH($A64,'Cohort Summary'!$A$5:$A$14,0))</f>
        <v>-1.78823529411765</v>
      </c>
      <c r="L64" s="42" t="n">
        <f aca="false">(G64-INDEX('Cohort Summary'!$J$5:$J$14,MATCH($A64,'Cohort Summary'!$A$5:$A$14,0)))/INDEX('Cohort Summary'!$K$5:$K$14,MATCH($A64,'Cohort Summary'!$A$5:$A$14,0))</f>
        <v>-0.799999999999996</v>
      </c>
      <c r="M64" s="42" t="n">
        <f aca="false">MAX(I64:K64)</f>
        <v>-0.221649484536082</v>
      </c>
      <c r="N64" s="27" t="s">
        <v>197</v>
      </c>
      <c r="O64" s="27"/>
      <c r="P64" s="27" t="str">
        <f aca="false">A64&amp;"|"&amp;N64</f>
        <v>NURSE-01|normal</v>
      </c>
    </row>
    <row r="65" customFormat="false" ht="15" hidden="false" customHeight="true" outlineLevel="0" collapsed="false">
      <c r="A65" s="27" t="s">
        <v>66</v>
      </c>
      <c r="B65" s="41" t="n">
        <v>46303.3135416667</v>
      </c>
      <c r="C65" s="27" t="s">
        <v>200</v>
      </c>
      <c r="D65" s="27" t="n">
        <v>37.1</v>
      </c>
      <c r="E65" s="27" t="n">
        <v>17.1</v>
      </c>
      <c r="F65" s="27" t="n">
        <v>26.2</v>
      </c>
      <c r="G65" s="27" t="n">
        <v>33.6</v>
      </c>
      <c r="H65" s="27" t="s">
        <v>196</v>
      </c>
      <c r="I65" s="42" t="n">
        <f aca="false">(D65-INDEX('Cohort Summary'!$D$5:$D$14,MATCH($A65,'Cohort Summary'!$A$5:$A$14,0)))/INDEX('Cohort Summary'!$E$5:$E$14,MATCH($A65,'Cohort Summary'!$A$5:$A$14,0))</f>
        <v>-0.942122186495177</v>
      </c>
      <c r="J65" s="42" t="n">
        <f aca="false">(E65-INDEX('Cohort Summary'!$F$5:$F$14,MATCH($A65,'Cohort Summary'!$A$5:$A$14,0)))/INDEX('Cohort Summary'!$G$5:$G$14,MATCH($A65,'Cohort Summary'!$A$5:$A$14,0))</f>
        <v>-0.737113402061856</v>
      </c>
      <c r="K65" s="42" t="n">
        <f aca="false">(F65-INDEX('Cohort Summary'!$H$5:$H$14,MATCH($A65,'Cohort Summary'!$A$5:$A$14,0)))/INDEX('Cohort Summary'!$I$5:$I$14,MATCH($A65,'Cohort Summary'!$A$5:$A$14,0))</f>
        <v>-1.5921568627451</v>
      </c>
      <c r="L65" s="42" t="n">
        <f aca="false">(G65-INDEX('Cohort Summary'!$J$5:$J$14,MATCH($A65,'Cohort Summary'!$A$5:$A$14,0)))/INDEX('Cohort Summary'!$K$5:$K$14,MATCH($A65,'Cohort Summary'!$A$5:$A$14,0))</f>
        <v>1.20000000000001</v>
      </c>
      <c r="M65" s="42" t="n">
        <f aca="false">MAX(I65:K65)</f>
        <v>-0.737113402061856</v>
      </c>
      <c r="N65" s="27" t="s">
        <v>197</v>
      </c>
      <c r="O65" s="27"/>
      <c r="P65" s="27" t="str">
        <f aca="false">A65&amp;"|"&amp;N65</f>
        <v>NURSE-01|normal</v>
      </c>
    </row>
    <row r="66" customFormat="false" ht="15" hidden="false" customHeight="true" outlineLevel="0" collapsed="false">
      <c r="A66" s="27" t="s">
        <v>66</v>
      </c>
      <c r="B66" s="41" t="n">
        <v>46303.3138888889</v>
      </c>
      <c r="C66" s="27" t="s">
        <v>200</v>
      </c>
      <c r="D66" s="27" t="n">
        <v>41.4</v>
      </c>
      <c r="E66" s="27" t="n">
        <v>17.6</v>
      </c>
      <c r="F66" s="27" t="n">
        <v>27.5</v>
      </c>
      <c r="G66" s="27" t="n">
        <v>32.3</v>
      </c>
      <c r="H66" s="27" t="s">
        <v>199</v>
      </c>
      <c r="I66" s="42" t="n">
        <f aca="false">(D66-INDEX('Cohort Summary'!$D$5:$D$14,MATCH($A66,'Cohort Summary'!$A$5:$A$14,0)))/INDEX('Cohort Summary'!$E$5:$E$14,MATCH($A66,'Cohort Summary'!$A$5:$A$14,0))</f>
        <v>0.440514469453375</v>
      </c>
      <c r="J66" s="42" t="n">
        <f aca="false">(E66-INDEX('Cohort Summary'!$F$5:$F$14,MATCH($A66,'Cohort Summary'!$A$5:$A$14,0)))/INDEX('Cohort Summary'!$G$5:$G$14,MATCH($A66,'Cohort Summary'!$A$5:$A$14,0))</f>
        <v>-0.479381443298969</v>
      </c>
      <c r="K66" s="42" t="n">
        <f aca="false">(F66-INDEX('Cohort Summary'!$H$5:$H$14,MATCH($A66,'Cohort Summary'!$A$5:$A$14,0)))/INDEX('Cohort Summary'!$I$5:$I$14,MATCH($A66,'Cohort Summary'!$A$5:$A$14,0))</f>
        <v>-1.08235294117647</v>
      </c>
      <c r="L66" s="42" t="n">
        <f aca="false">(G66-INDEX('Cohort Summary'!$J$5:$J$14,MATCH($A66,'Cohort Summary'!$A$5:$A$14,0)))/INDEX('Cohort Summary'!$K$5:$K$14,MATCH($A66,'Cohort Summary'!$A$5:$A$14,0))</f>
        <v>-1.16363636363636</v>
      </c>
      <c r="M66" s="42" t="n">
        <f aca="false">MAX(I66:K66)</f>
        <v>0.440514469453375</v>
      </c>
      <c r="N66" s="27" t="s">
        <v>197</v>
      </c>
      <c r="O66" s="27"/>
      <c r="P66" s="27" t="str">
        <f aca="false">A66&amp;"|"&amp;N66</f>
        <v>NURSE-01|normal</v>
      </c>
    </row>
    <row r="67" customFormat="false" ht="15" hidden="false" customHeight="true" outlineLevel="0" collapsed="false">
      <c r="A67" s="27" t="s">
        <v>66</v>
      </c>
      <c r="B67" s="41" t="n">
        <v>46303.3142361111</v>
      </c>
      <c r="C67" s="27" t="s">
        <v>200</v>
      </c>
      <c r="D67" s="27" t="n">
        <v>37.2</v>
      </c>
      <c r="E67" s="27" t="n">
        <v>21.7</v>
      </c>
      <c r="F67" s="27" t="n">
        <v>29</v>
      </c>
      <c r="G67" s="27" t="n">
        <v>33</v>
      </c>
      <c r="H67" s="27" t="s">
        <v>196</v>
      </c>
      <c r="I67" s="42" t="n">
        <f aca="false">(D67-INDEX('Cohort Summary'!$D$5:$D$14,MATCH($A67,'Cohort Summary'!$A$5:$A$14,0)))/INDEX('Cohort Summary'!$E$5:$E$14,MATCH($A67,'Cohort Summary'!$A$5:$A$14,0))</f>
        <v>-0.909967845659163</v>
      </c>
      <c r="J67" s="42" t="n">
        <f aca="false">(E67-INDEX('Cohort Summary'!$F$5:$F$14,MATCH($A67,'Cohort Summary'!$A$5:$A$14,0)))/INDEX('Cohort Summary'!$G$5:$G$14,MATCH($A67,'Cohort Summary'!$A$5:$A$14,0))</f>
        <v>1.6340206185567</v>
      </c>
      <c r="K67" s="42" t="n">
        <f aca="false">(F67-INDEX('Cohort Summary'!$H$5:$H$14,MATCH($A67,'Cohort Summary'!$A$5:$A$14,0)))/INDEX('Cohort Summary'!$I$5:$I$14,MATCH($A67,'Cohort Summary'!$A$5:$A$14,0))</f>
        <v>-0.494117647058824</v>
      </c>
      <c r="L67" s="42" t="n">
        <f aca="false">(G67-INDEX('Cohort Summary'!$J$5:$J$14,MATCH($A67,'Cohort Summary'!$A$5:$A$14,0)))/INDEX('Cohort Summary'!$K$5:$K$14,MATCH($A67,'Cohort Summary'!$A$5:$A$14,0))</f>
        <v>0.109090909090913</v>
      </c>
      <c r="M67" s="42" t="n">
        <f aca="false">MAX(I67:K67)</f>
        <v>1.6340206185567</v>
      </c>
      <c r="N67" s="27" t="s">
        <v>197</v>
      </c>
      <c r="O67" s="27"/>
      <c r="P67" s="27" t="str">
        <f aca="false">A67&amp;"|"&amp;N67</f>
        <v>NURSE-01|normal</v>
      </c>
    </row>
    <row r="68" customFormat="false" ht="15" hidden="false" customHeight="true" outlineLevel="0" collapsed="false">
      <c r="A68" s="27" t="s">
        <v>66</v>
      </c>
      <c r="B68" s="41" t="n">
        <v>46303.3145833333</v>
      </c>
      <c r="C68" s="27" t="s">
        <v>200</v>
      </c>
      <c r="D68" s="27" t="n">
        <v>43.3</v>
      </c>
      <c r="E68" s="27" t="n">
        <v>16.1</v>
      </c>
      <c r="F68" s="27" t="n">
        <v>29.3</v>
      </c>
      <c r="G68" s="27" t="n">
        <v>33</v>
      </c>
      <c r="H68" s="27" t="s">
        <v>199</v>
      </c>
      <c r="I68" s="42" t="n">
        <f aca="false">(D68-INDEX('Cohort Summary'!$D$5:$D$14,MATCH($A68,'Cohort Summary'!$A$5:$A$14,0)))/INDEX('Cohort Summary'!$E$5:$E$14,MATCH($A68,'Cohort Summary'!$A$5:$A$14,0))</f>
        <v>1.05144694533762</v>
      </c>
      <c r="J68" s="42" t="n">
        <f aca="false">(E68-INDEX('Cohort Summary'!$F$5:$F$14,MATCH($A68,'Cohort Summary'!$A$5:$A$14,0)))/INDEX('Cohort Summary'!$G$5:$G$14,MATCH($A68,'Cohort Summary'!$A$5:$A$14,0))</f>
        <v>-1.25257731958763</v>
      </c>
      <c r="K68" s="42" t="n">
        <f aca="false">(F68-INDEX('Cohort Summary'!$H$5:$H$14,MATCH($A68,'Cohort Summary'!$A$5:$A$14,0)))/INDEX('Cohort Summary'!$I$5:$I$14,MATCH($A68,'Cohort Summary'!$A$5:$A$14,0))</f>
        <v>-0.376470588235295</v>
      </c>
      <c r="L68" s="42" t="n">
        <f aca="false">(G68-INDEX('Cohort Summary'!$J$5:$J$14,MATCH($A68,'Cohort Summary'!$A$5:$A$14,0)))/INDEX('Cohort Summary'!$K$5:$K$14,MATCH($A68,'Cohort Summary'!$A$5:$A$14,0))</f>
        <v>0.109090909090913</v>
      </c>
      <c r="M68" s="42" t="n">
        <f aca="false">MAX(I68:K68)</f>
        <v>1.05144694533762</v>
      </c>
      <c r="N68" s="27" t="s">
        <v>197</v>
      </c>
      <c r="O68" s="27"/>
      <c r="P68" s="27" t="str">
        <f aca="false">A68&amp;"|"&amp;N68</f>
        <v>NURSE-01|normal</v>
      </c>
    </row>
    <row r="69" customFormat="false" ht="15" hidden="false" customHeight="true" outlineLevel="0" collapsed="false">
      <c r="A69" s="27" t="s">
        <v>66</v>
      </c>
      <c r="B69" s="41" t="n">
        <v>46303.3149305556</v>
      </c>
      <c r="C69" s="27" t="s">
        <v>200</v>
      </c>
      <c r="D69" s="27" t="n">
        <v>39.2</v>
      </c>
      <c r="E69" s="27" t="n">
        <v>17.5</v>
      </c>
      <c r="F69" s="27" t="n">
        <v>25.9</v>
      </c>
      <c r="G69" s="27" t="n">
        <v>32.7</v>
      </c>
      <c r="H69" s="27" t="s">
        <v>199</v>
      </c>
      <c r="I69" s="42" t="n">
        <f aca="false">(D69-INDEX('Cohort Summary'!$D$5:$D$14,MATCH($A69,'Cohort Summary'!$A$5:$A$14,0)))/INDEX('Cohort Summary'!$E$5:$E$14,MATCH($A69,'Cohort Summary'!$A$5:$A$14,0))</f>
        <v>-0.266881028938906</v>
      </c>
      <c r="J69" s="42" t="n">
        <f aca="false">(E69-INDEX('Cohort Summary'!$F$5:$F$14,MATCH($A69,'Cohort Summary'!$A$5:$A$14,0)))/INDEX('Cohort Summary'!$G$5:$G$14,MATCH($A69,'Cohort Summary'!$A$5:$A$14,0))</f>
        <v>-0.530927835051547</v>
      </c>
      <c r="K69" s="42" t="n">
        <f aca="false">(F69-INDEX('Cohort Summary'!$H$5:$H$14,MATCH($A69,'Cohort Summary'!$A$5:$A$14,0)))/INDEX('Cohort Summary'!$I$5:$I$14,MATCH($A69,'Cohort Summary'!$A$5:$A$14,0))</f>
        <v>-1.70980392156863</v>
      </c>
      <c r="L69" s="42" t="n">
        <f aca="false">(G69-INDEX('Cohort Summary'!$J$5:$J$14,MATCH($A69,'Cohort Summary'!$A$5:$A$14,0)))/INDEX('Cohort Summary'!$K$5:$K$14,MATCH($A69,'Cohort Summary'!$A$5:$A$14,0))</f>
        <v>-0.436363636363627</v>
      </c>
      <c r="M69" s="42" t="n">
        <f aca="false">MAX(I69:K69)</f>
        <v>-0.266881028938906</v>
      </c>
      <c r="N69" s="27" t="s">
        <v>197</v>
      </c>
      <c r="O69" s="27"/>
      <c r="P69" s="27" t="str">
        <f aca="false">A69&amp;"|"&amp;N69</f>
        <v>NURSE-01|normal</v>
      </c>
    </row>
    <row r="70" customFormat="false" ht="15" hidden="false" customHeight="true" outlineLevel="0" collapsed="false">
      <c r="A70" s="27" t="s">
        <v>66</v>
      </c>
      <c r="B70" s="41" t="n">
        <v>46303.3152777778</v>
      </c>
      <c r="C70" s="27" t="s">
        <v>200</v>
      </c>
      <c r="D70" s="27" t="n">
        <v>40.5</v>
      </c>
      <c r="E70" s="27" t="n">
        <v>18.1</v>
      </c>
      <c r="F70" s="27" t="n">
        <v>25.2</v>
      </c>
      <c r="G70" s="27" t="n">
        <v>32.7</v>
      </c>
      <c r="H70" s="27" t="s">
        <v>196</v>
      </c>
      <c r="I70" s="42" t="n">
        <f aca="false">(D70-INDEX('Cohort Summary'!$D$5:$D$14,MATCH($A70,'Cohort Summary'!$A$5:$A$14,0)))/INDEX('Cohort Summary'!$E$5:$E$14,MATCH($A70,'Cohort Summary'!$A$5:$A$14,0))</f>
        <v>0.15112540192926</v>
      </c>
      <c r="J70" s="42" t="n">
        <f aca="false">(E70-INDEX('Cohort Summary'!$F$5:$F$14,MATCH($A70,'Cohort Summary'!$A$5:$A$14,0)))/INDEX('Cohort Summary'!$G$5:$G$14,MATCH($A70,'Cohort Summary'!$A$5:$A$14,0))</f>
        <v>-0.221649484536082</v>
      </c>
      <c r="K70" s="42" t="n">
        <f aca="false">(F70-INDEX('Cohort Summary'!$H$5:$H$14,MATCH($A70,'Cohort Summary'!$A$5:$A$14,0)))/INDEX('Cohort Summary'!$I$5:$I$14,MATCH($A70,'Cohort Summary'!$A$5:$A$14,0))</f>
        <v>-1.9843137254902</v>
      </c>
      <c r="L70" s="42" t="n">
        <f aca="false">(G70-INDEX('Cohort Summary'!$J$5:$J$14,MATCH($A70,'Cohort Summary'!$A$5:$A$14,0)))/INDEX('Cohort Summary'!$K$5:$K$14,MATCH($A70,'Cohort Summary'!$A$5:$A$14,0))</f>
        <v>-0.436363636363627</v>
      </c>
      <c r="M70" s="42" t="n">
        <f aca="false">MAX(I70:K70)</f>
        <v>0.15112540192926</v>
      </c>
      <c r="N70" s="27" t="s">
        <v>197</v>
      </c>
      <c r="O70" s="27"/>
      <c r="P70" s="27" t="str">
        <f aca="false">A70&amp;"|"&amp;N70</f>
        <v>NURSE-01|normal</v>
      </c>
    </row>
    <row r="71" customFormat="false" ht="15" hidden="false" customHeight="true" outlineLevel="0" collapsed="false">
      <c r="A71" s="27" t="s">
        <v>66</v>
      </c>
      <c r="B71" s="41" t="n">
        <v>46303.315625</v>
      </c>
      <c r="C71" s="27" t="s">
        <v>200</v>
      </c>
      <c r="D71" s="27" t="n">
        <v>38</v>
      </c>
      <c r="E71" s="27" t="n">
        <v>21.7</v>
      </c>
      <c r="F71" s="27" t="n">
        <v>26.1</v>
      </c>
      <c r="G71" s="27" t="n">
        <v>33.8</v>
      </c>
      <c r="H71" s="27" t="s">
        <v>198</v>
      </c>
      <c r="I71" s="42" t="n">
        <f aca="false">(D71-INDEX('Cohort Summary'!$D$5:$D$14,MATCH($A71,'Cohort Summary'!$A$5:$A$14,0)))/INDEX('Cohort Summary'!$E$5:$E$14,MATCH($A71,'Cohort Summary'!$A$5:$A$14,0))</f>
        <v>-0.652733118971062</v>
      </c>
      <c r="J71" s="42" t="n">
        <f aca="false">(E71-INDEX('Cohort Summary'!$F$5:$F$14,MATCH($A71,'Cohort Summary'!$A$5:$A$14,0)))/INDEX('Cohort Summary'!$G$5:$G$14,MATCH($A71,'Cohort Summary'!$A$5:$A$14,0))</f>
        <v>1.6340206185567</v>
      </c>
      <c r="K71" s="42" t="n">
        <f aca="false">(F71-INDEX('Cohort Summary'!$H$5:$H$14,MATCH($A71,'Cohort Summary'!$A$5:$A$14,0)))/INDEX('Cohort Summary'!$I$5:$I$14,MATCH($A71,'Cohort Summary'!$A$5:$A$14,0))</f>
        <v>-1.63137254901961</v>
      </c>
      <c r="L71" s="42" t="n">
        <f aca="false">(G71-INDEX('Cohort Summary'!$J$5:$J$14,MATCH($A71,'Cohort Summary'!$A$5:$A$14,0)))/INDEX('Cohort Summary'!$K$5:$K$14,MATCH($A71,'Cohort Summary'!$A$5:$A$14,0))</f>
        <v>1.56363636363636</v>
      </c>
      <c r="M71" s="42" t="n">
        <f aca="false">MAX(I71:K71)</f>
        <v>1.6340206185567</v>
      </c>
      <c r="N71" s="27" t="s">
        <v>197</v>
      </c>
      <c r="O71" s="27"/>
      <c r="P71" s="27" t="str">
        <f aca="false">A71&amp;"|"&amp;N71</f>
        <v>NURSE-01|normal</v>
      </c>
    </row>
    <row r="72" customFormat="false" ht="15" hidden="false" customHeight="true" outlineLevel="0" collapsed="false">
      <c r="A72" s="27" t="s">
        <v>66</v>
      </c>
      <c r="B72" s="41" t="n">
        <v>46303.3159722222</v>
      </c>
      <c r="C72" s="27" t="s">
        <v>200</v>
      </c>
      <c r="D72" s="27" t="n">
        <v>44.7</v>
      </c>
      <c r="E72" s="27" t="n">
        <v>15.7</v>
      </c>
      <c r="F72" s="27" t="n">
        <v>27.7</v>
      </c>
      <c r="G72" s="27" t="n">
        <v>32.1</v>
      </c>
      <c r="H72" s="27" t="s">
        <v>198</v>
      </c>
      <c r="I72" s="42" t="n">
        <f aca="false">(D72-INDEX('Cohort Summary'!$D$5:$D$14,MATCH($A72,'Cohort Summary'!$A$5:$A$14,0)))/INDEX('Cohort Summary'!$E$5:$E$14,MATCH($A72,'Cohort Summary'!$A$5:$A$14,0))</f>
        <v>1.5016077170418</v>
      </c>
      <c r="J72" s="42" t="n">
        <f aca="false">(E72-INDEX('Cohort Summary'!$F$5:$F$14,MATCH($A72,'Cohort Summary'!$A$5:$A$14,0)))/INDEX('Cohort Summary'!$G$5:$G$14,MATCH($A72,'Cohort Summary'!$A$5:$A$14,0))</f>
        <v>-1.45876288659794</v>
      </c>
      <c r="K72" s="42" t="n">
        <f aca="false">(F72-INDEX('Cohort Summary'!$H$5:$H$14,MATCH($A72,'Cohort Summary'!$A$5:$A$14,0)))/INDEX('Cohort Summary'!$I$5:$I$14,MATCH($A72,'Cohort Summary'!$A$5:$A$14,0))</f>
        <v>-1.00392156862745</v>
      </c>
      <c r="L72" s="42" t="n">
        <f aca="false">(G72-INDEX('Cohort Summary'!$J$5:$J$14,MATCH($A72,'Cohort Summary'!$A$5:$A$14,0)))/INDEX('Cohort Summary'!$K$5:$K$14,MATCH($A72,'Cohort Summary'!$A$5:$A$14,0))</f>
        <v>-1.52727272727272</v>
      </c>
      <c r="M72" s="42" t="n">
        <f aca="false">MAX(I72:K72)</f>
        <v>1.5016077170418</v>
      </c>
      <c r="N72" s="27" t="s">
        <v>197</v>
      </c>
      <c r="O72" s="27"/>
      <c r="P72" s="27" t="str">
        <f aca="false">A72&amp;"|"&amp;N72</f>
        <v>NURSE-01|normal</v>
      </c>
    </row>
    <row r="73" customFormat="false" ht="15" hidden="false" customHeight="true" outlineLevel="0" collapsed="false">
      <c r="A73" s="27" t="s">
        <v>66</v>
      </c>
      <c r="B73" s="41" t="n">
        <v>46303.3163194444</v>
      </c>
      <c r="C73" s="27" t="s">
        <v>200</v>
      </c>
      <c r="D73" s="27" t="n">
        <v>37.7</v>
      </c>
      <c r="E73" s="27" t="n">
        <v>15.9</v>
      </c>
      <c r="F73" s="27" t="n">
        <v>29.2</v>
      </c>
      <c r="G73" s="27" t="n">
        <v>33.8</v>
      </c>
      <c r="H73" s="27" t="s">
        <v>199</v>
      </c>
      <c r="I73" s="42" t="n">
        <f aca="false">(D73-INDEX('Cohort Summary'!$D$5:$D$14,MATCH($A73,'Cohort Summary'!$A$5:$A$14,0)))/INDEX('Cohort Summary'!$E$5:$E$14,MATCH($A73,'Cohort Summary'!$A$5:$A$14,0))</f>
        <v>-0.749196141479099</v>
      </c>
      <c r="J73" s="42" t="n">
        <f aca="false">(E73-INDEX('Cohort Summary'!$F$5:$F$14,MATCH($A73,'Cohort Summary'!$A$5:$A$14,0)))/INDEX('Cohort Summary'!$G$5:$G$14,MATCH($A73,'Cohort Summary'!$A$5:$A$14,0))</f>
        <v>-1.35567010309278</v>
      </c>
      <c r="K73" s="42" t="n">
        <f aca="false">(F73-INDEX('Cohort Summary'!$H$5:$H$14,MATCH($A73,'Cohort Summary'!$A$5:$A$14,0)))/INDEX('Cohort Summary'!$I$5:$I$14,MATCH($A73,'Cohort Summary'!$A$5:$A$14,0))</f>
        <v>-0.415686274509805</v>
      </c>
      <c r="L73" s="42" t="n">
        <f aca="false">(G73-INDEX('Cohort Summary'!$J$5:$J$14,MATCH($A73,'Cohort Summary'!$A$5:$A$14,0)))/INDEX('Cohort Summary'!$K$5:$K$14,MATCH($A73,'Cohort Summary'!$A$5:$A$14,0))</f>
        <v>1.56363636363636</v>
      </c>
      <c r="M73" s="42" t="n">
        <f aca="false">MAX(I73:K73)</f>
        <v>-0.415686274509805</v>
      </c>
      <c r="N73" s="27" t="s">
        <v>197</v>
      </c>
      <c r="O73" s="27"/>
      <c r="P73" s="27" t="str">
        <f aca="false">A73&amp;"|"&amp;N73</f>
        <v>NURSE-01|normal</v>
      </c>
    </row>
    <row r="74" customFormat="false" ht="15" hidden="false" customHeight="true" outlineLevel="0" collapsed="false">
      <c r="A74" s="27" t="s">
        <v>66</v>
      </c>
      <c r="B74" s="41" t="n">
        <v>46303.3166666667</v>
      </c>
      <c r="C74" s="27" t="s">
        <v>200</v>
      </c>
      <c r="D74" s="27" t="n">
        <v>39.1</v>
      </c>
      <c r="E74" s="27" t="n">
        <v>18.8</v>
      </c>
      <c r="F74" s="27" t="n">
        <v>30.1</v>
      </c>
      <c r="G74" s="27" t="n">
        <v>33</v>
      </c>
      <c r="H74" s="27" t="s">
        <v>199</v>
      </c>
      <c r="I74" s="42" t="n">
        <f aca="false">(D74-INDEX('Cohort Summary'!$D$5:$D$14,MATCH($A74,'Cohort Summary'!$A$5:$A$14,0)))/INDEX('Cohort Summary'!$E$5:$E$14,MATCH($A74,'Cohort Summary'!$A$5:$A$14,0))</f>
        <v>-0.29903536977492</v>
      </c>
      <c r="J74" s="42" t="n">
        <f aca="false">(E74-INDEX('Cohort Summary'!$F$5:$F$14,MATCH($A74,'Cohort Summary'!$A$5:$A$14,0)))/INDEX('Cohort Summary'!$G$5:$G$14,MATCH($A74,'Cohort Summary'!$A$5:$A$14,0))</f>
        <v>0.139175257731959</v>
      </c>
      <c r="K74" s="42" t="n">
        <f aca="false">(F74-INDEX('Cohort Summary'!$H$5:$H$14,MATCH($A74,'Cohort Summary'!$A$5:$A$14,0)))/INDEX('Cohort Summary'!$I$5:$I$14,MATCH($A74,'Cohort Summary'!$A$5:$A$14,0))</f>
        <v>-0.0627450980392157</v>
      </c>
      <c r="L74" s="42" t="n">
        <f aca="false">(G74-INDEX('Cohort Summary'!$J$5:$J$14,MATCH($A74,'Cohort Summary'!$A$5:$A$14,0)))/INDEX('Cohort Summary'!$K$5:$K$14,MATCH($A74,'Cohort Summary'!$A$5:$A$14,0))</f>
        <v>0.109090909090913</v>
      </c>
      <c r="M74" s="42" t="n">
        <f aca="false">MAX(I74:K74)</f>
        <v>0.139175257731959</v>
      </c>
      <c r="N74" s="27" t="s">
        <v>197</v>
      </c>
      <c r="O74" s="27"/>
      <c r="P74" s="27" t="str">
        <f aca="false">A74&amp;"|"&amp;N74</f>
        <v>NURSE-01|normal</v>
      </c>
    </row>
    <row r="75" customFormat="false" ht="15" hidden="false" customHeight="true" outlineLevel="0" collapsed="false">
      <c r="A75" s="27" t="s">
        <v>66</v>
      </c>
      <c r="B75" s="41" t="n">
        <v>46303.3170138889</v>
      </c>
      <c r="C75" s="27" t="s">
        <v>200</v>
      </c>
      <c r="D75" s="27" t="n">
        <v>35.9</v>
      </c>
      <c r="E75" s="27" t="n">
        <v>15.4</v>
      </c>
      <c r="F75" s="27" t="n">
        <v>31.9</v>
      </c>
      <c r="G75" s="27" t="n">
        <v>32.9</v>
      </c>
      <c r="H75" s="27" t="s">
        <v>198</v>
      </c>
      <c r="I75" s="42" t="n">
        <f aca="false">(D75-INDEX('Cohort Summary'!$D$5:$D$14,MATCH($A75,'Cohort Summary'!$A$5:$A$14,0)))/INDEX('Cohort Summary'!$E$5:$E$14,MATCH($A75,'Cohort Summary'!$A$5:$A$14,0))</f>
        <v>-1.32797427652733</v>
      </c>
      <c r="J75" s="42" t="n">
        <f aca="false">(E75-INDEX('Cohort Summary'!$F$5:$F$14,MATCH($A75,'Cohort Summary'!$A$5:$A$14,0)))/INDEX('Cohort Summary'!$G$5:$G$14,MATCH($A75,'Cohort Summary'!$A$5:$A$14,0))</f>
        <v>-1.61340206185567</v>
      </c>
      <c r="K75" s="42" t="n">
        <f aca="false">(F75-INDEX('Cohort Summary'!$H$5:$H$14,MATCH($A75,'Cohort Summary'!$A$5:$A$14,0)))/INDEX('Cohort Summary'!$I$5:$I$14,MATCH($A75,'Cohort Summary'!$A$5:$A$14,0))</f>
        <v>0.64313725490196</v>
      </c>
      <c r="L75" s="42" t="n">
        <f aca="false">(G75-INDEX('Cohort Summary'!$J$5:$J$14,MATCH($A75,'Cohort Summary'!$A$5:$A$14,0)))/INDEX('Cohort Summary'!$K$5:$K$14,MATCH($A75,'Cohort Summary'!$A$5:$A$14,0))</f>
        <v>-0.0727272727272712</v>
      </c>
      <c r="M75" s="42" t="n">
        <f aca="false">MAX(I75:K75)</f>
        <v>0.64313725490196</v>
      </c>
      <c r="N75" s="27" t="s">
        <v>197</v>
      </c>
      <c r="O75" s="27"/>
      <c r="P75" s="27" t="str">
        <f aca="false">A75&amp;"|"&amp;N75</f>
        <v>NURSE-01|normal</v>
      </c>
    </row>
    <row r="76" customFormat="false" ht="15" hidden="false" customHeight="true" outlineLevel="0" collapsed="false">
      <c r="A76" s="27" t="s">
        <v>66</v>
      </c>
      <c r="B76" s="41" t="n">
        <v>46303.3173611111</v>
      </c>
      <c r="C76" s="27" t="s">
        <v>200</v>
      </c>
      <c r="D76" s="27" t="n">
        <v>37.7</v>
      </c>
      <c r="E76" s="27" t="n">
        <v>15.1</v>
      </c>
      <c r="F76" s="27" t="n">
        <v>25.9</v>
      </c>
      <c r="G76" s="27" t="n">
        <v>32.5</v>
      </c>
      <c r="H76" s="27" t="s">
        <v>196</v>
      </c>
      <c r="I76" s="42" t="n">
        <f aca="false">(D76-INDEX('Cohort Summary'!$D$5:$D$14,MATCH($A76,'Cohort Summary'!$A$5:$A$14,0)))/INDEX('Cohort Summary'!$E$5:$E$14,MATCH($A76,'Cohort Summary'!$A$5:$A$14,0))</f>
        <v>-0.749196141479099</v>
      </c>
      <c r="J76" s="42" t="n">
        <f aca="false">(E76-INDEX('Cohort Summary'!$F$5:$F$14,MATCH($A76,'Cohort Summary'!$A$5:$A$14,0)))/INDEX('Cohort Summary'!$G$5:$G$14,MATCH($A76,'Cohort Summary'!$A$5:$A$14,0))</f>
        <v>-1.7680412371134</v>
      </c>
      <c r="K76" s="42" t="n">
        <f aca="false">(F76-INDEX('Cohort Summary'!$H$5:$H$14,MATCH($A76,'Cohort Summary'!$A$5:$A$14,0)))/INDEX('Cohort Summary'!$I$5:$I$14,MATCH($A76,'Cohort Summary'!$A$5:$A$14,0))</f>
        <v>-1.70980392156863</v>
      </c>
      <c r="L76" s="42" t="n">
        <f aca="false">(G76-INDEX('Cohort Summary'!$J$5:$J$14,MATCH($A76,'Cohort Summary'!$A$5:$A$14,0)))/INDEX('Cohort Summary'!$K$5:$K$14,MATCH($A76,'Cohort Summary'!$A$5:$A$14,0))</f>
        <v>-0.799999999999996</v>
      </c>
      <c r="M76" s="42" t="n">
        <f aca="false">MAX(I76:K76)</f>
        <v>-0.749196141479099</v>
      </c>
      <c r="N76" s="27" t="s">
        <v>197</v>
      </c>
      <c r="O76" s="27"/>
      <c r="P76" s="27" t="str">
        <f aca="false">A76&amp;"|"&amp;N76</f>
        <v>NURSE-01|normal</v>
      </c>
    </row>
    <row r="77" customFormat="false" ht="15" hidden="false" customHeight="true" outlineLevel="0" collapsed="false">
      <c r="A77" s="27" t="s">
        <v>66</v>
      </c>
      <c r="B77" s="41" t="n">
        <v>46303.3177083333</v>
      </c>
      <c r="C77" s="27" t="s">
        <v>200</v>
      </c>
      <c r="D77" s="27" t="n">
        <v>43.6</v>
      </c>
      <c r="E77" s="27" t="n">
        <v>15.5</v>
      </c>
      <c r="F77" s="27" t="n">
        <v>33.6</v>
      </c>
      <c r="G77" s="27" t="n">
        <v>32.9</v>
      </c>
      <c r="H77" s="27" t="s">
        <v>199</v>
      </c>
      <c r="I77" s="42" t="n">
        <f aca="false">(D77-INDEX('Cohort Summary'!$D$5:$D$14,MATCH($A77,'Cohort Summary'!$A$5:$A$14,0)))/INDEX('Cohort Summary'!$E$5:$E$14,MATCH($A77,'Cohort Summary'!$A$5:$A$14,0))</f>
        <v>1.14790996784566</v>
      </c>
      <c r="J77" s="42" t="n">
        <f aca="false">(E77-INDEX('Cohort Summary'!$F$5:$F$14,MATCH($A77,'Cohort Summary'!$A$5:$A$14,0)))/INDEX('Cohort Summary'!$G$5:$G$14,MATCH($A77,'Cohort Summary'!$A$5:$A$14,0))</f>
        <v>-1.56185567010309</v>
      </c>
      <c r="K77" s="42" t="n">
        <f aca="false">(F77-INDEX('Cohort Summary'!$H$5:$H$14,MATCH($A77,'Cohort Summary'!$A$5:$A$14,0)))/INDEX('Cohort Summary'!$I$5:$I$14,MATCH($A77,'Cohort Summary'!$A$5:$A$14,0))</f>
        <v>1.30980392156863</v>
      </c>
      <c r="L77" s="42" t="n">
        <f aca="false">(G77-INDEX('Cohort Summary'!$J$5:$J$14,MATCH($A77,'Cohort Summary'!$A$5:$A$14,0)))/INDEX('Cohort Summary'!$K$5:$K$14,MATCH($A77,'Cohort Summary'!$A$5:$A$14,0))</f>
        <v>-0.0727272727272712</v>
      </c>
      <c r="M77" s="42" t="n">
        <f aca="false">MAX(I77:K77)</f>
        <v>1.30980392156863</v>
      </c>
      <c r="N77" s="27" t="s">
        <v>197</v>
      </c>
      <c r="O77" s="27"/>
      <c r="P77" s="27" t="str">
        <f aca="false">A77&amp;"|"&amp;N77</f>
        <v>NURSE-01|normal</v>
      </c>
    </row>
    <row r="78" customFormat="false" ht="15" hidden="false" customHeight="true" outlineLevel="0" collapsed="false">
      <c r="A78" s="27" t="s">
        <v>66</v>
      </c>
      <c r="B78" s="41" t="n">
        <v>46303.3180555556</v>
      </c>
      <c r="C78" s="27" t="s">
        <v>200</v>
      </c>
      <c r="D78" s="27" t="n">
        <v>44.9</v>
      </c>
      <c r="E78" s="27" t="n">
        <v>17.9</v>
      </c>
      <c r="F78" s="27" t="n">
        <v>34.2</v>
      </c>
      <c r="G78" s="27" t="n">
        <v>33.2</v>
      </c>
      <c r="H78" s="27" t="s">
        <v>198</v>
      </c>
      <c r="I78" s="42" t="n">
        <f aca="false">(D78-INDEX('Cohort Summary'!$D$5:$D$14,MATCH($A78,'Cohort Summary'!$A$5:$A$14,0)))/INDEX('Cohort Summary'!$E$5:$E$14,MATCH($A78,'Cohort Summary'!$A$5:$A$14,0))</f>
        <v>1.56591639871383</v>
      </c>
      <c r="J78" s="42" t="n">
        <f aca="false">(E78-INDEX('Cohort Summary'!$F$5:$F$14,MATCH($A78,'Cohort Summary'!$A$5:$A$14,0)))/INDEX('Cohort Summary'!$G$5:$G$14,MATCH($A78,'Cohort Summary'!$A$5:$A$14,0))</f>
        <v>-0.324742268041238</v>
      </c>
      <c r="K78" s="42" t="n">
        <f aca="false">(F78-INDEX('Cohort Summary'!$H$5:$H$14,MATCH($A78,'Cohort Summary'!$A$5:$A$14,0)))/INDEX('Cohort Summary'!$I$5:$I$14,MATCH($A78,'Cohort Summary'!$A$5:$A$14,0))</f>
        <v>1.54509803921569</v>
      </c>
      <c r="L78" s="42" t="n">
        <f aca="false">(G78-INDEX('Cohort Summary'!$J$5:$J$14,MATCH($A78,'Cohort Summary'!$A$5:$A$14,0)))/INDEX('Cohort Summary'!$K$5:$K$14,MATCH($A78,'Cohort Summary'!$A$5:$A$14,0))</f>
        <v>0.472727272727282</v>
      </c>
      <c r="M78" s="42" t="n">
        <f aca="false">MAX(I78:K78)</f>
        <v>1.56591639871383</v>
      </c>
      <c r="N78" s="27" t="s">
        <v>197</v>
      </c>
      <c r="O78" s="27"/>
      <c r="P78" s="27" t="str">
        <f aca="false">A78&amp;"|"&amp;N78</f>
        <v>NURSE-01|normal</v>
      </c>
    </row>
    <row r="79" customFormat="false" ht="15" hidden="false" customHeight="true" outlineLevel="0" collapsed="false">
      <c r="A79" s="27" t="s">
        <v>66</v>
      </c>
      <c r="B79" s="41" t="n">
        <v>46303.3184027778</v>
      </c>
      <c r="C79" s="27" t="s">
        <v>200</v>
      </c>
      <c r="D79" s="27" t="n">
        <v>40.3</v>
      </c>
      <c r="E79" s="27" t="n">
        <v>16.7</v>
      </c>
      <c r="F79" s="27" t="n">
        <v>26.1</v>
      </c>
      <c r="G79" s="27" t="n">
        <v>32.3</v>
      </c>
      <c r="H79" s="27" t="s">
        <v>198</v>
      </c>
      <c r="I79" s="42" t="n">
        <f aca="false">(D79-INDEX('Cohort Summary'!$D$5:$D$14,MATCH($A79,'Cohort Summary'!$A$5:$A$14,0)))/INDEX('Cohort Summary'!$E$5:$E$14,MATCH($A79,'Cohort Summary'!$A$5:$A$14,0))</f>
        <v>0.0868167202572335</v>
      </c>
      <c r="J79" s="42" t="n">
        <f aca="false">(E79-INDEX('Cohort Summary'!$F$5:$F$14,MATCH($A79,'Cohort Summary'!$A$5:$A$14,0)))/INDEX('Cohort Summary'!$G$5:$G$14,MATCH($A79,'Cohort Summary'!$A$5:$A$14,0))</f>
        <v>-0.943298969072166</v>
      </c>
      <c r="K79" s="42" t="n">
        <f aca="false">(F79-INDEX('Cohort Summary'!$H$5:$H$14,MATCH($A79,'Cohort Summary'!$A$5:$A$14,0)))/INDEX('Cohort Summary'!$I$5:$I$14,MATCH($A79,'Cohort Summary'!$A$5:$A$14,0))</f>
        <v>-1.63137254901961</v>
      </c>
      <c r="L79" s="42" t="n">
        <f aca="false">(G79-INDEX('Cohort Summary'!$J$5:$J$14,MATCH($A79,'Cohort Summary'!$A$5:$A$14,0)))/INDEX('Cohort Summary'!$K$5:$K$14,MATCH($A79,'Cohort Summary'!$A$5:$A$14,0))</f>
        <v>-1.16363636363636</v>
      </c>
      <c r="M79" s="42" t="n">
        <f aca="false">MAX(I79:K79)</f>
        <v>0.0868167202572335</v>
      </c>
      <c r="N79" s="27" t="s">
        <v>197</v>
      </c>
      <c r="O79" s="27"/>
      <c r="P79" s="27" t="str">
        <f aca="false">A79&amp;"|"&amp;N79</f>
        <v>NURSE-01|normal</v>
      </c>
    </row>
    <row r="80" customFormat="false" ht="15" hidden="false" customHeight="true" outlineLevel="0" collapsed="false">
      <c r="A80" s="27" t="s">
        <v>66</v>
      </c>
      <c r="B80" s="41" t="n">
        <v>46303.31875</v>
      </c>
      <c r="C80" s="27" t="s">
        <v>200</v>
      </c>
      <c r="D80" s="27" t="n">
        <v>36.8</v>
      </c>
      <c r="E80" s="27" t="n">
        <v>21.5</v>
      </c>
      <c r="F80" s="27" t="n">
        <v>31.3</v>
      </c>
      <c r="G80" s="27" t="n">
        <v>33.1</v>
      </c>
      <c r="H80" s="27" t="s">
        <v>198</v>
      </c>
      <c r="I80" s="42" t="n">
        <f aca="false">(D80-INDEX('Cohort Summary'!$D$5:$D$14,MATCH($A80,'Cohort Summary'!$A$5:$A$14,0)))/INDEX('Cohort Summary'!$E$5:$E$14,MATCH($A80,'Cohort Summary'!$A$5:$A$14,0))</f>
        <v>-1.03858520900322</v>
      </c>
      <c r="J80" s="42" t="n">
        <f aca="false">(E80-INDEX('Cohort Summary'!$F$5:$F$14,MATCH($A80,'Cohort Summary'!$A$5:$A$14,0)))/INDEX('Cohort Summary'!$G$5:$G$14,MATCH($A80,'Cohort Summary'!$A$5:$A$14,0))</f>
        <v>1.53092783505155</v>
      </c>
      <c r="K80" s="42" t="n">
        <f aca="false">(F80-INDEX('Cohort Summary'!$H$5:$H$14,MATCH($A80,'Cohort Summary'!$A$5:$A$14,0)))/INDEX('Cohort Summary'!$I$5:$I$14,MATCH($A80,'Cohort Summary'!$A$5:$A$14,0))</f>
        <v>0.407843137254902</v>
      </c>
      <c r="L80" s="42" t="n">
        <f aca="false">(G80-INDEX('Cohort Summary'!$J$5:$J$14,MATCH($A80,'Cohort Summary'!$A$5:$A$14,0)))/INDEX('Cohort Summary'!$K$5:$K$14,MATCH($A80,'Cohort Summary'!$A$5:$A$14,0))</f>
        <v>0.290909090909098</v>
      </c>
      <c r="M80" s="42" t="n">
        <f aca="false">MAX(I80:K80)</f>
        <v>1.53092783505155</v>
      </c>
      <c r="N80" s="27" t="s">
        <v>197</v>
      </c>
      <c r="O80" s="27"/>
      <c r="P80" s="27" t="str">
        <f aca="false">A80&amp;"|"&amp;N80</f>
        <v>NURSE-01|normal</v>
      </c>
    </row>
    <row r="81" customFormat="false" ht="15" hidden="false" customHeight="true" outlineLevel="0" collapsed="false">
      <c r="A81" s="27" t="s">
        <v>66</v>
      </c>
      <c r="B81" s="41" t="n">
        <v>46303.3190972222</v>
      </c>
      <c r="C81" s="27" t="s">
        <v>200</v>
      </c>
      <c r="D81" s="27" t="n">
        <v>37.9</v>
      </c>
      <c r="E81" s="27" t="n">
        <v>18.5</v>
      </c>
      <c r="F81" s="27" t="n">
        <v>26.8</v>
      </c>
      <c r="G81" s="27" t="n">
        <v>32.7</v>
      </c>
      <c r="H81" s="27" t="s">
        <v>198</v>
      </c>
      <c r="I81" s="42" t="n">
        <f aca="false">(D81-INDEX('Cohort Summary'!$D$5:$D$14,MATCH($A81,'Cohort Summary'!$A$5:$A$14,0)))/INDEX('Cohort Summary'!$E$5:$E$14,MATCH($A81,'Cohort Summary'!$A$5:$A$14,0))</f>
        <v>-0.684887459807075</v>
      </c>
      <c r="J81" s="42" t="n">
        <f aca="false">(E81-INDEX('Cohort Summary'!$F$5:$F$14,MATCH($A81,'Cohort Summary'!$A$5:$A$14,0)))/INDEX('Cohort Summary'!$G$5:$G$14,MATCH($A81,'Cohort Summary'!$A$5:$A$14,0))</f>
        <v>-0.0154639175257738</v>
      </c>
      <c r="K81" s="42" t="n">
        <f aca="false">(F81-INDEX('Cohort Summary'!$H$5:$H$14,MATCH($A81,'Cohort Summary'!$A$5:$A$14,0)))/INDEX('Cohort Summary'!$I$5:$I$14,MATCH($A81,'Cohort Summary'!$A$5:$A$14,0))</f>
        <v>-1.35686274509804</v>
      </c>
      <c r="L81" s="42" t="n">
        <f aca="false">(G81-INDEX('Cohort Summary'!$J$5:$J$14,MATCH($A81,'Cohort Summary'!$A$5:$A$14,0)))/INDEX('Cohort Summary'!$K$5:$K$14,MATCH($A81,'Cohort Summary'!$A$5:$A$14,0))</f>
        <v>-0.436363636363627</v>
      </c>
      <c r="M81" s="42" t="n">
        <f aca="false">MAX(I81:K81)</f>
        <v>-0.0154639175257738</v>
      </c>
      <c r="N81" s="27" t="s">
        <v>197</v>
      </c>
      <c r="O81" s="27"/>
      <c r="P81" s="27" t="str">
        <f aca="false">A81&amp;"|"&amp;N81</f>
        <v>NURSE-01|normal</v>
      </c>
    </row>
    <row r="82" customFormat="false" ht="15" hidden="false" customHeight="true" outlineLevel="0" collapsed="false">
      <c r="A82" s="27" t="s">
        <v>66</v>
      </c>
      <c r="B82" s="41" t="n">
        <v>46303.3194444445</v>
      </c>
      <c r="C82" s="27" t="s">
        <v>200</v>
      </c>
      <c r="D82" s="27" t="n">
        <v>44.9</v>
      </c>
      <c r="E82" s="27" t="n">
        <v>15.3</v>
      </c>
      <c r="F82" s="27" t="n">
        <v>25.2</v>
      </c>
      <c r="G82" s="27" t="n">
        <v>33</v>
      </c>
      <c r="H82" s="27" t="s">
        <v>198</v>
      </c>
      <c r="I82" s="42" t="n">
        <f aca="false">(D82-INDEX('Cohort Summary'!$D$5:$D$14,MATCH($A82,'Cohort Summary'!$A$5:$A$14,0)))/INDEX('Cohort Summary'!$E$5:$E$14,MATCH($A82,'Cohort Summary'!$A$5:$A$14,0))</f>
        <v>1.56591639871383</v>
      </c>
      <c r="J82" s="42" t="n">
        <f aca="false">(E82-INDEX('Cohort Summary'!$F$5:$F$14,MATCH($A82,'Cohort Summary'!$A$5:$A$14,0)))/INDEX('Cohort Summary'!$G$5:$G$14,MATCH($A82,'Cohort Summary'!$A$5:$A$14,0))</f>
        <v>-1.66494845360825</v>
      </c>
      <c r="K82" s="42" t="n">
        <f aca="false">(F82-INDEX('Cohort Summary'!$H$5:$H$14,MATCH($A82,'Cohort Summary'!$A$5:$A$14,0)))/INDEX('Cohort Summary'!$I$5:$I$14,MATCH($A82,'Cohort Summary'!$A$5:$A$14,0))</f>
        <v>-1.9843137254902</v>
      </c>
      <c r="L82" s="42" t="n">
        <f aca="false">(G82-INDEX('Cohort Summary'!$J$5:$J$14,MATCH($A82,'Cohort Summary'!$A$5:$A$14,0)))/INDEX('Cohort Summary'!$K$5:$K$14,MATCH($A82,'Cohort Summary'!$A$5:$A$14,0))</f>
        <v>0.109090909090913</v>
      </c>
      <c r="M82" s="42" t="n">
        <f aca="false">MAX(I82:K82)</f>
        <v>1.56591639871383</v>
      </c>
      <c r="N82" s="27" t="s">
        <v>197</v>
      </c>
      <c r="O82" s="27"/>
      <c r="P82" s="27" t="str">
        <f aca="false">A82&amp;"|"&amp;N82</f>
        <v>NURSE-01|normal</v>
      </c>
    </row>
    <row r="83" customFormat="false" ht="15" hidden="false" customHeight="true" outlineLevel="0" collapsed="false">
      <c r="A83" s="27" t="s">
        <v>66</v>
      </c>
      <c r="B83" s="41" t="n">
        <v>46303.3197916667</v>
      </c>
      <c r="C83" s="27" t="s">
        <v>200</v>
      </c>
      <c r="D83" s="27" t="n">
        <v>40.1</v>
      </c>
      <c r="E83" s="27" t="n">
        <v>16.7</v>
      </c>
      <c r="F83" s="27" t="n">
        <v>29.5</v>
      </c>
      <c r="G83" s="27" t="n">
        <v>33.3</v>
      </c>
      <c r="H83" s="27" t="s">
        <v>196</v>
      </c>
      <c r="I83" s="42" t="n">
        <f aca="false">(D83-INDEX('Cohort Summary'!$D$5:$D$14,MATCH($A83,'Cohort Summary'!$A$5:$A$14,0)))/INDEX('Cohort Summary'!$E$5:$E$14,MATCH($A83,'Cohort Summary'!$A$5:$A$14,0))</f>
        <v>0.0225080385852091</v>
      </c>
      <c r="J83" s="42" t="n">
        <f aca="false">(E83-INDEX('Cohort Summary'!$F$5:$F$14,MATCH($A83,'Cohort Summary'!$A$5:$A$14,0)))/INDEX('Cohort Summary'!$G$5:$G$14,MATCH($A83,'Cohort Summary'!$A$5:$A$14,0))</f>
        <v>-0.943298969072166</v>
      </c>
      <c r="K83" s="42" t="n">
        <f aca="false">(F83-INDEX('Cohort Summary'!$H$5:$H$14,MATCH($A83,'Cohort Summary'!$A$5:$A$14,0)))/INDEX('Cohort Summary'!$I$5:$I$14,MATCH($A83,'Cohort Summary'!$A$5:$A$14,0))</f>
        <v>-0.298039215686275</v>
      </c>
      <c r="L83" s="42" t="n">
        <f aca="false">(G83-INDEX('Cohort Summary'!$J$5:$J$14,MATCH($A83,'Cohort Summary'!$A$5:$A$14,0)))/INDEX('Cohort Summary'!$K$5:$K$14,MATCH($A83,'Cohort Summary'!$A$5:$A$14,0))</f>
        <v>0.654545454545453</v>
      </c>
      <c r="M83" s="42" t="n">
        <f aca="false">MAX(I83:K83)</f>
        <v>0.0225080385852091</v>
      </c>
      <c r="N83" s="27" t="s">
        <v>197</v>
      </c>
      <c r="O83" s="27"/>
      <c r="P83" s="27" t="str">
        <f aca="false">A83&amp;"|"&amp;N83</f>
        <v>NURSE-01|normal</v>
      </c>
    </row>
    <row r="84" customFormat="false" ht="15" hidden="false" customHeight="true" outlineLevel="0" collapsed="false">
      <c r="A84" s="27" t="s">
        <v>66</v>
      </c>
      <c r="B84" s="41" t="n">
        <v>46303.3201388889</v>
      </c>
      <c r="C84" s="27" t="s">
        <v>200</v>
      </c>
      <c r="D84" s="27" t="n">
        <v>39.3</v>
      </c>
      <c r="E84" s="27" t="n">
        <v>18.5</v>
      </c>
      <c r="F84" s="27" t="n">
        <v>33.3</v>
      </c>
      <c r="G84" s="27" t="n">
        <v>32.8</v>
      </c>
      <c r="H84" s="27" t="s">
        <v>196</v>
      </c>
      <c r="I84" s="42" t="n">
        <f aca="false">(D84-INDEX('Cohort Summary'!$D$5:$D$14,MATCH($A84,'Cohort Summary'!$A$5:$A$14,0)))/INDEX('Cohort Summary'!$E$5:$E$14,MATCH($A84,'Cohort Summary'!$A$5:$A$14,0))</f>
        <v>-0.234726688102895</v>
      </c>
      <c r="J84" s="42" t="n">
        <f aca="false">(E84-INDEX('Cohort Summary'!$F$5:$F$14,MATCH($A84,'Cohort Summary'!$A$5:$A$14,0)))/INDEX('Cohort Summary'!$G$5:$G$14,MATCH($A84,'Cohort Summary'!$A$5:$A$14,0))</f>
        <v>-0.0154639175257738</v>
      </c>
      <c r="K84" s="42" t="n">
        <f aca="false">(F84-INDEX('Cohort Summary'!$H$5:$H$14,MATCH($A84,'Cohort Summary'!$A$5:$A$14,0)))/INDEX('Cohort Summary'!$I$5:$I$14,MATCH($A84,'Cohort Summary'!$A$5:$A$14,0))</f>
        <v>1.1921568627451</v>
      </c>
      <c r="L84" s="42" t="n">
        <f aca="false">(G84-INDEX('Cohort Summary'!$J$5:$J$14,MATCH($A84,'Cohort Summary'!$A$5:$A$14,0)))/INDEX('Cohort Summary'!$K$5:$K$14,MATCH($A84,'Cohort Summary'!$A$5:$A$14,0))</f>
        <v>-0.254545454545456</v>
      </c>
      <c r="M84" s="42" t="n">
        <f aca="false">MAX(I84:K84)</f>
        <v>1.1921568627451</v>
      </c>
      <c r="N84" s="27" t="s">
        <v>197</v>
      </c>
      <c r="O84" s="27"/>
      <c r="P84" s="27" t="str">
        <f aca="false">A84&amp;"|"&amp;N84</f>
        <v>NURSE-01|normal</v>
      </c>
    </row>
    <row r="85" customFormat="false" ht="15" hidden="false" customHeight="true" outlineLevel="0" collapsed="false">
      <c r="A85" s="27" t="s">
        <v>66</v>
      </c>
      <c r="B85" s="41" t="n">
        <v>46303.3204861111</v>
      </c>
      <c r="C85" s="27" t="s">
        <v>200</v>
      </c>
      <c r="D85" s="27" t="n">
        <v>38.1</v>
      </c>
      <c r="E85" s="27" t="n">
        <v>16.5</v>
      </c>
      <c r="F85" s="27" t="n">
        <v>27.3</v>
      </c>
      <c r="G85" s="27" t="n">
        <v>32.4</v>
      </c>
      <c r="H85" s="27" t="s">
        <v>196</v>
      </c>
      <c r="I85" s="42" t="n">
        <f aca="false">(D85-INDEX('Cohort Summary'!$D$5:$D$14,MATCH($A85,'Cohort Summary'!$A$5:$A$14,0)))/INDEX('Cohort Summary'!$E$5:$E$14,MATCH($A85,'Cohort Summary'!$A$5:$A$14,0))</f>
        <v>-0.620578778135048</v>
      </c>
      <c r="J85" s="42" t="n">
        <f aca="false">(E85-INDEX('Cohort Summary'!$F$5:$F$14,MATCH($A85,'Cohort Summary'!$A$5:$A$14,0)))/INDEX('Cohort Summary'!$G$5:$G$14,MATCH($A85,'Cohort Summary'!$A$5:$A$14,0))</f>
        <v>-1.04639175257732</v>
      </c>
      <c r="K85" s="42" t="n">
        <f aca="false">(F85-INDEX('Cohort Summary'!$H$5:$H$14,MATCH($A85,'Cohort Summary'!$A$5:$A$14,0)))/INDEX('Cohort Summary'!$I$5:$I$14,MATCH($A85,'Cohort Summary'!$A$5:$A$14,0))</f>
        <v>-1.16078431372549</v>
      </c>
      <c r="L85" s="42" t="n">
        <f aca="false">(G85-INDEX('Cohort Summary'!$J$5:$J$14,MATCH($A85,'Cohort Summary'!$A$5:$A$14,0)))/INDEX('Cohort Summary'!$K$5:$K$14,MATCH($A85,'Cohort Summary'!$A$5:$A$14,0))</f>
        <v>-0.98181818181818</v>
      </c>
      <c r="M85" s="42" t="n">
        <f aca="false">MAX(I85:K85)</f>
        <v>-0.620578778135048</v>
      </c>
      <c r="N85" s="27" t="s">
        <v>197</v>
      </c>
      <c r="O85" s="27"/>
      <c r="P85" s="27" t="str">
        <f aca="false">A85&amp;"|"&amp;N85</f>
        <v>NURSE-01|normal</v>
      </c>
    </row>
    <row r="86" customFormat="false" ht="15" hidden="false" customHeight="true" outlineLevel="0" collapsed="false">
      <c r="A86" s="27" t="s">
        <v>66</v>
      </c>
      <c r="B86" s="41" t="n">
        <v>46303.3208333333</v>
      </c>
      <c r="C86" s="27" t="s">
        <v>200</v>
      </c>
      <c r="D86" s="27" t="n">
        <v>42.3</v>
      </c>
      <c r="E86" s="27" t="n">
        <v>16</v>
      </c>
      <c r="F86" s="27" t="n">
        <v>34.9</v>
      </c>
      <c r="G86" s="27" t="n">
        <v>34</v>
      </c>
      <c r="H86" s="27" t="s">
        <v>198</v>
      </c>
      <c r="I86" s="42" t="n">
        <f aca="false">(D86-INDEX('Cohort Summary'!$D$5:$D$14,MATCH($A86,'Cohort Summary'!$A$5:$A$14,0)))/INDEX('Cohort Summary'!$E$5:$E$14,MATCH($A86,'Cohort Summary'!$A$5:$A$14,0))</f>
        <v>0.729903536977491</v>
      </c>
      <c r="J86" s="42" t="n">
        <f aca="false">(E86-INDEX('Cohort Summary'!$F$5:$F$14,MATCH($A86,'Cohort Summary'!$A$5:$A$14,0)))/INDEX('Cohort Summary'!$G$5:$G$14,MATCH($A86,'Cohort Summary'!$A$5:$A$14,0))</f>
        <v>-1.30412371134021</v>
      </c>
      <c r="K86" s="42" t="n">
        <f aca="false">(F86-INDEX('Cohort Summary'!$H$5:$H$14,MATCH($A86,'Cohort Summary'!$A$5:$A$14,0)))/INDEX('Cohort Summary'!$I$5:$I$14,MATCH($A86,'Cohort Summary'!$A$5:$A$14,0))</f>
        <v>1.81960784313725</v>
      </c>
      <c r="L86" s="42" t="n">
        <f aca="false">(G86-INDEX('Cohort Summary'!$J$5:$J$14,MATCH($A86,'Cohort Summary'!$A$5:$A$14,0)))/INDEX('Cohort Summary'!$K$5:$K$14,MATCH($A86,'Cohort Summary'!$A$5:$A$14,0))</f>
        <v>1.92727272727273</v>
      </c>
      <c r="M86" s="42" t="n">
        <f aca="false">MAX(I86:K86)</f>
        <v>1.81960784313725</v>
      </c>
      <c r="N86" s="27" t="s">
        <v>197</v>
      </c>
      <c r="O86" s="27"/>
      <c r="P86" s="27" t="str">
        <f aca="false">A86&amp;"|"&amp;N86</f>
        <v>NURSE-01|normal</v>
      </c>
    </row>
    <row r="87" customFormat="false" ht="15" hidden="false" customHeight="true" outlineLevel="0" collapsed="false">
      <c r="A87" s="27" t="s">
        <v>66</v>
      </c>
      <c r="B87" s="41" t="n">
        <v>46303.3211805556</v>
      </c>
      <c r="C87" s="27" t="s">
        <v>200</v>
      </c>
      <c r="D87" s="27" t="n">
        <v>35.1</v>
      </c>
      <c r="E87" s="27" t="n">
        <v>19.4</v>
      </c>
      <c r="F87" s="27" t="n">
        <v>33.8</v>
      </c>
      <c r="G87" s="27" t="n">
        <v>32.9</v>
      </c>
      <c r="H87" s="27" t="s">
        <v>198</v>
      </c>
      <c r="I87" s="42" t="n">
        <f aca="false">(D87-INDEX('Cohort Summary'!$D$5:$D$14,MATCH($A87,'Cohort Summary'!$A$5:$A$14,0)))/INDEX('Cohort Summary'!$E$5:$E$14,MATCH($A87,'Cohort Summary'!$A$5:$A$14,0))</f>
        <v>-1.58520900321543</v>
      </c>
      <c r="J87" s="42" t="n">
        <f aca="false">(E87-INDEX('Cohort Summary'!$F$5:$F$14,MATCH($A87,'Cohort Summary'!$A$5:$A$14,0)))/INDEX('Cohort Summary'!$G$5:$G$14,MATCH($A87,'Cohort Summary'!$A$5:$A$14,0))</f>
        <v>0.448453608247421</v>
      </c>
      <c r="K87" s="42" t="n">
        <f aca="false">(F87-INDEX('Cohort Summary'!$H$5:$H$14,MATCH($A87,'Cohort Summary'!$A$5:$A$14,0)))/INDEX('Cohort Summary'!$I$5:$I$14,MATCH($A87,'Cohort Summary'!$A$5:$A$14,0))</f>
        <v>1.38823529411765</v>
      </c>
      <c r="L87" s="42" t="n">
        <f aca="false">(G87-INDEX('Cohort Summary'!$J$5:$J$14,MATCH($A87,'Cohort Summary'!$A$5:$A$14,0)))/INDEX('Cohort Summary'!$K$5:$K$14,MATCH($A87,'Cohort Summary'!$A$5:$A$14,0))</f>
        <v>-0.0727272727272712</v>
      </c>
      <c r="M87" s="42" t="n">
        <f aca="false">MAX(I87:K87)</f>
        <v>1.38823529411765</v>
      </c>
      <c r="N87" s="27" t="s">
        <v>197</v>
      </c>
      <c r="O87" s="27"/>
      <c r="P87" s="27" t="str">
        <f aca="false">A87&amp;"|"&amp;N87</f>
        <v>NURSE-01|normal</v>
      </c>
    </row>
    <row r="88" customFormat="false" ht="15" hidden="false" customHeight="true" outlineLevel="0" collapsed="false">
      <c r="A88" s="27" t="s">
        <v>66</v>
      </c>
      <c r="B88" s="41" t="n">
        <v>46303.3215277778</v>
      </c>
      <c r="C88" s="27" t="s">
        <v>200</v>
      </c>
      <c r="D88" s="27" t="n">
        <v>35.8</v>
      </c>
      <c r="E88" s="27" t="n">
        <v>20.9</v>
      </c>
      <c r="F88" s="27" t="n">
        <v>33.7</v>
      </c>
      <c r="G88" s="27" t="n">
        <v>33.3</v>
      </c>
      <c r="H88" s="27" t="s">
        <v>199</v>
      </c>
      <c r="I88" s="42" t="n">
        <f aca="false">(D88-INDEX('Cohort Summary'!$D$5:$D$14,MATCH($A88,'Cohort Summary'!$A$5:$A$14,0)))/INDEX('Cohort Summary'!$E$5:$E$14,MATCH($A88,'Cohort Summary'!$A$5:$A$14,0))</f>
        <v>-1.36012861736335</v>
      </c>
      <c r="J88" s="42" t="n">
        <f aca="false">(E88-INDEX('Cohort Summary'!$F$5:$F$14,MATCH($A88,'Cohort Summary'!$A$5:$A$14,0)))/INDEX('Cohort Summary'!$G$5:$G$14,MATCH($A88,'Cohort Summary'!$A$5:$A$14,0))</f>
        <v>1.22164948453608</v>
      </c>
      <c r="K88" s="42" t="n">
        <f aca="false">(F88-INDEX('Cohort Summary'!$H$5:$H$14,MATCH($A88,'Cohort Summary'!$A$5:$A$14,0)))/INDEX('Cohort Summary'!$I$5:$I$14,MATCH($A88,'Cohort Summary'!$A$5:$A$14,0))</f>
        <v>1.34901960784314</v>
      </c>
      <c r="L88" s="42" t="n">
        <f aca="false">(G88-INDEX('Cohort Summary'!$J$5:$J$14,MATCH($A88,'Cohort Summary'!$A$5:$A$14,0)))/INDEX('Cohort Summary'!$K$5:$K$14,MATCH($A88,'Cohort Summary'!$A$5:$A$14,0))</f>
        <v>0.654545454545453</v>
      </c>
      <c r="M88" s="42" t="n">
        <f aca="false">MAX(I88:K88)</f>
        <v>1.34901960784314</v>
      </c>
      <c r="N88" s="27" t="s">
        <v>197</v>
      </c>
      <c r="O88" s="27"/>
      <c r="P88" s="27" t="str">
        <f aca="false">A88&amp;"|"&amp;N88</f>
        <v>NURSE-01|normal</v>
      </c>
    </row>
    <row r="89" customFormat="false" ht="15" hidden="false" customHeight="true" outlineLevel="0" collapsed="false">
      <c r="A89" s="27" t="s">
        <v>66</v>
      </c>
      <c r="B89" s="41" t="n">
        <v>46303.321875</v>
      </c>
      <c r="C89" s="27" t="s">
        <v>200</v>
      </c>
      <c r="D89" s="27" t="n">
        <v>41</v>
      </c>
      <c r="E89" s="27" t="n">
        <v>19.8</v>
      </c>
      <c r="F89" s="27" t="n">
        <v>25.5</v>
      </c>
      <c r="G89" s="27" t="n">
        <v>32.4</v>
      </c>
      <c r="H89" s="27" t="s">
        <v>199</v>
      </c>
      <c r="I89" s="42" t="n">
        <f aca="false">(D89-INDEX('Cohort Summary'!$D$5:$D$14,MATCH($A89,'Cohort Summary'!$A$5:$A$14,0)))/INDEX('Cohort Summary'!$E$5:$E$14,MATCH($A89,'Cohort Summary'!$A$5:$A$14,0))</f>
        <v>0.311897106109324</v>
      </c>
      <c r="J89" s="42" t="n">
        <f aca="false">(E89-INDEX('Cohort Summary'!$F$5:$F$14,MATCH($A89,'Cohort Summary'!$A$5:$A$14,0)))/INDEX('Cohort Summary'!$G$5:$G$14,MATCH($A89,'Cohort Summary'!$A$5:$A$14,0))</f>
        <v>0.654639175257732</v>
      </c>
      <c r="K89" s="42" t="n">
        <f aca="false">(F89-INDEX('Cohort Summary'!$H$5:$H$14,MATCH($A89,'Cohort Summary'!$A$5:$A$14,0)))/INDEX('Cohort Summary'!$I$5:$I$14,MATCH($A89,'Cohort Summary'!$A$5:$A$14,0))</f>
        <v>-1.86666666666667</v>
      </c>
      <c r="L89" s="42" t="n">
        <f aca="false">(G89-INDEX('Cohort Summary'!$J$5:$J$14,MATCH($A89,'Cohort Summary'!$A$5:$A$14,0)))/INDEX('Cohort Summary'!$K$5:$K$14,MATCH($A89,'Cohort Summary'!$A$5:$A$14,0))</f>
        <v>-0.98181818181818</v>
      </c>
      <c r="M89" s="42" t="n">
        <f aca="false">MAX(I89:K89)</f>
        <v>0.654639175257732</v>
      </c>
      <c r="N89" s="27" t="s">
        <v>197</v>
      </c>
      <c r="O89" s="27"/>
      <c r="P89" s="27" t="str">
        <f aca="false">A89&amp;"|"&amp;N89</f>
        <v>NURSE-01|normal</v>
      </c>
    </row>
    <row r="90" customFormat="false" ht="15" hidden="false" customHeight="true" outlineLevel="0" collapsed="false">
      <c r="A90" s="27" t="s">
        <v>66</v>
      </c>
      <c r="B90" s="41" t="n">
        <v>46303.3222222222</v>
      </c>
      <c r="C90" s="27" t="s">
        <v>200</v>
      </c>
      <c r="D90" s="27" t="n">
        <v>39.5</v>
      </c>
      <c r="E90" s="27" t="n">
        <v>16.8</v>
      </c>
      <c r="F90" s="27" t="n">
        <v>34.6</v>
      </c>
      <c r="G90" s="27" t="n">
        <v>33.9</v>
      </c>
      <c r="H90" s="27" t="s">
        <v>196</v>
      </c>
      <c r="I90" s="42" t="n">
        <f aca="false">(D90-INDEX('Cohort Summary'!$D$5:$D$14,MATCH($A90,'Cohort Summary'!$A$5:$A$14,0)))/INDEX('Cohort Summary'!$E$5:$E$14,MATCH($A90,'Cohort Summary'!$A$5:$A$14,0))</f>
        <v>-0.170418006430869</v>
      </c>
      <c r="J90" s="42" t="n">
        <f aca="false">(E90-INDEX('Cohort Summary'!$F$5:$F$14,MATCH($A90,'Cohort Summary'!$A$5:$A$14,0)))/INDEX('Cohort Summary'!$G$5:$G$14,MATCH($A90,'Cohort Summary'!$A$5:$A$14,0))</f>
        <v>-0.891752577319588</v>
      </c>
      <c r="K90" s="42" t="n">
        <f aca="false">(F90-INDEX('Cohort Summary'!$H$5:$H$14,MATCH($A90,'Cohort Summary'!$A$5:$A$14,0)))/INDEX('Cohort Summary'!$I$5:$I$14,MATCH($A90,'Cohort Summary'!$A$5:$A$14,0))</f>
        <v>1.70196078431373</v>
      </c>
      <c r="L90" s="42" t="n">
        <f aca="false">(G90-INDEX('Cohort Summary'!$J$5:$J$14,MATCH($A90,'Cohort Summary'!$A$5:$A$14,0)))/INDEX('Cohort Summary'!$K$5:$K$14,MATCH($A90,'Cohort Summary'!$A$5:$A$14,0))</f>
        <v>1.74545454545455</v>
      </c>
      <c r="M90" s="42" t="n">
        <f aca="false">MAX(I90:K90)</f>
        <v>1.70196078431373</v>
      </c>
      <c r="N90" s="27" t="s">
        <v>197</v>
      </c>
      <c r="O90" s="27"/>
      <c r="P90" s="27" t="str">
        <f aca="false">A90&amp;"|"&amp;N90</f>
        <v>NURSE-01|normal</v>
      </c>
    </row>
    <row r="91" customFormat="false" ht="15" hidden="false" customHeight="true" outlineLevel="0" collapsed="false">
      <c r="A91" s="27" t="s">
        <v>66</v>
      </c>
      <c r="B91" s="41" t="n">
        <v>46303.3225694444</v>
      </c>
      <c r="C91" s="27" t="s">
        <v>200</v>
      </c>
      <c r="D91" s="27" t="n">
        <v>38.2</v>
      </c>
      <c r="E91" s="27" t="n">
        <v>15.2</v>
      </c>
      <c r="F91" s="27" t="n">
        <v>33.8</v>
      </c>
      <c r="G91" s="27" t="n">
        <v>32.4</v>
      </c>
      <c r="H91" s="27" t="s">
        <v>198</v>
      </c>
      <c r="I91" s="42" t="n">
        <f aca="false">(D91-INDEX('Cohort Summary'!$D$5:$D$14,MATCH($A91,'Cohort Summary'!$A$5:$A$14,0)))/INDEX('Cohort Summary'!$E$5:$E$14,MATCH($A91,'Cohort Summary'!$A$5:$A$14,0))</f>
        <v>-0.588424437299035</v>
      </c>
      <c r="J91" s="42" t="n">
        <f aca="false">(E91-INDEX('Cohort Summary'!$F$5:$F$14,MATCH($A91,'Cohort Summary'!$A$5:$A$14,0)))/INDEX('Cohort Summary'!$G$5:$G$14,MATCH($A91,'Cohort Summary'!$A$5:$A$14,0))</f>
        <v>-1.71649484536083</v>
      </c>
      <c r="K91" s="42" t="n">
        <f aca="false">(F91-INDEX('Cohort Summary'!$H$5:$H$14,MATCH($A91,'Cohort Summary'!$A$5:$A$14,0)))/INDEX('Cohort Summary'!$I$5:$I$14,MATCH($A91,'Cohort Summary'!$A$5:$A$14,0))</f>
        <v>1.38823529411765</v>
      </c>
      <c r="L91" s="42" t="n">
        <f aca="false">(G91-INDEX('Cohort Summary'!$J$5:$J$14,MATCH($A91,'Cohort Summary'!$A$5:$A$14,0)))/INDEX('Cohort Summary'!$K$5:$K$14,MATCH($A91,'Cohort Summary'!$A$5:$A$14,0))</f>
        <v>-0.98181818181818</v>
      </c>
      <c r="M91" s="42" t="n">
        <f aca="false">MAX(I91:K91)</f>
        <v>1.38823529411765</v>
      </c>
      <c r="N91" s="27" t="s">
        <v>197</v>
      </c>
      <c r="O91" s="27"/>
      <c r="P91" s="27" t="str">
        <f aca="false">A91&amp;"|"&amp;N91</f>
        <v>NURSE-01|normal</v>
      </c>
    </row>
    <row r="92" customFormat="false" ht="15" hidden="false" customHeight="true" outlineLevel="0" collapsed="false">
      <c r="A92" s="27" t="s">
        <v>66</v>
      </c>
      <c r="B92" s="41" t="n">
        <v>46303.3229166667</v>
      </c>
      <c r="C92" s="27" t="s">
        <v>200</v>
      </c>
      <c r="D92" s="27" t="n">
        <v>35</v>
      </c>
      <c r="E92" s="27" t="n">
        <v>17.7</v>
      </c>
      <c r="F92" s="27" t="n">
        <v>29.7</v>
      </c>
      <c r="G92" s="27" t="n">
        <v>33</v>
      </c>
      <c r="H92" s="27" t="s">
        <v>198</v>
      </c>
      <c r="I92" s="42" t="n">
        <f aca="false">(D92-INDEX('Cohort Summary'!$D$5:$D$14,MATCH($A92,'Cohort Summary'!$A$5:$A$14,0)))/INDEX('Cohort Summary'!$E$5:$E$14,MATCH($A92,'Cohort Summary'!$A$5:$A$14,0))</f>
        <v>-1.61736334405145</v>
      </c>
      <c r="J92" s="42" t="n">
        <f aca="false">(E92-INDEX('Cohort Summary'!$F$5:$F$14,MATCH($A92,'Cohort Summary'!$A$5:$A$14,0)))/INDEX('Cohort Summary'!$G$5:$G$14,MATCH($A92,'Cohort Summary'!$A$5:$A$14,0))</f>
        <v>-0.427835051546393</v>
      </c>
      <c r="K92" s="42" t="n">
        <f aca="false">(F92-INDEX('Cohort Summary'!$H$5:$H$14,MATCH($A92,'Cohort Summary'!$A$5:$A$14,0)))/INDEX('Cohort Summary'!$I$5:$I$14,MATCH($A92,'Cohort Summary'!$A$5:$A$14,0))</f>
        <v>-0.219607843137256</v>
      </c>
      <c r="L92" s="42" t="n">
        <f aca="false">(G92-INDEX('Cohort Summary'!$J$5:$J$14,MATCH($A92,'Cohort Summary'!$A$5:$A$14,0)))/INDEX('Cohort Summary'!$K$5:$K$14,MATCH($A92,'Cohort Summary'!$A$5:$A$14,0))</f>
        <v>0.109090909090913</v>
      </c>
      <c r="M92" s="42" t="n">
        <f aca="false">MAX(I92:K92)</f>
        <v>-0.219607843137256</v>
      </c>
      <c r="N92" s="27" t="s">
        <v>197</v>
      </c>
      <c r="O92" s="27"/>
      <c r="P92" s="27" t="str">
        <f aca="false">A92&amp;"|"&amp;N92</f>
        <v>NURSE-01|normal</v>
      </c>
    </row>
    <row r="93" customFormat="false" ht="15" hidden="false" customHeight="true" outlineLevel="0" collapsed="false">
      <c r="A93" s="27" t="s">
        <v>66</v>
      </c>
      <c r="B93" s="41" t="n">
        <v>46303.3232638889</v>
      </c>
      <c r="C93" s="27" t="s">
        <v>200</v>
      </c>
      <c r="D93" s="27" t="n">
        <v>37.5</v>
      </c>
      <c r="E93" s="27" t="n">
        <v>20.4</v>
      </c>
      <c r="F93" s="27" t="n">
        <v>25.9</v>
      </c>
      <c r="G93" s="27" t="n">
        <v>33.6</v>
      </c>
      <c r="H93" s="27" t="s">
        <v>198</v>
      </c>
      <c r="I93" s="42" t="n">
        <f aca="false">(D93-INDEX('Cohort Summary'!$D$5:$D$14,MATCH($A93,'Cohort Summary'!$A$5:$A$14,0)))/INDEX('Cohort Summary'!$E$5:$E$14,MATCH($A93,'Cohort Summary'!$A$5:$A$14,0))</f>
        <v>-0.813504823151126</v>
      </c>
      <c r="J93" s="42" t="n">
        <f aca="false">(E93-INDEX('Cohort Summary'!$F$5:$F$14,MATCH($A93,'Cohort Summary'!$A$5:$A$14,0)))/INDEX('Cohort Summary'!$G$5:$G$14,MATCH($A93,'Cohort Summary'!$A$5:$A$14,0))</f>
        <v>0.963917525773195</v>
      </c>
      <c r="K93" s="42" t="n">
        <f aca="false">(F93-INDEX('Cohort Summary'!$H$5:$H$14,MATCH($A93,'Cohort Summary'!$A$5:$A$14,0)))/INDEX('Cohort Summary'!$I$5:$I$14,MATCH($A93,'Cohort Summary'!$A$5:$A$14,0))</f>
        <v>-1.70980392156863</v>
      </c>
      <c r="L93" s="42" t="n">
        <f aca="false">(G93-INDEX('Cohort Summary'!$J$5:$J$14,MATCH($A93,'Cohort Summary'!$A$5:$A$14,0)))/INDEX('Cohort Summary'!$K$5:$K$14,MATCH($A93,'Cohort Summary'!$A$5:$A$14,0))</f>
        <v>1.20000000000001</v>
      </c>
      <c r="M93" s="42" t="n">
        <f aca="false">MAX(I93:K93)</f>
        <v>0.963917525773195</v>
      </c>
      <c r="N93" s="27" t="s">
        <v>197</v>
      </c>
      <c r="O93" s="27"/>
      <c r="P93" s="27" t="str">
        <f aca="false">A93&amp;"|"&amp;N93</f>
        <v>NURSE-01|normal</v>
      </c>
    </row>
    <row r="94" customFormat="false" ht="15" hidden="false" customHeight="true" outlineLevel="0" collapsed="false">
      <c r="A94" s="27" t="s">
        <v>66</v>
      </c>
      <c r="B94" s="41" t="n">
        <v>46303.3236111111</v>
      </c>
      <c r="C94" s="27" t="s">
        <v>200</v>
      </c>
      <c r="D94" s="27" t="n">
        <v>39</v>
      </c>
      <c r="E94" s="27" t="n">
        <v>15.3</v>
      </c>
      <c r="F94" s="27" t="n">
        <v>25.2</v>
      </c>
      <c r="G94" s="27" t="n">
        <v>32.6</v>
      </c>
      <c r="H94" s="27" t="s">
        <v>198</v>
      </c>
      <c r="I94" s="42" t="n">
        <f aca="false">(D94-INDEX('Cohort Summary'!$D$5:$D$14,MATCH($A94,'Cohort Summary'!$A$5:$A$14,0)))/INDEX('Cohort Summary'!$E$5:$E$14,MATCH($A94,'Cohort Summary'!$A$5:$A$14,0))</f>
        <v>-0.331189710610933</v>
      </c>
      <c r="J94" s="42" t="n">
        <f aca="false">(E94-INDEX('Cohort Summary'!$F$5:$F$14,MATCH($A94,'Cohort Summary'!$A$5:$A$14,0)))/INDEX('Cohort Summary'!$G$5:$G$14,MATCH($A94,'Cohort Summary'!$A$5:$A$14,0))</f>
        <v>-1.66494845360825</v>
      </c>
      <c r="K94" s="42" t="n">
        <f aca="false">(F94-INDEX('Cohort Summary'!$H$5:$H$14,MATCH($A94,'Cohort Summary'!$A$5:$A$14,0)))/INDEX('Cohort Summary'!$I$5:$I$14,MATCH($A94,'Cohort Summary'!$A$5:$A$14,0))</f>
        <v>-1.9843137254902</v>
      </c>
      <c r="L94" s="42" t="n">
        <f aca="false">(G94-INDEX('Cohort Summary'!$J$5:$J$14,MATCH($A94,'Cohort Summary'!$A$5:$A$14,0)))/INDEX('Cohort Summary'!$K$5:$K$14,MATCH($A94,'Cohort Summary'!$A$5:$A$14,0))</f>
        <v>-0.618181818181811</v>
      </c>
      <c r="M94" s="42" t="n">
        <f aca="false">MAX(I94:K94)</f>
        <v>-0.331189710610933</v>
      </c>
      <c r="N94" s="27" t="s">
        <v>197</v>
      </c>
      <c r="O94" s="27"/>
      <c r="P94" s="27" t="str">
        <f aca="false">A94&amp;"|"&amp;N94</f>
        <v>NURSE-01|normal</v>
      </c>
    </row>
    <row r="95" customFormat="false" ht="15" hidden="false" customHeight="true" outlineLevel="0" collapsed="false">
      <c r="A95" s="27" t="s">
        <v>66</v>
      </c>
      <c r="B95" s="41" t="n">
        <v>46303.3239583333</v>
      </c>
      <c r="C95" s="27" t="s">
        <v>200</v>
      </c>
      <c r="D95" s="27" t="n">
        <v>35.8</v>
      </c>
      <c r="E95" s="27" t="n">
        <v>21.7</v>
      </c>
      <c r="F95" s="27" t="n">
        <v>33.5</v>
      </c>
      <c r="G95" s="27" t="n">
        <v>32.3</v>
      </c>
      <c r="H95" s="27" t="s">
        <v>196</v>
      </c>
      <c r="I95" s="42" t="n">
        <f aca="false">(D95-INDEX('Cohort Summary'!$D$5:$D$14,MATCH($A95,'Cohort Summary'!$A$5:$A$14,0)))/INDEX('Cohort Summary'!$E$5:$E$14,MATCH($A95,'Cohort Summary'!$A$5:$A$14,0))</f>
        <v>-1.36012861736335</v>
      </c>
      <c r="J95" s="42" t="n">
        <f aca="false">(E95-INDEX('Cohort Summary'!$F$5:$F$14,MATCH($A95,'Cohort Summary'!$A$5:$A$14,0)))/INDEX('Cohort Summary'!$G$5:$G$14,MATCH($A95,'Cohort Summary'!$A$5:$A$14,0))</f>
        <v>1.6340206185567</v>
      </c>
      <c r="K95" s="42" t="n">
        <f aca="false">(F95-INDEX('Cohort Summary'!$H$5:$H$14,MATCH($A95,'Cohort Summary'!$A$5:$A$14,0)))/INDEX('Cohort Summary'!$I$5:$I$14,MATCH($A95,'Cohort Summary'!$A$5:$A$14,0))</f>
        <v>1.27058823529412</v>
      </c>
      <c r="L95" s="42" t="n">
        <f aca="false">(G95-INDEX('Cohort Summary'!$J$5:$J$14,MATCH($A95,'Cohort Summary'!$A$5:$A$14,0)))/INDEX('Cohort Summary'!$K$5:$K$14,MATCH($A95,'Cohort Summary'!$A$5:$A$14,0))</f>
        <v>-1.16363636363636</v>
      </c>
      <c r="M95" s="42" t="n">
        <f aca="false">MAX(I95:K95)</f>
        <v>1.6340206185567</v>
      </c>
      <c r="N95" s="27" t="s">
        <v>197</v>
      </c>
      <c r="O95" s="27"/>
      <c r="P95" s="27" t="str">
        <f aca="false">A95&amp;"|"&amp;N95</f>
        <v>NURSE-01|normal</v>
      </c>
    </row>
    <row r="96" customFormat="false" ht="15" hidden="false" customHeight="true" outlineLevel="0" collapsed="false">
      <c r="A96" s="27" t="s">
        <v>66</v>
      </c>
      <c r="B96" s="41" t="n">
        <v>46303.3243055556</v>
      </c>
      <c r="C96" s="27" t="s">
        <v>200</v>
      </c>
      <c r="D96" s="27" t="n">
        <v>42.8</v>
      </c>
      <c r="E96" s="27" t="n">
        <v>19.2</v>
      </c>
      <c r="F96" s="27" t="n">
        <v>32.6</v>
      </c>
      <c r="G96" s="27" t="n">
        <v>33.4</v>
      </c>
      <c r="H96" s="27" t="s">
        <v>199</v>
      </c>
      <c r="I96" s="42" t="n">
        <f aca="false">(D96-INDEX('Cohort Summary'!$D$5:$D$14,MATCH($A96,'Cohort Summary'!$A$5:$A$14,0)))/INDEX('Cohort Summary'!$E$5:$E$14,MATCH($A96,'Cohort Summary'!$A$5:$A$14,0))</f>
        <v>0.890675241157555</v>
      </c>
      <c r="J96" s="42" t="n">
        <f aca="false">(E96-INDEX('Cohort Summary'!$F$5:$F$14,MATCH($A96,'Cohort Summary'!$A$5:$A$14,0)))/INDEX('Cohort Summary'!$G$5:$G$14,MATCH($A96,'Cohort Summary'!$A$5:$A$14,0))</f>
        <v>0.345360824742267</v>
      </c>
      <c r="K96" s="42" t="n">
        <f aca="false">(F96-INDEX('Cohort Summary'!$H$5:$H$14,MATCH($A96,'Cohort Summary'!$A$5:$A$14,0)))/INDEX('Cohort Summary'!$I$5:$I$14,MATCH($A96,'Cohort Summary'!$A$5:$A$14,0))</f>
        <v>0.917647058823529</v>
      </c>
      <c r="L96" s="42" t="n">
        <f aca="false">(G96-INDEX('Cohort Summary'!$J$5:$J$14,MATCH($A96,'Cohort Summary'!$A$5:$A$14,0)))/INDEX('Cohort Summary'!$K$5:$K$14,MATCH($A96,'Cohort Summary'!$A$5:$A$14,0))</f>
        <v>0.836363636363638</v>
      </c>
      <c r="M96" s="42" t="n">
        <f aca="false">MAX(I96:K96)</f>
        <v>0.917647058823529</v>
      </c>
      <c r="N96" s="27" t="s">
        <v>197</v>
      </c>
      <c r="O96" s="27"/>
      <c r="P96" s="27" t="str">
        <f aca="false">A96&amp;"|"&amp;N96</f>
        <v>NURSE-01|normal</v>
      </c>
    </row>
    <row r="97" customFormat="false" ht="15" hidden="false" customHeight="true" outlineLevel="0" collapsed="false">
      <c r="A97" s="27" t="s">
        <v>66</v>
      </c>
      <c r="B97" s="41" t="n">
        <v>46303.3246527778</v>
      </c>
      <c r="C97" s="27" t="s">
        <v>200</v>
      </c>
      <c r="D97" s="27" t="n">
        <v>36.5</v>
      </c>
      <c r="E97" s="27" t="n">
        <v>20.1</v>
      </c>
      <c r="F97" s="27" t="n">
        <v>31.4</v>
      </c>
      <c r="G97" s="27" t="n">
        <v>32.1</v>
      </c>
      <c r="H97" s="27" t="s">
        <v>196</v>
      </c>
      <c r="I97" s="42" t="n">
        <f aca="false">(D97-INDEX('Cohort Summary'!$D$5:$D$14,MATCH($A97,'Cohort Summary'!$A$5:$A$14,0)))/INDEX('Cohort Summary'!$E$5:$E$14,MATCH($A97,'Cohort Summary'!$A$5:$A$14,0))</f>
        <v>-1.13504823151125</v>
      </c>
      <c r="J97" s="42" t="n">
        <f aca="false">(E97-INDEX('Cohort Summary'!$F$5:$F$14,MATCH($A97,'Cohort Summary'!$A$5:$A$14,0)))/INDEX('Cohort Summary'!$G$5:$G$14,MATCH($A97,'Cohort Summary'!$A$5:$A$14,0))</f>
        <v>0.809278350515464</v>
      </c>
      <c r="K97" s="42" t="n">
        <f aca="false">(F97-INDEX('Cohort Summary'!$H$5:$H$14,MATCH($A97,'Cohort Summary'!$A$5:$A$14,0)))/INDEX('Cohort Summary'!$I$5:$I$14,MATCH($A97,'Cohort Summary'!$A$5:$A$14,0))</f>
        <v>0.447058823529411</v>
      </c>
      <c r="L97" s="42" t="n">
        <f aca="false">(G97-INDEX('Cohort Summary'!$J$5:$J$14,MATCH($A97,'Cohort Summary'!$A$5:$A$14,0)))/INDEX('Cohort Summary'!$K$5:$K$14,MATCH($A97,'Cohort Summary'!$A$5:$A$14,0))</f>
        <v>-1.52727272727272</v>
      </c>
      <c r="M97" s="42" t="n">
        <f aca="false">MAX(I97:K97)</f>
        <v>0.809278350515464</v>
      </c>
      <c r="N97" s="27" t="s">
        <v>197</v>
      </c>
      <c r="O97" s="27"/>
      <c r="P97" s="27" t="str">
        <f aca="false">A97&amp;"|"&amp;N97</f>
        <v>NURSE-01|normal</v>
      </c>
    </row>
    <row r="98" customFormat="false" ht="15" hidden="false" customHeight="true" outlineLevel="0" collapsed="false">
      <c r="A98" s="27" t="s">
        <v>66</v>
      </c>
      <c r="B98" s="41" t="n">
        <v>46303.325</v>
      </c>
      <c r="C98" s="27" t="s">
        <v>200</v>
      </c>
      <c r="D98" s="27" t="n">
        <v>43.9</v>
      </c>
      <c r="E98" s="27" t="n">
        <v>19.4</v>
      </c>
      <c r="F98" s="27" t="n">
        <v>32.3</v>
      </c>
      <c r="G98" s="27" t="n">
        <v>33.6</v>
      </c>
      <c r="H98" s="27" t="s">
        <v>198</v>
      </c>
      <c r="I98" s="42" t="n">
        <f aca="false">(D98-INDEX('Cohort Summary'!$D$5:$D$14,MATCH($A98,'Cohort Summary'!$A$5:$A$14,0)))/INDEX('Cohort Summary'!$E$5:$E$14,MATCH($A98,'Cohort Summary'!$A$5:$A$14,0))</f>
        <v>1.2443729903537</v>
      </c>
      <c r="J98" s="42" t="n">
        <f aca="false">(E98-INDEX('Cohort Summary'!$F$5:$F$14,MATCH($A98,'Cohort Summary'!$A$5:$A$14,0)))/INDEX('Cohort Summary'!$G$5:$G$14,MATCH($A98,'Cohort Summary'!$A$5:$A$14,0))</f>
        <v>0.448453608247421</v>
      </c>
      <c r="K98" s="42" t="n">
        <f aca="false">(F98-INDEX('Cohort Summary'!$H$5:$H$14,MATCH($A98,'Cohort Summary'!$A$5:$A$14,0)))/INDEX('Cohort Summary'!$I$5:$I$14,MATCH($A98,'Cohort Summary'!$A$5:$A$14,0))</f>
        <v>0.799999999999998</v>
      </c>
      <c r="L98" s="42" t="n">
        <f aca="false">(G98-INDEX('Cohort Summary'!$J$5:$J$14,MATCH($A98,'Cohort Summary'!$A$5:$A$14,0)))/INDEX('Cohort Summary'!$K$5:$K$14,MATCH($A98,'Cohort Summary'!$A$5:$A$14,0))</f>
        <v>1.20000000000001</v>
      </c>
      <c r="M98" s="42" t="n">
        <f aca="false">MAX(I98:K98)</f>
        <v>1.2443729903537</v>
      </c>
      <c r="N98" s="27" t="s">
        <v>197</v>
      </c>
      <c r="O98" s="27"/>
      <c r="P98" s="27" t="str">
        <f aca="false">A98&amp;"|"&amp;N98</f>
        <v>NURSE-01|normal</v>
      </c>
    </row>
    <row r="99" customFormat="false" ht="15" hidden="false" customHeight="true" outlineLevel="0" collapsed="false">
      <c r="A99" s="27" t="s">
        <v>66</v>
      </c>
      <c r="B99" s="41" t="n">
        <v>46303.3253472222</v>
      </c>
      <c r="C99" s="27" t="s">
        <v>200</v>
      </c>
      <c r="D99" s="27" t="n">
        <v>44.1</v>
      </c>
      <c r="E99" s="27" t="n">
        <v>20.3</v>
      </c>
      <c r="F99" s="27" t="n">
        <v>30.7</v>
      </c>
      <c r="G99" s="27" t="n">
        <v>33.6</v>
      </c>
      <c r="H99" s="27" t="s">
        <v>198</v>
      </c>
      <c r="I99" s="42" t="n">
        <f aca="false">(D99-INDEX('Cohort Summary'!$D$5:$D$14,MATCH($A99,'Cohort Summary'!$A$5:$A$14,0)))/INDEX('Cohort Summary'!$E$5:$E$14,MATCH($A99,'Cohort Summary'!$A$5:$A$14,0))</f>
        <v>1.30868167202572</v>
      </c>
      <c r="J99" s="42" t="n">
        <f aca="false">(E99-INDEX('Cohort Summary'!$F$5:$F$14,MATCH($A99,'Cohort Summary'!$A$5:$A$14,0)))/INDEX('Cohort Summary'!$G$5:$G$14,MATCH($A99,'Cohort Summary'!$A$5:$A$14,0))</f>
        <v>0.912371134020618</v>
      </c>
      <c r="K99" s="42" t="n">
        <f aca="false">(F99-INDEX('Cohort Summary'!$H$5:$H$14,MATCH($A99,'Cohort Summary'!$A$5:$A$14,0)))/INDEX('Cohort Summary'!$I$5:$I$14,MATCH($A99,'Cohort Summary'!$A$5:$A$14,0))</f>
        <v>0.172549019607842</v>
      </c>
      <c r="L99" s="42" t="n">
        <f aca="false">(G99-INDEX('Cohort Summary'!$J$5:$J$14,MATCH($A99,'Cohort Summary'!$A$5:$A$14,0)))/INDEX('Cohort Summary'!$K$5:$K$14,MATCH($A99,'Cohort Summary'!$A$5:$A$14,0))</f>
        <v>1.20000000000001</v>
      </c>
      <c r="M99" s="42" t="n">
        <f aca="false">MAX(I99:K99)</f>
        <v>1.30868167202572</v>
      </c>
      <c r="N99" s="27" t="s">
        <v>197</v>
      </c>
      <c r="O99" s="27"/>
      <c r="P99" s="27" t="str">
        <f aca="false">A99&amp;"|"&amp;N99</f>
        <v>NURSE-01|normal</v>
      </c>
    </row>
    <row r="100" customFormat="false" ht="15" hidden="false" customHeight="true" outlineLevel="0" collapsed="false">
      <c r="A100" s="27" t="s">
        <v>66</v>
      </c>
      <c r="B100" s="41" t="n">
        <v>46303.3256944444</v>
      </c>
      <c r="C100" s="27" t="s">
        <v>200</v>
      </c>
      <c r="D100" s="27" t="n">
        <v>43.3</v>
      </c>
      <c r="E100" s="27" t="n">
        <v>19.1</v>
      </c>
      <c r="F100" s="27" t="n">
        <v>33.9</v>
      </c>
      <c r="G100" s="27" t="n">
        <v>33.4</v>
      </c>
      <c r="H100" s="27" t="s">
        <v>196</v>
      </c>
      <c r="I100" s="42" t="n">
        <f aca="false">(D100-INDEX('Cohort Summary'!$D$5:$D$14,MATCH($A100,'Cohort Summary'!$A$5:$A$14,0)))/INDEX('Cohort Summary'!$E$5:$E$14,MATCH($A100,'Cohort Summary'!$A$5:$A$14,0))</f>
        <v>1.05144694533762</v>
      </c>
      <c r="J100" s="42" t="n">
        <f aca="false">(E100-INDEX('Cohort Summary'!$F$5:$F$14,MATCH($A100,'Cohort Summary'!$A$5:$A$14,0)))/INDEX('Cohort Summary'!$G$5:$G$14,MATCH($A100,'Cohort Summary'!$A$5:$A$14,0))</f>
        <v>0.293814432989691</v>
      </c>
      <c r="K100" s="42" t="n">
        <f aca="false">(F100-INDEX('Cohort Summary'!$H$5:$H$14,MATCH($A100,'Cohort Summary'!$A$5:$A$14,0)))/INDEX('Cohort Summary'!$I$5:$I$14,MATCH($A100,'Cohort Summary'!$A$5:$A$14,0))</f>
        <v>1.42745098039216</v>
      </c>
      <c r="L100" s="42" t="n">
        <f aca="false">(G100-INDEX('Cohort Summary'!$J$5:$J$14,MATCH($A100,'Cohort Summary'!$A$5:$A$14,0)))/INDEX('Cohort Summary'!$K$5:$K$14,MATCH($A100,'Cohort Summary'!$A$5:$A$14,0))</f>
        <v>0.836363636363638</v>
      </c>
      <c r="M100" s="42" t="n">
        <f aca="false">MAX(I100:K100)</f>
        <v>1.42745098039216</v>
      </c>
      <c r="N100" s="27" t="s">
        <v>197</v>
      </c>
      <c r="O100" s="27"/>
      <c r="P100" s="27" t="str">
        <f aca="false">A100&amp;"|"&amp;N100</f>
        <v>NURSE-01|normal</v>
      </c>
    </row>
    <row r="101" customFormat="false" ht="15" hidden="false" customHeight="true" outlineLevel="0" collapsed="false">
      <c r="A101" s="27" t="s">
        <v>66</v>
      </c>
      <c r="B101" s="41" t="n">
        <v>46303.3260416667</v>
      </c>
      <c r="C101" s="27" t="s">
        <v>200</v>
      </c>
      <c r="D101" s="27" t="n">
        <v>41.4</v>
      </c>
      <c r="E101" s="27" t="n">
        <v>15.6</v>
      </c>
      <c r="F101" s="27" t="n">
        <v>25.4</v>
      </c>
      <c r="G101" s="27" t="n">
        <v>33.3</v>
      </c>
      <c r="H101" s="27" t="s">
        <v>198</v>
      </c>
      <c r="I101" s="42" t="n">
        <f aca="false">(D101-INDEX('Cohort Summary'!$D$5:$D$14,MATCH($A101,'Cohort Summary'!$A$5:$A$14,0)))/INDEX('Cohort Summary'!$E$5:$E$14,MATCH($A101,'Cohort Summary'!$A$5:$A$14,0))</f>
        <v>0.440514469453375</v>
      </c>
      <c r="J101" s="42" t="n">
        <f aca="false">(E101-INDEX('Cohort Summary'!$F$5:$F$14,MATCH($A101,'Cohort Summary'!$A$5:$A$14,0)))/INDEX('Cohort Summary'!$G$5:$G$14,MATCH($A101,'Cohort Summary'!$A$5:$A$14,0))</f>
        <v>-1.51030927835052</v>
      </c>
      <c r="K101" s="42" t="n">
        <f aca="false">(F101-INDEX('Cohort Summary'!$H$5:$H$14,MATCH($A101,'Cohort Summary'!$A$5:$A$14,0)))/INDEX('Cohort Summary'!$I$5:$I$14,MATCH($A101,'Cohort Summary'!$A$5:$A$14,0))</f>
        <v>-1.90588235294118</v>
      </c>
      <c r="L101" s="42" t="n">
        <f aca="false">(G101-INDEX('Cohort Summary'!$J$5:$J$14,MATCH($A101,'Cohort Summary'!$A$5:$A$14,0)))/INDEX('Cohort Summary'!$K$5:$K$14,MATCH($A101,'Cohort Summary'!$A$5:$A$14,0))</f>
        <v>0.654545454545453</v>
      </c>
      <c r="M101" s="42" t="n">
        <f aca="false">MAX(I101:K101)</f>
        <v>0.440514469453375</v>
      </c>
      <c r="N101" s="27" t="s">
        <v>197</v>
      </c>
      <c r="O101" s="27"/>
      <c r="P101" s="27" t="str">
        <f aca="false">A101&amp;"|"&amp;N101</f>
        <v>NURSE-01|normal</v>
      </c>
    </row>
    <row r="102" customFormat="false" ht="15" hidden="false" customHeight="true" outlineLevel="0" collapsed="false">
      <c r="A102" s="27" t="s">
        <v>66</v>
      </c>
      <c r="B102" s="41" t="n">
        <v>46303.3263888889</v>
      </c>
      <c r="C102" s="27" t="s">
        <v>200</v>
      </c>
      <c r="D102" s="27" t="n">
        <v>38.8</v>
      </c>
      <c r="E102" s="27" t="n">
        <v>18.2</v>
      </c>
      <c r="F102" s="27" t="n">
        <v>25.5</v>
      </c>
      <c r="G102" s="27" t="n">
        <v>32</v>
      </c>
      <c r="H102" s="27" t="s">
        <v>196</v>
      </c>
      <c r="I102" s="42" t="n">
        <f aca="false">(D102-INDEX('Cohort Summary'!$D$5:$D$14,MATCH($A102,'Cohort Summary'!$A$5:$A$14,0)))/INDEX('Cohort Summary'!$E$5:$E$14,MATCH($A102,'Cohort Summary'!$A$5:$A$14,0))</f>
        <v>-0.39549839228296</v>
      </c>
      <c r="J102" s="42" t="n">
        <f aca="false">(E102-INDEX('Cohort Summary'!$F$5:$F$14,MATCH($A102,'Cohort Summary'!$A$5:$A$14,0)))/INDEX('Cohort Summary'!$G$5:$G$14,MATCH($A102,'Cohort Summary'!$A$5:$A$14,0))</f>
        <v>-0.170103092783506</v>
      </c>
      <c r="K102" s="42" t="n">
        <f aca="false">(F102-INDEX('Cohort Summary'!$H$5:$H$14,MATCH($A102,'Cohort Summary'!$A$5:$A$14,0)))/INDEX('Cohort Summary'!$I$5:$I$14,MATCH($A102,'Cohort Summary'!$A$5:$A$14,0))</f>
        <v>-1.86666666666667</v>
      </c>
      <c r="L102" s="42" t="n">
        <f aca="false">(G102-INDEX('Cohort Summary'!$J$5:$J$14,MATCH($A102,'Cohort Summary'!$A$5:$A$14,0)))/INDEX('Cohort Summary'!$K$5:$K$14,MATCH($A102,'Cohort Summary'!$A$5:$A$14,0))</f>
        <v>-1.7090909090909</v>
      </c>
      <c r="M102" s="42" t="n">
        <f aca="false">MAX(I102:K102)</f>
        <v>-0.170103092783506</v>
      </c>
      <c r="N102" s="27" t="s">
        <v>197</v>
      </c>
      <c r="O102" s="27"/>
      <c r="P102" s="27" t="str">
        <f aca="false">A102&amp;"|"&amp;N102</f>
        <v>NURSE-01|normal</v>
      </c>
    </row>
    <row r="103" customFormat="false" ht="15" hidden="false" customHeight="true" outlineLevel="0" collapsed="false">
      <c r="A103" s="27" t="s">
        <v>66</v>
      </c>
      <c r="B103" s="41" t="n">
        <v>46303.3267361111</v>
      </c>
      <c r="C103" s="27" t="s">
        <v>200</v>
      </c>
      <c r="D103" s="27" t="n">
        <v>41.8</v>
      </c>
      <c r="E103" s="27" t="n">
        <v>18.4</v>
      </c>
      <c r="F103" s="27" t="n">
        <v>25</v>
      </c>
      <c r="G103" s="27" t="n">
        <v>33.6</v>
      </c>
      <c r="H103" s="27" t="s">
        <v>196</v>
      </c>
      <c r="I103" s="42" t="n">
        <f aca="false">(D103-INDEX('Cohort Summary'!$D$5:$D$14,MATCH($A103,'Cohort Summary'!$A$5:$A$14,0)))/INDEX('Cohort Summary'!$E$5:$E$14,MATCH($A103,'Cohort Summary'!$A$5:$A$14,0))</f>
        <v>0.569131832797426</v>
      </c>
      <c r="J103" s="42" t="n">
        <f aca="false">(E103-INDEX('Cohort Summary'!$F$5:$F$14,MATCH($A103,'Cohort Summary'!$A$5:$A$14,0)))/INDEX('Cohort Summary'!$G$5:$G$14,MATCH($A103,'Cohort Summary'!$A$5:$A$14,0))</f>
        <v>-0.0670103092783518</v>
      </c>
      <c r="K103" s="42" t="n">
        <f aca="false">(F103-INDEX('Cohort Summary'!$H$5:$H$14,MATCH($A103,'Cohort Summary'!$A$5:$A$14,0)))/INDEX('Cohort Summary'!$I$5:$I$14,MATCH($A103,'Cohort Summary'!$A$5:$A$14,0))</f>
        <v>-2.06274509803922</v>
      </c>
      <c r="L103" s="42" t="n">
        <f aca="false">(G103-INDEX('Cohort Summary'!$J$5:$J$14,MATCH($A103,'Cohort Summary'!$A$5:$A$14,0)))/INDEX('Cohort Summary'!$K$5:$K$14,MATCH($A103,'Cohort Summary'!$A$5:$A$14,0))</f>
        <v>1.20000000000001</v>
      </c>
      <c r="M103" s="42" t="n">
        <f aca="false">MAX(I103:K103)</f>
        <v>0.569131832797426</v>
      </c>
      <c r="N103" s="27" t="s">
        <v>197</v>
      </c>
      <c r="O103" s="27"/>
      <c r="P103" s="27" t="str">
        <f aca="false">A103&amp;"|"&amp;N103</f>
        <v>NURSE-01|normal</v>
      </c>
    </row>
    <row r="104" customFormat="false" ht="15" hidden="false" customHeight="true" outlineLevel="0" collapsed="false">
      <c r="A104" s="27" t="s">
        <v>66</v>
      </c>
      <c r="B104" s="41" t="n">
        <v>46303.3270833333</v>
      </c>
      <c r="C104" s="27" t="s">
        <v>200</v>
      </c>
      <c r="D104" s="27" t="n">
        <v>44.3</v>
      </c>
      <c r="E104" s="27" t="n">
        <v>21.3</v>
      </c>
      <c r="F104" s="27" t="n">
        <v>25.9</v>
      </c>
      <c r="G104" s="27" t="n">
        <v>33.1</v>
      </c>
      <c r="H104" s="27" t="s">
        <v>196</v>
      </c>
      <c r="I104" s="42" t="n">
        <f aca="false">(D104-INDEX('Cohort Summary'!$D$5:$D$14,MATCH($A104,'Cohort Summary'!$A$5:$A$14,0)))/INDEX('Cohort Summary'!$E$5:$E$14,MATCH($A104,'Cohort Summary'!$A$5:$A$14,0))</f>
        <v>1.37299035369775</v>
      </c>
      <c r="J104" s="42" t="n">
        <f aca="false">(E104-INDEX('Cohort Summary'!$F$5:$F$14,MATCH($A104,'Cohort Summary'!$A$5:$A$14,0)))/INDEX('Cohort Summary'!$G$5:$G$14,MATCH($A104,'Cohort Summary'!$A$5:$A$14,0))</f>
        <v>1.42783505154639</v>
      </c>
      <c r="K104" s="42" t="n">
        <f aca="false">(F104-INDEX('Cohort Summary'!$H$5:$H$14,MATCH($A104,'Cohort Summary'!$A$5:$A$14,0)))/INDEX('Cohort Summary'!$I$5:$I$14,MATCH($A104,'Cohort Summary'!$A$5:$A$14,0))</f>
        <v>-1.70980392156863</v>
      </c>
      <c r="L104" s="42" t="n">
        <f aca="false">(G104-INDEX('Cohort Summary'!$J$5:$J$14,MATCH($A104,'Cohort Summary'!$A$5:$A$14,0)))/INDEX('Cohort Summary'!$K$5:$K$14,MATCH($A104,'Cohort Summary'!$A$5:$A$14,0))</f>
        <v>0.290909090909098</v>
      </c>
      <c r="M104" s="42" t="n">
        <f aca="false">MAX(I104:K104)</f>
        <v>1.42783505154639</v>
      </c>
      <c r="N104" s="27" t="s">
        <v>197</v>
      </c>
      <c r="O104" s="27"/>
      <c r="P104" s="27" t="str">
        <f aca="false">A104&amp;"|"&amp;N104</f>
        <v>NURSE-01|normal</v>
      </c>
    </row>
    <row r="105" customFormat="false" ht="15" hidden="false" customHeight="true" outlineLevel="0" collapsed="false">
      <c r="A105" s="27" t="s">
        <v>66</v>
      </c>
      <c r="B105" s="41" t="n">
        <v>46303.3274305556</v>
      </c>
      <c r="C105" s="27" t="s">
        <v>200</v>
      </c>
      <c r="D105" s="27" t="n">
        <v>42.4</v>
      </c>
      <c r="E105" s="27" t="n">
        <v>16.8</v>
      </c>
      <c r="F105" s="27" t="n">
        <v>25.7</v>
      </c>
      <c r="G105" s="27" t="n">
        <v>32.5</v>
      </c>
      <c r="H105" s="27" t="s">
        <v>196</v>
      </c>
      <c r="I105" s="42" t="n">
        <f aca="false">(D105-INDEX('Cohort Summary'!$D$5:$D$14,MATCH($A105,'Cohort Summary'!$A$5:$A$14,0)))/INDEX('Cohort Summary'!$E$5:$E$14,MATCH($A105,'Cohort Summary'!$A$5:$A$14,0))</f>
        <v>0.762057877813504</v>
      </c>
      <c r="J105" s="42" t="n">
        <f aca="false">(E105-INDEX('Cohort Summary'!$F$5:$F$14,MATCH($A105,'Cohort Summary'!$A$5:$A$14,0)))/INDEX('Cohort Summary'!$G$5:$G$14,MATCH($A105,'Cohort Summary'!$A$5:$A$14,0))</f>
        <v>-0.891752577319588</v>
      </c>
      <c r="K105" s="42" t="n">
        <f aca="false">(F105-INDEX('Cohort Summary'!$H$5:$H$14,MATCH($A105,'Cohort Summary'!$A$5:$A$14,0)))/INDEX('Cohort Summary'!$I$5:$I$14,MATCH($A105,'Cohort Summary'!$A$5:$A$14,0))</f>
        <v>-1.78823529411765</v>
      </c>
      <c r="L105" s="42" t="n">
        <f aca="false">(G105-INDEX('Cohort Summary'!$J$5:$J$14,MATCH($A105,'Cohort Summary'!$A$5:$A$14,0)))/INDEX('Cohort Summary'!$K$5:$K$14,MATCH($A105,'Cohort Summary'!$A$5:$A$14,0))</f>
        <v>-0.799999999999996</v>
      </c>
      <c r="M105" s="42" t="n">
        <f aca="false">MAX(I105:K105)</f>
        <v>0.762057877813504</v>
      </c>
      <c r="N105" s="27" t="s">
        <v>197</v>
      </c>
      <c r="O105" s="27"/>
      <c r="P105" s="27" t="str">
        <f aca="false">A105&amp;"|"&amp;N105</f>
        <v>NURSE-01|normal</v>
      </c>
    </row>
    <row r="106" customFormat="false" ht="15" hidden="false" customHeight="true" outlineLevel="0" collapsed="false">
      <c r="A106" s="27" t="s">
        <v>66</v>
      </c>
      <c r="B106" s="41" t="n">
        <v>46303.3277777778</v>
      </c>
      <c r="C106" s="27" t="s">
        <v>200</v>
      </c>
      <c r="D106" s="27" t="n">
        <v>42.6</v>
      </c>
      <c r="E106" s="27" t="n">
        <v>16.6</v>
      </c>
      <c r="F106" s="27" t="n">
        <v>31.5</v>
      </c>
      <c r="G106" s="27" t="n">
        <v>32.9</v>
      </c>
      <c r="H106" s="27" t="s">
        <v>199</v>
      </c>
      <c r="I106" s="42" t="n">
        <f aca="false">(D106-INDEX('Cohort Summary'!$D$5:$D$14,MATCH($A106,'Cohort Summary'!$A$5:$A$14,0)))/INDEX('Cohort Summary'!$E$5:$E$14,MATCH($A106,'Cohort Summary'!$A$5:$A$14,0))</f>
        <v>0.826366559485531</v>
      </c>
      <c r="J106" s="42" t="n">
        <f aca="false">(E106-INDEX('Cohort Summary'!$F$5:$F$14,MATCH($A106,'Cohort Summary'!$A$5:$A$14,0)))/INDEX('Cohort Summary'!$G$5:$G$14,MATCH($A106,'Cohort Summary'!$A$5:$A$14,0))</f>
        <v>-0.994845360824742</v>
      </c>
      <c r="K106" s="42" t="n">
        <f aca="false">(F106-INDEX('Cohort Summary'!$H$5:$H$14,MATCH($A106,'Cohort Summary'!$A$5:$A$14,0)))/INDEX('Cohort Summary'!$I$5:$I$14,MATCH($A106,'Cohort Summary'!$A$5:$A$14,0))</f>
        <v>0.486274509803921</v>
      </c>
      <c r="L106" s="42" t="n">
        <f aca="false">(G106-INDEX('Cohort Summary'!$J$5:$J$14,MATCH($A106,'Cohort Summary'!$A$5:$A$14,0)))/INDEX('Cohort Summary'!$K$5:$K$14,MATCH($A106,'Cohort Summary'!$A$5:$A$14,0))</f>
        <v>-0.0727272727272712</v>
      </c>
      <c r="M106" s="42" t="n">
        <f aca="false">MAX(I106:K106)</f>
        <v>0.826366559485531</v>
      </c>
      <c r="N106" s="27" t="s">
        <v>197</v>
      </c>
      <c r="O106" s="27"/>
      <c r="P106" s="27" t="str">
        <f aca="false">A106&amp;"|"&amp;N106</f>
        <v>NURSE-01|normal</v>
      </c>
    </row>
    <row r="107" customFormat="false" ht="15" hidden="false" customHeight="true" outlineLevel="0" collapsed="false">
      <c r="A107" s="27" t="s">
        <v>66</v>
      </c>
      <c r="B107" s="41" t="n">
        <v>46303.328125</v>
      </c>
      <c r="C107" s="27" t="s">
        <v>200</v>
      </c>
      <c r="D107" s="27" t="n">
        <v>35.8</v>
      </c>
      <c r="E107" s="27" t="n">
        <v>21.4</v>
      </c>
      <c r="F107" s="27" t="n">
        <v>27.9</v>
      </c>
      <c r="G107" s="27" t="n">
        <v>32.1</v>
      </c>
      <c r="H107" s="27" t="s">
        <v>196</v>
      </c>
      <c r="I107" s="42" t="n">
        <f aca="false">(D107-INDEX('Cohort Summary'!$D$5:$D$14,MATCH($A107,'Cohort Summary'!$A$5:$A$14,0)))/INDEX('Cohort Summary'!$E$5:$E$14,MATCH($A107,'Cohort Summary'!$A$5:$A$14,0))</f>
        <v>-1.36012861736335</v>
      </c>
      <c r="J107" s="42" t="n">
        <f aca="false">(E107-INDEX('Cohort Summary'!$F$5:$F$14,MATCH($A107,'Cohort Summary'!$A$5:$A$14,0)))/INDEX('Cohort Summary'!$G$5:$G$14,MATCH($A107,'Cohort Summary'!$A$5:$A$14,0))</f>
        <v>1.47938144329897</v>
      </c>
      <c r="K107" s="42" t="n">
        <f aca="false">(F107-INDEX('Cohort Summary'!$H$5:$H$14,MATCH($A107,'Cohort Summary'!$A$5:$A$14,0)))/INDEX('Cohort Summary'!$I$5:$I$14,MATCH($A107,'Cohort Summary'!$A$5:$A$14,0))</f>
        <v>-0.925490196078433</v>
      </c>
      <c r="L107" s="42" t="n">
        <f aca="false">(G107-INDEX('Cohort Summary'!$J$5:$J$14,MATCH($A107,'Cohort Summary'!$A$5:$A$14,0)))/INDEX('Cohort Summary'!$K$5:$K$14,MATCH($A107,'Cohort Summary'!$A$5:$A$14,0))</f>
        <v>-1.52727272727272</v>
      </c>
      <c r="M107" s="42" t="n">
        <f aca="false">MAX(I107:K107)</f>
        <v>1.47938144329897</v>
      </c>
      <c r="N107" s="27" t="s">
        <v>197</v>
      </c>
      <c r="O107" s="27"/>
      <c r="P107" s="27" t="str">
        <f aca="false">A107&amp;"|"&amp;N107</f>
        <v>NURSE-01|normal</v>
      </c>
    </row>
    <row r="108" customFormat="false" ht="15" hidden="false" customHeight="true" outlineLevel="0" collapsed="false">
      <c r="A108" s="27" t="s">
        <v>66</v>
      </c>
      <c r="B108" s="41" t="n">
        <v>46303.3284722222</v>
      </c>
      <c r="C108" s="27" t="s">
        <v>200</v>
      </c>
      <c r="D108" s="27" t="n">
        <v>41.4</v>
      </c>
      <c r="E108" s="27" t="n">
        <v>15.5</v>
      </c>
      <c r="F108" s="27" t="n">
        <v>26.5</v>
      </c>
      <c r="G108" s="27" t="n">
        <v>32.5</v>
      </c>
      <c r="H108" s="27" t="s">
        <v>196</v>
      </c>
      <c r="I108" s="42" t="n">
        <f aca="false">(D108-INDEX('Cohort Summary'!$D$5:$D$14,MATCH($A108,'Cohort Summary'!$A$5:$A$14,0)))/INDEX('Cohort Summary'!$E$5:$E$14,MATCH($A108,'Cohort Summary'!$A$5:$A$14,0))</f>
        <v>0.440514469453375</v>
      </c>
      <c r="J108" s="42" t="n">
        <f aca="false">(E108-INDEX('Cohort Summary'!$F$5:$F$14,MATCH($A108,'Cohort Summary'!$A$5:$A$14,0)))/INDEX('Cohort Summary'!$G$5:$G$14,MATCH($A108,'Cohort Summary'!$A$5:$A$14,0))</f>
        <v>-1.56185567010309</v>
      </c>
      <c r="K108" s="42" t="n">
        <f aca="false">(F108-INDEX('Cohort Summary'!$H$5:$H$14,MATCH($A108,'Cohort Summary'!$A$5:$A$14,0)))/INDEX('Cohort Summary'!$I$5:$I$14,MATCH($A108,'Cohort Summary'!$A$5:$A$14,0))</f>
        <v>-1.47450980392157</v>
      </c>
      <c r="L108" s="42" t="n">
        <f aca="false">(G108-INDEX('Cohort Summary'!$J$5:$J$14,MATCH($A108,'Cohort Summary'!$A$5:$A$14,0)))/INDEX('Cohort Summary'!$K$5:$K$14,MATCH($A108,'Cohort Summary'!$A$5:$A$14,0))</f>
        <v>-0.799999999999996</v>
      </c>
      <c r="M108" s="42" t="n">
        <f aca="false">MAX(I108:K108)</f>
        <v>0.440514469453375</v>
      </c>
      <c r="N108" s="27" t="s">
        <v>197</v>
      </c>
      <c r="O108" s="27"/>
      <c r="P108" s="27" t="str">
        <f aca="false">A108&amp;"|"&amp;N108</f>
        <v>NURSE-01|normal</v>
      </c>
    </row>
    <row r="109" customFormat="false" ht="15" hidden="false" customHeight="true" outlineLevel="0" collapsed="false">
      <c r="A109" s="27" t="s">
        <v>66</v>
      </c>
      <c r="B109" s="41" t="n">
        <v>46303.3288194445</v>
      </c>
      <c r="C109" s="27" t="s">
        <v>200</v>
      </c>
      <c r="D109" s="27" t="n">
        <v>41.9</v>
      </c>
      <c r="E109" s="27" t="n">
        <v>19.3</v>
      </c>
      <c r="F109" s="27" t="n">
        <v>26.3</v>
      </c>
      <c r="G109" s="27" t="n">
        <v>33</v>
      </c>
      <c r="H109" s="27" t="s">
        <v>199</v>
      </c>
      <c r="I109" s="42" t="n">
        <f aca="false">(D109-INDEX('Cohort Summary'!$D$5:$D$14,MATCH($A109,'Cohort Summary'!$A$5:$A$14,0)))/INDEX('Cohort Summary'!$E$5:$E$14,MATCH($A109,'Cohort Summary'!$A$5:$A$14,0))</f>
        <v>0.60128617363344</v>
      </c>
      <c r="J109" s="42" t="n">
        <f aca="false">(E109-INDEX('Cohort Summary'!$F$5:$F$14,MATCH($A109,'Cohort Summary'!$A$5:$A$14,0)))/INDEX('Cohort Summary'!$G$5:$G$14,MATCH($A109,'Cohort Summary'!$A$5:$A$14,0))</f>
        <v>0.396907216494845</v>
      </c>
      <c r="K109" s="42" t="n">
        <f aca="false">(F109-INDEX('Cohort Summary'!$H$5:$H$14,MATCH($A109,'Cohort Summary'!$A$5:$A$14,0)))/INDEX('Cohort Summary'!$I$5:$I$14,MATCH($A109,'Cohort Summary'!$A$5:$A$14,0))</f>
        <v>-1.55294117647059</v>
      </c>
      <c r="L109" s="42" t="n">
        <f aca="false">(G109-INDEX('Cohort Summary'!$J$5:$J$14,MATCH($A109,'Cohort Summary'!$A$5:$A$14,0)))/INDEX('Cohort Summary'!$K$5:$K$14,MATCH($A109,'Cohort Summary'!$A$5:$A$14,0))</f>
        <v>0.109090909090913</v>
      </c>
      <c r="M109" s="42" t="n">
        <f aca="false">MAX(I109:K109)</f>
        <v>0.60128617363344</v>
      </c>
      <c r="N109" s="27" t="s">
        <v>197</v>
      </c>
      <c r="O109" s="27"/>
      <c r="P109" s="27" t="str">
        <f aca="false">A109&amp;"|"&amp;N109</f>
        <v>NURSE-01|normal</v>
      </c>
    </row>
    <row r="110" customFormat="false" ht="15" hidden="false" customHeight="true" outlineLevel="0" collapsed="false">
      <c r="A110" s="27" t="s">
        <v>66</v>
      </c>
      <c r="B110" s="41" t="n">
        <v>46303.3291666667</v>
      </c>
      <c r="C110" s="27" t="s">
        <v>200</v>
      </c>
      <c r="D110" s="27" t="n">
        <v>37.7</v>
      </c>
      <c r="E110" s="27" t="n">
        <v>19.7</v>
      </c>
      <c r="F110" s="27" t="n">
        <v>31.9</v>
      </c>
      <c r="G110" s="27" t="n">
        <v>33.4</v>
      </c>
      <c r="H110" s="27" t="s">
        <v>199</v>
      </c>
      <c r="I110" s="42" t="n">
        <f aca="false">(D110-INDEX('Cohort Summary'!$D$5:$D$14,MATCH($A110,'Cohort Summary'!$A$5:$A$14,0)))/INDEX('Cohort Summary'!$E$5:$E$14,MATCH($A110,'Cohort Summary'!$A$5:$A$14,0))</f>
        <v>-0.749196141479099</v>
      </c>
      <c r="J110" s="42" t="n">
        <f aca="false">(E110-INDEX('Cohort Summary'!$F$5:$F$14,MATCH($A110,'Cohort Summary'!$A$5:$A$14,0)))/INDEX('Cohort Summary'!$G$5:$G$14,MATCH($A110,'Cohort Summary'!$A$5:$A$14,0))</f>
        <v>0.603092783505154</v>
      </c>
      <c r="K110" s="42" t="n">
        <f aca="false">(F110-INDEX('Cohort Summary'!$H$5:$H$14,MATCH($A110,'Cohort Summary'!$A$5:$A$14,0)))/INDEX('Cohort Summary'!$I$5:$I$14,MATCH($A110,'Cohort Summary'!$A$5:$A$14,0))</f>
        <v>0.64313725490196</v>
      </c>
      <c r="L110" s="42" t="n">
        <f aca="false">(G110-INDEX('Cohort Summary'!$J$5:$J$14,MATCH($A110,'Cohort Summary'!$A$5:$A$14,0)))/INDEX('Cohort Summary'!$K$5:$K$14,MATCH($A110,'Cohort Summary'!$A$5:$A$14,0))</f>
        <v>0.836363636363638</v>
      </c>
      <c r="M110" s="42" t="n">
        <f aca="false">MAX(I110:K110)</f>
        <v>0.64313725490196</v>
      </c>
      <c r="N110" s="27" t="s">
        <v>197</v>
      </c>
      <c r="O110" s="27"/>
      <c r="P110" s="27" t="str">
        <f aca="false">A110&amp;"|"&amp;N110</f>
        <v>NURSE-01|normal</v>
      </c>
    </row>
    <row r="111" customFormat="false" ht="15" hidden="false" customHeight="true" outlineLevel="0" collapsed="false">
      <c r="A111" s="27" t="s">
        <v>66</v>
      </c>
      <c r="B111" s="41" t="n">
        <v>46303.3295138889</v>
      </c>
      <c r="C111" s="27" t="s">
        <v>200</v>
      </c>
      <c r="D111" s="27" t="n">
        <v>42.1</v>
      </c>
      <c r="E111" s="27" t="n">
        <v>17</v>
      </c>
      <c r="F111" s="27" t="n">
        <v>29.7</v>
      </c>
      <c r="G111" s="27" t="n">
        <v>33.5</v>
      </c>
      <c r="H111" s="27" t="s">
        <v>196</v>
      </c>
      <c r="I111" s="42" t="n">
        <f aca="false">(D111-INDEX('Cohort Summary'!$D$5:$D$14,MATCH($A111,'Cohort Summary'!$A$5:$A$14,0)))/INDEX('Cohort Summary'!$E$5:$E$14,MATCH($A111,'Cohort Summary'!$A$5:$A$14,0))</f>
        <v>0.665594855305466</v>
      </c>
      <c r="J111" s="42" t="n">
        <f aca="false">(E111-INDEX('Cohort Summary'!$F$5:$F$14,MATCH($A111,'Cohort Summary'!$A$5:$A$14,0)))/INDEX('Cohort Summary'!$G$5:$G$14,MATCH($A111,'Cohort Summary'!$A$5:$A$14,0))</f>
        <v>-0.788659793814434</v>
      </c>
      <c r="K111" s="42" t="n">
        <f aca="false">(F111-INDEX('Cohort Summary'!$H$5:$H$14,MATCH($A111,'Cohort Summary'!$A$5:$A$14,0)))/INDEX('Cohort Summary'!$I$5:$I$14,MATCH($A111,'Cohort Summary'!$A$5:$A$14,0))</f>
        <v>-0.219607843137256</v>
      </c>
      <c r="L111" s="42" t="n">
        <f aca="false">(G111-INDEX('Cohort Summary'!$J$5:$J$14,MATCH($A111,'Cohort Summary'!$A$5:$A$14,0)))/INDEX('Cohort Summary'!$K$5:$K$14,MATCH($A111,'Cohort Summary'!$A$5:$A$14,0))</f>
        <v>1.01818181818182</v>
      </c>
      <c r="M111" s="42" t="n">
        <f aca="false">MAX(I111:K111)</f>
        <v>0.665594855305466</v>
      </c>
      <c r="N111" s="27" t="s">
        <v>197</v>
      </c>
      <c r="O111" s="27"/>
      <c r="P111" s="27" t="str">
        <f aca="false">A111&amp;"|"&amp;N111</f>
        <v>NURSE-01|normal</v>
      </c>
    </row>
    <row r="112" customFormat="false" ht="15" hidden="false" customHeight="true" outlineLevel="0" collapsed="false">
      <c r="A112" s="27" t="s">
        <v>66</v>
      </c>
      <c r="B112" s="41" t="n">
        <v>46303.3298611111</v>
      </c>
      <c r="C112" s="27" t="s">
        <v>200</v>
      </c>
      <c r="D112" s="27" t="n">
        <v>37</v>
      </c>
      <c r="E112" s="27" t="n">
        <v>21.8</v>
      </c>
      <c r="F112" s="27" t="n">
        <v>34.4</v>
      </c>
      <c r="G112" s="27" t="n">
        <v>32</v>
      </c>
      <c r="H112" s="27" t="s">
        <v>199</v>
      </c>
      <c r="I112" s="42" t="n">
        <f aca="false">(D112-INDEX('Cohort Summary'!$D$5:$D$14,MATCH($A112,'Cohort Summary'!$A$5:$A$14,0)))/INDEX('Cohort Summary'!$E$5:$E$14,MATCH($A112,'Cohort Summary'!$A$5:$A$14,0))</f>
        <v>-0.97427652733119</v>
      </c>
      <c r="J112" s="42" t="n">
        <f aca="false">(E112-INDEX('Cohort Summary'!$F$5:$F$14,MATCH($A112,'Cohort Summary'!$A$5:$A$14,0)))/INDEX('Cohort Summary'!$G$5:$G$14,MATCH($A112,'Cohort Summary'!$A$5:$A$14,0))</f>
        <v>1.68556701030928</v>
      </c>
      <c r="K112" s="42" t="n">
        <f aca="false">(F112-INDEX('Cohort Summary'!$H$5:$H$14,MATCH($A112,'Cohort Summary'!$A$5:$A$14,0)))/INDEX('Cohort Summary'!$I$5:$I$14,MATCH($A112,'Cohort Summary'!$A$5:$A$14,0))</f>
        <v>1.6235294117647</v>
      </c>
      <c r="L112" s="42" t="n">
        <f aca="false">(G112-INDEX('Cohort Summary'!$J$5:$J$14,MATCH($A112,'Cohort Summary'!$A$5:$A$14,0)))/INDEX('Cohort Summary'!$K$5:$K$14,MATCH($A112,'Cohort Summary'!$A$5:$A$14,0))</f>
        <v>-1.7090909090909</v>
      </c>
      <c r="M112" s="42" t="n">
        <f aca="false">MAX(I112:K112)</f>
        <v>1.68556701030928</v>
      </c>
      <c r="N112" s="27" t="s">
        <v>197</v>
      </c>
      <c r="O112" s="27"/>
      <c r="P112" s="27" t="str">
        <f aca="false">A112&amp;"|"&amp;N112</f>
        <v>NURSE-01|normal</v>
      </c>
    </row>
    <row r="113" customFormat="false" ht="15" hidden="false" customHeight="true" outlineLevel="0" collapsed="false">
      <c r="A113" s="27" t="s">
        <v>66</v>
      </c>
      <c r="B113" s="41" t="n">
        <v>46303.3302083333</v>
      </c>
      <c r="C113" s="27" t="s">
        <v>200</v>
      </c>
      <c r="D113" s="27" t="n">
        <v>35.8</v>
      </c>
      <c r="E113" s="27" t="n">
        <v>18.5</v>
      </c>
      <c r="F113" s="27" t="n">
        <v>34.9</v>
      </c>
      <c r="G113" s="27" t="n">
        <v>34</v>
      </c>
      <c r="H113" s="27" t="s">
        <v>199</v>
      </c>
      <c r="I113" s="42" t="n">
        <f aca="false">(D113-INDEX('Cohort Summary'!$D$5:$D$14,MATCH($A113,'Cohort Summary'!$A$5:$A$14,0)))/INDEX('Cohort Summary'!$E$5:$E$14,MATCH($A113,'Cohort Summary'!$A$5:$A$14,0))</f>
        <v>-1.36012861736335</v>
      </c>
      <c r="J113" s="42" t="n">
        <f aca="false">(E113-INDEX('Cohort Summary'!$F$5:$F$14,MATCH($A113,'Cohort Summary'!$A$5:$A$14,0)))/INDEX('Cohort Summary'!$G$5:$G$14,MATCH($A113,'Cohort Summary'!$A$5:$A$14,0))</f>
        <v>-0.0154639175257738</v>
      </c>
      <c r="K113" s="42" t="n">
        <f aca="false">(F113-INDEX('Cohort Summary'!$H$5:$H$14,MATCH($A113,'Cohort Summary'!$A$5:$A$14,0)))/INDEX('Cohort Summary'!$I$5:$I$14,MATCH($A113,'Cohort Summary'!$A$5:$A$14,0))</f>
        <v>1.81960784313725</v>
      </c>
      <c r="L113" s="42" t="n">
        <f aca="false">(G113-INDEX('Cohort Summary'!$J$5:$J$14,MATCH($A113,'Cohort Summary'!$A$5:$A$14,0)))/INDEX('Cohort Summary'!$K$5:$K$14,MATCH($A113,'Cohort Summary'!$A$5:$A$14,0))</f>
        <v>1.92727272727273</v>
      </c>
      <c r="M113" s="42" t="n">
        <f aca="false">MAX(I113:K113)</f>
        <v>1.81960784313725</v>
      </c>
      <c r="N113" s="27" t="s">
        <v>197</v>
      </c>
      <c r="O113" s="27"/>
      <c r="P113" s="27" t="str">
        <f aca="false">A113&amp;"|"&amp;N113</f>
        <v>NURSE-01|normal</v>
      </c>
    </row>
    <row r="114" customFormat="false" ht="15" hidden="false" customHeight="true" outlineLevel="0" collapsed="false">
      <c r="A114" s="27" t="s">
        <v>66</v>
      </c>
      <c r="B114" s="41" t="n">
        <v>46303.3305555556</v>
      </c>
      <c r="C114" s="27" t="s">
        <v>200</v>
      </c>
      <c r="D114" s="27" t="n">
        <v>37.1</v>
      </c>
      <c r="E114" s="27" t="n">
        <v>21.6</v>
      </c>
      <c r="F114" s="27" t="n">
        <v>27.1</v>
      </c>
      <c r="G114" s="27" t="n">
        <v>33.2</v>
      </c>
      <c r="H114" s="27" t="s">
        <v>198</v>
      </c>
      <c r="I114" s="42" t="n">
        <f aca="false">(D114-INDEX('Cohort Summary'!$D$5:$D$14,MATCH($A114,'Cohort Summary'!$A$5:$A$14,0)))/INDEX('Cohort Summary'!$E$5:$E$14,MATCH($A114,'Cohort Summary'!$A$5:$A$14,0))</f>
        <v>-0.942122186495177</v>
      </c>
      <c r="J114" s="42" t="n">
        <f aca="false">(E114-INDEX('Cohort Summary'!$F$5:$F$14,MATCH($A114,'Cohort Summary'!$A$5:$A$14,0)))/INDEX('Cohort Summary'!$G$5:$G$14,MATCH($A114,'Cohort Summary'!$A$5:$A$14,0))</f>
        <v>1.58247422680412</v>
      </c>
      <c r="K114" s="42" t="n">
        <f aca="false">(F114-INDEX('Cohort Summary'!$H$5:$H$14,MATCH($A114,'Cohort Summary'!$A$5:$A$14,0)))/INDEX('Cohort Summary'!$I$5:$I$14,MATCH($A114,'Cohort Summary'!$A$5:$A$14,0))</f>
        <v>-1.23921568627451</v>
      </c>
      <c r="L114" s="42" t="n">
        <f aca="false">(G114-INDEX('Cohort Summary'!$J$5:$J$14,MATCH($A114,'Cohort Summary'!$A$5:$A$14,0)))/INDEX('Cohort Summary'!$K$5:$K$14,MATCH($A114,'Cohort Summary'!$A$5:$A$14,0))</f>
        <v>0.472727272727282</v>
      </c>
      <c r="M114" s="42" t="n">
        <f aca="false">MAX(I114:K114)</f>
        <v>1.58247422680412</v>
      </c>
      <c r="N114" s="27" t="s">
        <v>197</v>
      </c>
      <c r="O114" s="27"/>
      <c r="P114" s="27" t="str">
        <f aca="false">A114&amp;"|"&amp;N114</f>
        <v>NURSE-01|normal</v>
      </c>
    </row>
    <row r="115" customFormat="false" ht="15" hidden="false" customHeight="true" outlineLevel="0" collapsed="false">
      <c r="A115" s="27" t="s">
        <v>66</v>
      </c>
      <c r="B115" s="41" t="n">
        <v>46303.3309027778</v>
      </c>
      <c r="C115" s="27" t="s">
        <v>200</v>
      </c>
      <c r="D115" s="27" t="n">
        <v>42.5</v>
      </c>
      <c r="E115" s="27" t="n">
        <v>16.8</v>
      </c>
      <c r="F115" s="27" t="n">
        <v>28.6</v>
      </c>
      <c r="G115" s="27" t="n">
        <v>33.2</v>
      </c>
      <c r="H115" s="27" t="s">
        <v>196</v>
      </c>
      <c r="I115" s="42" t="n">
        <f aca="false">(D115-INDEX('Cohort Summary'!$D$5:$D$14,MATCH($A115,'Cohort Summary'!$A$5:$A$14,0)))/INDEX('Cohort Summary'!$E$5:$E$14,MATCH($A115,'Cohort Summary'!$A$5:$A$14,0))</f>
        <v>0.794212218649517</v>
      </c>
      <c r="J115" s="42" t="n">
        <f aca="false">(E115-INDEX('Cohort Summary'!$F$5:$F$14,MATCH($A115,'Cohort Summary'!$A$5:$A$14,0)))/INDEX('Cohort Summary'!$G$5:$G$14,MATCH($A115,'Cohort Summary'!$A$5:$A$14,0))</f>
        <v>-0.891752577319588</v>
      </c>
      <c r="K115" s="42" t="n">
        <f aca="false">(F115-INDEX('Cohort Summary'!$H$5:$H$14,MATCH($A115,'Cohort Summary'!$A$5:$A$14,0)))/INDEX('Cohort Summary'!$I$5:$I$14,MATCH($A115,'Cohort Summary'!$A$5:$A$14,0))</f>
        <v>-0.650980392156863</v>
      </c>
      <c r="L115" s="42" t="n">
        <f aca="false">(G115-INDEX('Cohort Summary'!$J$5:$J$14,MATCH($A115,'Cohort Summary'!$A$5:$A$14,0)))/INDEX('Cohort Summary'!$K$5:$K$14,MATCH($A115,'Cohort Summary'!$A$5:$A$14,0))</f>
        <v>0.472727272727282</v>
      </c>
      <c r="M115" s="42" t="n">
        <f aca="false">MAX(I115:K115)</f>
        <v>0.794212218649517</v>
      </c>
      <c r="N115" s="27" t="s">
        <v>197</v>
      </c>
      <c r="O115" s="27"/>
      <c r="P115" s="27" t="str">
        <f aca="false">A115&amp;"|"&amp;N115</f>
        <v>NURSE-01|normal</v>
      </c>
    </row>
    <row r="116" customFormat="false" ht="15" hidden="false" customHeight="true" outlineLevel="0" collapsed="false">
      <c r="A116" s="27" t="s">
        <v>66</v>
      </c>
      <c r="B116" s="41" t="n">
        <v>46303.33125</v>
      </c>
      <c r="C116" s="27" t="s">
        <v>200</v>
      </c>
      <c r="D116" s="27" t="n">
        <v>40.1</v>
      </c>
      <c r="E116" s="27" t="n">
        <v>21.2</v>
      </c>
      <c r="F116" s="27" t="n">
        <v>32</v>
      </c>
      <c r="G116" s="27" t="n">
        <v>32.5</v>
      </c>
      <c r="H116" s="27" t="s">
        <v>199</v>
      </c>
      <c r="I116" s="42" t="n">
        <f aca="false">(D116-INDEX('Cohort Summary'!$D$5:$D$14,MATCH($A116,'Cohort Summary'!$A$5:$A$14,0)))/INDEX('Cohort Summary'!$E$5:$E$14,MATCH($A116,'Cohort Summary'!$A$5:$A$14,0))</f>
        <v>0.0225080385852091</v>
      </c>
      <c r="J116" s="42" t="n">
        <f aca="false">(E116-INDEX('Cohort Summary'!$F$5:$F$14,MATCH($A116,'Cohort Summary'!$A$5:$A$14,0)))/INDEX('Cohort Summary'!$G$5:$G$14,MATCH($A116,'Cohort Summary'!$A$5:$A$14,0))</f>
        <v>1.37628865979381</v>
      </c>
      <c r="K116" s="42" t="n">
        <f aca="false">(F116-INDEX('Cohort Summary'!$H$5:$H$14,MATCH($A116,'Cohort Summary'!$A$5:$A$14,0)))/INDEX('Cohort Summary'!$I$5:$I$14,MATCH($A116,'Cohort Summary'!$A$5:$A$14,0))</f>
        <v>0.68235294117647</v>
      </c>
      <c r="L116" s="42" t="n">
        <f aca="false">(G116-INDEX('Cohort Summary'!$J$5:$J$14,MATCH($A116,'Cohort Summary'!$A$5:$A$14,0)))/INDEX('Cohort Summary'!$K$5:$K$14,MATCH($A116,'Cohort Summary'!$A$5:$A$14,0))</f>
        <v>-0.799999999999996</v>
      </c>
      <c r="M116" s="42" t="n">
        <f aca="false">MAX(I116:K116)</f>
        <v>1.37628865979381</v>
      </c>
      <c r="N116" s="27" t="s">
        <v>197</v>
      </c>
      <c r="O116" s="27"/>
      <c r="P116" s="27" t="str">
        <f aca="false">A116&amp;"|"&amp;N116</f>
        <v>NURSE-01|normal</v>
      </c>
    </row>
    <row r="117" customFormat="false" ht="15" hidden="false" customHeight="true" outlineLevel="0" collapsed="false">
      <c r="A117" s="27" t="s">
        <v>66</v>
      </c>
      <c r="B117" s="41" t="n">
        <v>46303.3315972222</v>
      </c>
      <c r="C117" s="27" t="s">
        <v>200</v>
      </c>
      <c r="D117" s="27" t="n">
        <v>38.9</v>
      </c>
      <c r="E117" s="27" t="n">
        <v>16.1</v>
      </c>
      <c r="F117" s="27" t="n">
        <v>34.5</v>
      </c>
      <c r="G117" s="27" t="n">
        <v>33.4</v>
      </c>
      <c r="H117" s="27" t="s">
        <v>199</v>
      </c>
      <c r="I117" s="42" t="n">
        <f aca="false">(D117-INDEX('Cohort Summary'!$D$5:$D$14,MATCH($A117,'Cohort Summary'!$A$5:$A$14,0)))/INDEX('Cohort Summary'!$E$5:$E$14,MATCH($A117,'Cohort Summary'!$A$5:$A$14,0))</f>
        <v>-0.363344051446946</v>
      </c>
      <c r="J117" s="42" t="n">
        <f aca="false">(E117-INDEX('Cohort Summary'!$F$5:$F$14,MATCH($A117,'Cohort Summary'!$A$5:$A$14,0)))/INDEX('Cohort Summary'!$G$5:$G$14,MATCH($A117,'Cohort Summary'!$A$5:$A$14,0))</f>
        <v>-1.25257731958763</v>
      </c>
      <c r="K117" s="42" t="n">
        <f aca="false">(F117-INDEX('Cohort Summary'!$H$5:$H$14,MATCH($A117,'Cohort Summary'!$A$5:$A$14,0)))/INDEX('Cohort Summary'!$I$5:$I$14,MATCH($A117,'Cohort Summary'!$A$5:$A$14,0))</f>
        <v>1.66274509803922</v>
      </c>
      <c r="L117" s="42" t="n">
        <f aca="false">(G117-INDEX('Cohort Summary'!$J$5:$J$14,MATCH($A117,'Cohort Summary'!$A$5:$A$14,0)))/INDEX('Cohort Summary'!$K$5:$K$14,MATCH($A117,'Cohort Summary'!$A$5:$A$14,0))</f>
        <v>0.836363636363638</v>
      </c>
      <c r="M117" s="42" t="n">
        <f aca="false">MAX(I117:K117)</f>
        <v>1.66274509803922</v>
      </c>
      <c r="N117" s="27" t="s">
        <v>197</v>
      </c>
      <c r="O117" s="27"/>
      <c r="P117" s="27" t="str">
        <f aca="false">A117&amp;"|"&amp;N117</f>
        <v>NURSE-01|normal</v>
      </c>
    </row>
    <row r="118" customFormat="false" ht="15" hidden="false" customHeight="true" outlineLevel="0" collapsed="false">
      <c r="A118" s="27" t="s">
        <v>66</v>
      </c>
      <c r="B118" s="41" t="n">
        <v>46303.3319444444</v>
      </c>
      <c r="C118" s="27" t="s">
        <v>200</v>
      </c>
      <c r="D118" s="27" t="n">
        <v>38</v>
      </c>
      <c r="E118" s="27" t="n">
        <v>16</v>
      </c>
      <c r="F118" s="27" t="n">
        <v>28.4</v>
      </c>
      <c r="G118" s="27" t="n">
        <v>32.6</v>
      </c>
      <c r="H118" s="27" t="s">
        <v>199</v>
      </c>
      <c r="I118" s="42" t="n">
        <f aca="false">(D118-INDEX('Cohort Summary'!$D$5:$D$14,MATCH($A118,'Cohort Summary'!$A$5:$A$14,0)))/INDEX('Cohort Summary'!$E$5:$E$14,MATCH($A118,'Cohort Summary'!$A$5:$A$14,0))</f>
        <v>-0.652733118971062</v>
      </c>
      <c r="J118" s="42" t="n">
        <f aca="false">(E118-INDEX('Cohort Summary'!$F$5:$F$14,MATCH($A118,'Cohort Summary'!$A$5:$A$14,0)))/INDEX('Cohort Summary'!$G$5:$G$14,MATCH($A118,'Cohort Summary'!$A$5:$A$14,0))</f>
        <v>-1.30412371134021</v>
      </c>
      <c r="K118" s="42" t="n">
        <f aca="false">(F118-INDEX('Cohort Summary'!$H$5:$H$14,MATCH($A118,'Cohort Summary'!$A$5:$A$14,0)))/INDEX('Cohort Summary'!$I$5:$I$14,MATCH($A118,'Cohort Summary'!$A$5:$A$14,0))</f>
        <v>-0.729411764705884</v>
      </c>
      <c r="L118" s="42" t="n">
        <f aca="false">(G118-INDEX('Cohort Summary'!$J$5:$J$14,MATCH($A118,'Cohort Summary'!$A$5:$A$14,0)))/INDEX('Cohort Summary'!$K$5:$K$14,MATCH($A118,'Cohort Summary'!$A$5:$A$14,0))</f>
        <v>-0.618181818181811</v>
      </c>
      <c r="M118" s="42" t="n">
        <f aca="false">MAX(I118:K118)</f>
        <v>-0.652733118971062</v>
      </c>
      <c r="N118" s="27" t="s">
        <v>197</v>
      </c>
      <c r="O118" s="27"/>
      <c r="P118" s="27" t="str">
        <f aca="false">A118&amp;"|"&amp;N118</f>
        <v>NURSE-01|normal</v>
      </c>
    </row>
    <row r="119" customFormat="false" ht="15" hidden="false" customHeight="true" outlineLevel="0" collapsed="false">
      <c r="A119" s="27" t="s">
        <v>66</v>
      </c>
      <c r="B119" s="41" t="n">
        <v>46303.3322916667</v>
      </c>
      <c r="C119" s="27" t="s">
        <v>200</v>
      </c>
      <c r="D119" s="27" t="n">
        <v>35</v>
      </c>
      <c r="E119" s="27" t="n">
        <v>20.3</v>
      </c>
      <c r="F119" s="27" t="n">
        <v>33.4</v>
      </c>
      <c r="G119" s="27" t="n">
        <v>32.2</v>
      </c>
      <c r="H119" s="27" t="s">
        <v>198</v>
      </c>
      <c r="I119" s="42" t="n">
        <f aca="false">(D119-INDEX('Cohort Summary'!$D$5:$D$14,MATCH($A119,'Cohort Summary'!$A$5:$A$14,0)))/INDEX('Cohort Summary'!$E$5:$E$14,MATCH($A119,'Cohort Summary'!$A$5:$A$14,0))</f>
        <v>-1.61736334405145</v>
      </c>
      <c r="J119" s="42" t="n">
        <f aca="false">(E119-INDEX('Cohort Summary'!$F$5:$F$14,MATCH($A119,'Cohort Summary'!$A$5:$A$14,0)))/INDEX('Cohort Summary'!$G$5:$G$14,MATCH($A119,'Cohort Summary'!$A$5:$A$14,0))</f>
        <v>0.912371134020618</v>
      </c>
      <c r="K119" s="42" t="n">
        <f aca="false">(F119-INDEX('Cohort Summary'!$H$5:$H$14,MATCH($A119,'Cohort Summary'!$A$5:$A$14,0)))/INDEX('Cohort Summary'!$I$5:$I$14,MATCH($A119,'Cohort Summary'!$A$5:$A$14,0))</f>
        <v>1.23137254901961</v>
      </c>
      <c r="L119" s="42" t="n">
        <f aca="false">(G119-INDEX('Cohort Summary'!$J$5:$J$14,MATCH($A119,'Cohort Summary'!$A$5:$A$14,0)))/INDEX('Cohort Summary'!$K$5:$K$14,MATCH($A119,'Cohort Summary'!$A$5:$A$14,0))</f>
        <v>-1.34545454545454</v>
      </c>
      <c r="M119" s="42" t="n">
        <f aca="false">MAX(I119:K119)</f>
        <v>1.23137254901961</v>
      </c>
      <c r="N119" s="27" t="s">
        <v>197</v>
      </c>
      <c r="O119" s="27"/>
      <c r="P119" s="27" t="str">
        <f aca="false">A119&amp;"|"&amp;N119</f>
        <v>NURSE-01|normal</v>
      </c>
    </row>
    <row r="120" customFormat="false" ht="15" hidden="false" customHeight="true" outlineLevel="0" collapsed="false">
      <c r="A120" s="27" t="s">
        <v>66</v>
      </c>
      <c r="B120" s="41" t="n">
        <v>46303.3326388889</v>
      </c>
      <c r="C120" s="27" t="s">
        <v>200</v>
      </c>
      <c r="D120" s="27" t="n">
        <v>42.1</v>
      </c>
      <c r="E120" s="27" t="n">
        <v>21.3</v>
      </c>
      <c r="F120" s="27" t="n">
        <v>27.9</v>
      </c>
      <c r="G120" s="27" t="n">
        <v>32.7</v>
      </c>
      <c r="H120" s="27" t="s">
        <v>199</v>
      </c>
      <c r="I120" s="42" t="n">
        <f aca="false">(D120-INDEX('Cohort Summary'!$D$5:$D$14,MATCH($A120,'Cohort Summary'!$A$5:$A$14,0)))/INDEX('Cohort Summary'!$E$5:$E$14,MATCH($A120,'Cohort Summary'!$A$5:$A$14,0))</f>
        <v>0.665594855305466</v>
      </c>
      <c r="J120" s="42" t="n">
        <f aca="false">(E120-INDEX('Cohort Summary'!$F$5:$F$14,MATCH($A120,'Cohort Summary'!$A$5:$A$14,0)))/INDEX('Cohort Summary'!$G$5:$G$14,MATCH($A120,'Cohort Summary'!$A$5:$A$14,0))</f>
        <v>1.42783505154639</v>
      </c>
      <c r="K120" s="42" t="n">
        <f aca="false">(F120-INDEX('Cohort Summary'!$H$5:$H$14,MATCH($A120,'Cohort Summary'!$A$5:$A$14,0)))/INDEX('Cohort Summary'!$I$5:$I$14,MATCH($A120,'Cohort Summary'!$A$5:$A$14,0))</f>
        <v>-0.925490196078433</v>
      </c>
      <c r="L120" s="42" t="n">
        <f aca="false">(G120-INDEX('Cohort Summary'!$J$5:$J$14,MATCH($A120,'Cohort Summary'!$A$5:$A$14,0)))/INDEX('Cohort Summary'!$K$5:$K$14,MATCH($A120,'Cohort Summary'!$A$5:$A$14,0))</f>
        <v>-0.436363636363627</v>
      </c>
      <c r="M120" s="42" t="n">
        <f aca="false">MAX(I120:K120)</f>
        <v>1.42783505154639</v>
      </c>
      <c r="N120" s="27" t="s">
        <v>197</v>
      </c>
      <c r="O120" s="27"/>
      <c r="P120" s="27" t="str">
        <f aca="false">A120&amp;"|"&amp;N120</f>
        <v>NURSE-01|normal</v>
      </c>
    </row>
    <row r="121" customFormat="false" ht="15" hidden="false" customHeight="true" outlineLevel="0" collapsed="false">
      <c r="A121" s="27" t="s">
        <v>66</v>
      </c>
      <c r="B121" s="41" t="n">
        <v>46303.3329861111</v>
      </c>
      <c r="C121" s="27" t="s">
        <v>200</v>
      </c>
      <c r="D121" s="27" t="n">
        <v>38.9</v>
      </c>
      <c r="E121" s="27" t="n">
        <v>21.1</v>
      </c>
      <c r="F121" s="27" t="n">
        <v>25.8</v>
      </c>
      <c r="G121" s="27" t="n">
        <v>33.9</v>
      </c>
      <c r="H121" s="27" t="s">
        <v>199</v>
      </c>
      <c r="I121" s="42" t="n">
        <f aca="false">(D121-INDEX('Cohort Summary'!$D$5:$D$14,MATCH($A121,'Cohort Summary'!$A$5:$A$14,0)))/INDEX('Cohort Summary'!$E$5:$E$14,MATCH($A121,'Cohort Summary'!$A$5:$A$14,0))</f>
        <v>-0.363344051446946</v>
      </c>
      <c r="J121" s="42" t="n">
        <f aca="false">(E121-INDEX('Cohort Summary'!$F$5:$F$14,MATCH($A121,'Cohort Summary'!$A$5:$A$14,0)))/INDEX('Cohort Summary'!$G$5:$G$14,MATCH($A121,'Cohort Summary'!$A$5:$A$14,0))</f>
        <v>1.32474226804124</v>
      </c>
      <c r="K121" s="42" t="n">
        <f aca="false">(F121-INDEX('Cohort Summary'!$H$5:$H$14,MATCH($A121,'Cohort Summary'!$A$5:$A$14,0)))/INDEX('Cohort Summary'!$I$5:$I$14,MATCH($A121,'Cohort Summary'!$A$5:$A$14,0))</f>
        <v>-1.74901960784314</v>
      </c>
      <c r="L121" s="42" t="n">
        <f aca="false">(G121-INDEX('Cohort Summary'!$J$5:$J$14,MATCH($A121,'Cohort Summary'!$A$5:$A$14,0)))/INDEX('Cohort Summary'!$K$5:$K$14,MATCH($A121,'Cohort Summary'!$A$5:$A$14,0))</f>
        <v>1.74545454545455</v>
      </c>
      <c r="M121" s="42" t="n">
        <f aca="false">MAX(I121:K121)</f>
        <v>1.32474226804124</v>
      </c>
      <c r="N121" s="27" t="s">
        <v>197</v>
      </c>
      <c r="O121" s="27"/>
      <c r="P121" s="27" t="str">
        <f aca="false">A121&amp;"|"&amp;N121</f>
        <v>NURSE-01|normal</v>
      </c>
    </row>
    <row r="122" customFormat="false" ht="15" hidden="false" customHeight="true" outlineLevel="0" collapsed="false">
      <c r="A122" s="27" t="s">
        <v>66</v>
      </c>
      <c r="B122" s="41" t="n">
        <v>46303.3333333333</v>
      </c>
      <c r="C122" s="27" t="s">
        <v>200</v>
      </c>
      <c r="D122" s="27" t="n">
        <v>43.5</v>
      </c>
      <c r="E122" s="27" t="n">
        <v>17</v>
      </c>
      <c r="F122" s="27" t="n">
        <v>25.5</v>
      </c>
      <c r="G122" s="27" t="n">
        <v>33.3</v>
      </c>
      <c r="H122" s="27" t="s">
        <v>196</v>
      </c>
      <c r="I122" s="42" t="n">
        <f aca="false">(D122-INDEX('Cohort Summary'!$D$5:$D$14,MATCH($A122,'Cohort Summary'!$A$5:$A$14,0)))/INDEX('Cohort Summary'!$E$5:$E$14,MATCH($A122,'Cohort Summary'!$A$5:$A$14,0))</f>
        <v>1.11575562700965</v>
      </c>
      <c r="J122" s="42" t="n">
        <f aca="false">(E122-INDEX('Cohort Summary'!$F$5:$F$14,MATCH($A122,'Cohort Summary'!$A$5:$A$14,0)))/INDEX('Cohort Summary'!$G$5:$G$14,MATCH($A122,'Cohort Summary'!$A$5:$A$14,0))</f>
        <v>-0.788659793814434</v>
      </c>
      <c r="K122" s="42" t="n">
        <f aca="false">(F122-INDEX('Cohort Summary'!$H$5:$H$14,MATCH($A122,'Cohort Summary'!$A$5:$A$14,0)))/INDEX('Cohort Summary'!$I$5:$I$14,MATCH($A122,'Cohort Summary'!$A$5:$A$14,0))</f>
        <v>-1.86666666666667</v>
      </c>
      <c r="L122" s="42" t="n">
        <f aca="false">(G122-INDEX('Cohort Summary'!$J$5:$J$14,MATCH($A122,'Cohort Summary'!$A$5:$A$14,0)))/INDEX('Cohort Summary'!$K$5:$K$14,MATCH($A122,'Cohort Summary'!$A$5:$A$14,0))</f>
        <v>0.654545454545453</v>
      </c>
      <c r="M122" s="42" t="n">
        <f aca="false">MAX(I122:K122)</f>
        <v>1.11575562700965</v>
      </c>
      <c r="N122" s="27" t="s">
        <v>197</v>
      </c>
      <c r="O122" s="27"/>
      <c r="P122" s="27" t="str">
        <f aca="false">A122&amp;"|"&amp;N122</f>
        <v>NURSE-01|normal</v>
      </c>
    </row>
    <row r="123" customFormat="false" ht="15" hidden="false" customHeight="true" outlineLevel="0" collapsed="false">
      <c r="A123" s="27" t="s">
        <v>66</v>
      </c>
      <c r="B123" s="41" t="n">
        <v>46303.3336805556</v>
      </c>
      <c r="C123" s="27" t="s">
        <v>200</v>
      </c>
      <c r="D123" s="27" t="n">
        <v>44.4</v>
      </c>
      <c r="E123" s="27" t="n">
        <v>16.7</v>
      </c>
      <c r="F123" s="27" t="n">
        <v>27.7</v>
      </c>
      <c r="G123" s="27" t="n">
        <v>33</v>
      </c>
      <c r="H123" s="27" t="s">
        <v>198</v>
      </c>
      <c r="I123" s="42" t="n">
        <f aca="false">(D123-INDEX('Cohort Summary'!$D$5:$D$14,MATCH($A123,'Cohort Summary'!$A$5:$A$14,0)))/INDEX('Cohort Summary'!$E$5:$E$14,MATCH($A123,'Cohort Summary'!$A$5:$A$14,0))</f>
        <v>1.40514469453376</v>
      </c>
      <c r="J123" s="42" t="n">
        <f aca="false">(E123-INDEX('Cohort Summary'!$F$5:$F$14,MATCH($A123,'Cohort Summary'!$A$5:$A$14,0)))/INDEX('Cohort Summary'!$G$5:$G$14,MATCH($A123,'Cohort Summary'!$A$5:$A$14,0))</f>
        <v>-0.943298969072166</v>
      </c>
      <c r="K123" s="42" t="n">
        <f aca="false">(F123-INDEX('Cohort Summary'!$H$5:$H$14,MATCH($A123,'Cohort Summary'!$A$5:$A$14,0)))/INDEX('Cohort Summary'!$I$5:$I$14,MATCH($A123,'Cohort Summary'!$A$5:$A$14,0))</f>
        <v>-1.00392156862745</v>
      </c>
      <c r="L123" s="42" t="n">
        <f aca="false">(G123-INDEX('Cohort Summary'!$J$5:$J$14,MATCH($A123,'Cohort Summary'!$A$5:$A$14,0)))/INDEX('Cohort Summary'!$K$5:$K$14,MATCH($A123,'Cohort Summary'!$A$5:$A$14,0))</f>
        <v>0.109090909090913</v>
      </c>
      <c r="M123" s="42" t="n">
        <f aca="false">MAX(I123:K123)</f>
        <v>1.40514469453376</v>
      </c>
      <c r="N123" s="27" t="s">
        <v>197</v>
      </c>
      <c r="O123" s="27"/>
      <c r="P123" s="27" t="str">
        <f aca="false">A123&amp;"|"&amp;N123</f>
        <v>NURSE-01|normal</v>
      </c>
    </row>
    <row r="124" customFormat="false" ht="15" hidden="false" customHeight="true" outlineLevel="0" collapsed="false">
      <c r="A124" s="27" t="s">
        <v>66</v>
      </c>
      <c r="B124" s="41" t="n">
        <v>46303.3340277778</v>
      </c>
      <c r="C124" s="27" t="s">
        <v>200</v>
      </c>
      <c r="D124" s="27" t="n">
        <v>42.7</v>
      </c>
      <c r="E124" s="27" t="n">
        <v>20.5</v>
      </c>
      <c r="F124" s="27" t="n">
        <v>29.3</v>
      </c>
      <c r="G124" s="27" t="n">
        <v>32.1</v>
      </c>
      <c r="H124" s="27" t="s">
        <v>196</v>
      </c>
      <c r="I124" s="42" t="n">
        <f aca="false">(D124-INDEX('Cohort Summary'!$D$5:$D$14,MATCH($A124,'Cohort Summary'!$A$5:$A$14,0)))/INDEX('Cohort Summary'!$E$5:$E$14,MATCH($A124,'Cohort Summary'!$A$5:$A$14,0))</f>
        <v>0.858520900321544</v>
      </c>
      <c r="J124" s="42" t="n">
        <f aca="false">(E124-INDEX('Cohort Summary'!$F$5:$F$14,MATCH($A124,'Cohort Summary'!$A$5:$A$14,0)))/INDEX('Cohort Summary'!$G$5:$G$14,MATCH($A124,'Cohort Summary'!$A$5:$A$14,0))</f>
        <v>1.01546391752577</v>
      </c>
      <c r="K124" s="42" t="n">
        <f aca="false">(F124-INDEX('Cohort Summary'!$H$5:$H$14,MATCH($A124,'Cohort Summary'!$A$5:$A$14,0)))/INDEX('Cohort Summary'!$I$5:$I$14,MATCH($A124,'Cohort Summary'!$A$5:$A$14,0))</f>
        <v>-0.376470588235295</v>
      </c>
      <c r="L124" s="42" t="n">
        <f aca="false">(G124-INDEX('Cohort Summary'!$J$5:$J$14,MATCH($A124,'Cohort Summary'!$A$5:$A$14,0)))/INDEX('Cohort Summary'!$K$5:$K$14,MATCH($A124,'Cohort Summary'!$A$5:$A$14,0))</f>
        <v>-1.52727272727272</v>
      </c>
      <c r="M124" s="42" t="n">
        <f aca="false">MAX(I124:K124)</f>
        <v>1.01546391752577</v>
      </c>
      <c r="N124" s="27" t="s">
        <v>197</v>
      </c>
      <c r="O124" s="27"/>
      <c r="P124" s="27" t="str">
        <f aca="false">A124&amp;"|"&amp;N124</f>
        <v>NURSE-01|normal</v>
      </c>
    </row>
    <row r="125" customFormat="false" ht="15" hidden="false" customHeight="true" outlineLevel="0" collapsed="false">
      <c r="A125" s="27" t="s">
        <v>66</v>
      </c>
      <c r="B125" s="41" t="n">
        <v>46303.334375</v>
      </c>
      <c r="C125" s="27" t="s">
        <v>200</v>
      </c>
      <c r="D125" s="27" t="n">
        <v>39</v>
      </c>
      <c r="E125" s="27" t="n">
        <v>21.1</v>
      </c>
      <c r="F125" s="27" t="n">
        <v>30.5</v>
      </c>
      <c r="G125" s="27" t="n">
        <v>32.4</v>
      </c>
      <c r="H125" s="27" t="s">
        <v>198</v>
      </c>
      <c r="I125" s="42" t="n">
        <f aca="false">(D125-INDEX('Cohort Summary'!$D$5:$D$14,MATCH($A125,'Cohort Summary'!$A$5:$A$14,0)))/INDEX('Cohort Summary'!$E$5:$E$14,MATCH($A125,'Cohort Summary'!$A$5:$A$14,0))</f>
        <v>-0.331189710610933</v>
      </c>
      <c r="J125" s="42" t="n">
        <f aca="false">(E125-INDEX('Cohort Summary'!$F$5:$F$14,MATCH($A125,'Cohort Summary'!$A$5:$A$14,0)))/INDEX('Cohort Summary'!$G$5:$G$14,MATCH($A125,'Cohort Summary'!$A$5:$A$14,0))</f>
        <v>1.32474226804124</v>
      </c>
      <c r="K125" s="42" t="n">
        <f aca="false">(F125-INDEX('Cohort Summary'!$H$5:$H$14,MATCH($A125,'Cohort Summary'!$A$5:$A$14,0)))/INDEX('Cohort Summary'!$I$5:$I$14,MATCH($A125,'Cohort Summary'!$A$5:$A$14,0))</f>
        <v>0.0941176470588229</v>
      </c>
      <c r="L125" s="42" t="n">
        <f aca="false">(G125-INDEX('Cohort Summary'!$J$5:$J$14,MATCH($A125,'Cohort Summary'!$A$5:$A$14,0)))/INDEX('Cohort Summary'!$K$5:$K$14,MATCH($A125,'Cohort Summary'!$A$5:$A$14,0))</f>
        <v>-0.98181818181818</v>
      </c>
      <c r="M125" s="42" t="n">
        <f aca="false">MAX(I125:K125)</f>
        <v>1.32474226804124</v>
      </c>
      <c r="N125" s="27" t="s">
        <v>197</v>
      </c>
      <c r="O125" s="27"/>
      <c r="P125" s="27" t="str">
        <f aca="false">A125&amp;"|"&amp;N125</f>
        <v>NURSE-01|normal</v>
      </c>
    </row>
    <row r="126" customFormat="false" ht="15" hidden="false" customHeight="true" outlineLevel="0" collapsed="false">
      <c r="A126" s="27" t="s">
        <v>66</v>
      </c>
      <c r="B126" s="41" t="n">
        <v>46303.3347222222</v>
      </c>
      <c r="C126" s="27" t="s">
        <v>200</v>
      </c>
      <c r="D126" s="27" t="n">
        <v>35.5</v>
      </c>
      <c r="E126" s="27" t="n">
        <v>20.1</v>
      </c>
      <c r="F126" s="27" t="n">
        <v>29.5</v>
      </c>
      <c r="G126" s="27" t="n">
        <v>33.5</v>
      </c>
      <c r="H126" s="27" t="s">
        <v>196</v>
      </c>
      <c r="I126" s="42" t="n">
        <f aca="false">(D126-INDEX('Cohort Summary'!$D$5:$D$14,MATCH($A126,'Cohort Summary'!$A$5:$A$14,0)))/INDEX('Cohort Summary'!$E$5:$E$14,MATCH($A126,'Cohort Summary'!$A$5:$A$14,0))</f>
        <v>-1.45659163987138</v>
      </c>
      <c r="J126" s="42" t="n">
        <f aca="false">(E126-INDEX('Cohort Summary'!$F$5:$F$14,MATCH($A126,'Cohort Summary'!$A$5:$A$14,0)))/INDEX('Cohort Summary'!$G$5:$G$14,MATCH($A126,'Cohort Summary'!$A$5:$A$14,0))</f>
        <v>0.809278350515464</v>
      </c>
      <c r="K126" s="42" t="n">
        <f aca="false">(F126-INDEX('Cohort Summary'!$H$5:$H$14,MATCH($A126,'Cohort Summary'!$A$5:$A$14,0)))/INDEX('Cohort Summary'!$I$5:$I$14,MATCH($A126,'Cohort Summary'!$A$5:$A$14,0))</f>
        <v>-0.298039215686275</v>
      </c>
      <c r="L126" s="42" t="n">
        <f aca="false">(G126-INDEX('Cohort Summary'!$J$5:$J$14,MATCH($A126,'Cohort Summary'!$A$5:$A$14,0)))/INDEX('Cohort Summary'!$K$5:$K$14,MATCH($A126,'Cohort Summary'!$A$5:$A$14,0))</f>
        <v>1.01818181818182</v>
      </c>
      <c r="M126" s="42" t="n">
        <f aca="false">MAX(I126:K126)</f>
        <v>0.809278350515464</v>
      </c>
      <c r="N126" s="27" t="s">
        <v>197</v>
      </c>
      <c r="O126" s="27"/>
      <c r="P126" s="27" t="str">
        <f aca="false">A126&amp;"|"&amp;N126</f>
        <v>NURSE-01|normal</v>
      </c>
    </row>
    <row r="127" customFormat="false" ht="15" hidden="false" customHeight="true" outlineLevel="0" collapsed="false">
      <c r="A127" s="27" t="s">
        <v>66</v>
      </c>
      <c r="B127" s="41" t="n">
        <v>46303.3350694445</v>
      </c>
      <c r="C127" s="27" t="s">
        <v>200</v>
      </c>
      <c r="D127" s="27" t="n">
        <v>43.7</v>
      </c>
      <c r="E127" s="27" t="n">
        <v>18.4</v>
      </c>
      <c r="F127" s="27" t="n">
        <v>34.1</v>
      </c>
      <c r="G127" s="27" t="n">
        <v>33.1</v>
      </c>
      <c r="H127" s="27" t="s">
        <v>198</v>
      </c>
      <c r="I127" s="42" t="n">
        <f aca="false">(D127-INDEX('Cohort Summary'!$D$5:$D$14,MATCH($A127,'Cohort Summary'!$A$5:$A$14,0)))/INDEX('Cohort Summary'!$E$5:$E$14,MATCH($A127,'Cohort Summary'!$A$5:$A$14,0))</f>
        <v>1.18006430868167</v>
      </c>
      <c r="J127" s="42" t="n">
        <f aca="false">(E127-INDEX('Cohort Summary'!$F$5:$F$14,MATCH($A127,'Cohort Summary'!$A$5:$A$14,0)))/INDEX('Cohort Summary'!$G$5:$G$14,MATCH($A127,'Cohort Summary'!$A$5:$A$14,0))</f>
        <v>-0.0670103092783518</v>
      </c>
      <c r="K127" s="42" t="n">
        <f aca="false">(F127-INDEX('Cohort Summary'!$H$5:$H$14,MATCH($A127,'Cohort Summary'!$A$5:$A$14,0)))/INDEX('Cohort Summary'!$I$5:$I$14,MATCH($A127,'Cohort Summary'!$A$5:$A$14,0))</f>
        <v>1.50588235294118</v>
      </c>
      <c r="L127" s="42" t="n">
        <f aca="false">(G127-INDEX('Cohort Summary'!$J$5:$J$14,MATCH($A127,'Cohort Summary'!$A$5:$A$14,0)))/INDEX('Cohort Summary'!$K$5:$K$14,MATCH($A127,'Cohort Summary'!$A$5:$A$14,0))</f>
        <v>0.290909090909098</v>
      </c>
      <c r="M127" s="42" t="n">
        <f aca="false">MAX(I127:K127)</f>
        <v>1.50588235294118</v>
      </c>
      <c r="N127" s="27" t="s">
        <v>197</v>
      </c>
      <c r="O127" s="27"/>
      <c r="P127" s="27" t="str">
        <f aca="false">A127&amp;"|"&amp;N127</f>
        <v>NURSE-01|normal</v>
      </c>
    </row>
    <row r="128" customFormat="false" ht="15" hidden="false" customHeight="true" outlineLevel="0" collapsed="false">
      <c r="A128" s="27" t="s">
        <v>66</v>
      </c>
      <c r="B128" s="41" t="n">
        <v>46303.3354166667</v>
      </c>
      <c r="C128" s="27" t="s">
        <v>200</v>
      </c>
      <c r="D128" s="27" t="n">
        <v>39.7</v>
      </c>
      <c r="E128" s="27" t="n">
        <v>17.4</v>
      </c>
      <c r="F128" s="27" t="n">
        <v>28</v>
      </c>
      <c r="G128" s="27" t="n">
        <v>33.5</v>
      </c>
      <c r="H128" s="27" t="s">
        <v>196</v>
      </c>
      <c r="I128" s="42" t="n">
        <f aca="false">(D128-INDEX('Cohort Summary'!$D$5:$D$14,MATCH($A128,'Cohort Summary'!$A$5:$A$14,0)))/INDEX('Cohort Summary'!$E$5:$E$14,MATCH($A128,'Cohort Summary'!$A$5:$A$14,0))</f>
        <v>-0.106109324758842</v>
      </c>
      <c r="J128" s="42" t="n">
        <f aca="false">(E128-INDEX('Cohort Summary'!$F$5:$F$14,MATCH($A128,'Cohort Summary'!$A$5:$A$14,0)))/INDEX('Cohort Summary'!$G$5:$G$14,MATCH($A128,'Cohort Summary'!$A$5:$A$14,0))</f>
        <v>-0.582474226804125</v>
      </c>
      <c r="K128" s="42" t="n">
        <f aca="false">(F128-INDEX('Cohort Summary'!$H$5:$H$14,MATCH($A128,'Cohort Summary'!$A$5:$A$14,0)))/INDEX('Cohort Summary'!$I$5:$I$14,MATCH($A128,'Cohort Summary'!$A$5:$A$14,0))</f>
        <v>-0.886274509803922</v>
      </c>
      <c r="L128" s="42" t="n">
        <f aca="false">(G128-INDEX('Cohort Summary'!$J$5:$J$14,MATCH($A128,'Cohort Summary'!$A$5:$A$14,0)))/INDEX('Cohort Summary'!$K$5:$K$14,MATCH($A128,'Cohort Summary'!$A$5:$A$14,0))</f>
        <v>1.01818181818182</v>
      </c>
      <c r="M128" s="42" t="n">
        <f aca="false">MAX(I128:K128)</f>
        <v>-0.106109324758842</v>
      </c>
      <c r="N128" s="27" t="s">
        <v>197</v>
      </c>
      <c r="O128" s="27"/>
      <c r="P128" s="27" t="str">
        <f aca="false">A128&amp;"|"&amp;N128</f>
        <v>NURSE-01|normal</v>
      </c>
    </row>
    <row r="129" customFormat="false" ht="15" hidden="false" customHeight="true" outlineLevel="0" collapsed="false">
      <c r="A129" s="27" t="s">
        <v>66</v>
      </c>
      <c r="B129" s="41" t="n">
        <v>46303.3357638889</v>
      </c>
      <c r="C129" s="27" t="s">
        <v>200</v>
      </c>
      <c r="D129" s="27" t="n">
        <v>37.6</v>
      </c>
      <c r="E129" s="27" t="n">
        <v>19.6</v>
      </c>
      <c r="F129" s="27" t="n">
        <v>28</v>
      </c>
      <c r="G129" s="27" t="n">
        <v>33.1</v>
      </c>
      <c r="H129" s="27" t="s">
        <v>199</v>
      </c>
      <c r="I129" s="42" t="n">
        <f aca="false">(D129-INDEX('Cohort Summary'!$D$5:$D$14,MATCH($A129,'Cohort Summary'!$A$5:$A$14,0)))/INDEX('Cohort Summary'!$E$5:$E$14,MATCH($A129,'Cohort Summary'!$A$5:$A$14,0))</f>
        <v>-0.781350482315113</v>
      </c>
      <c r="J129" s="42" t="n">
        <f aca="false">(E129-INDEX('Cohort Summary'!$F$5:$F$14,MATCH($A129,'Cohort Summary'!$A$5:$A$14,0)))/INDEX('Cohort Summary'!$G$5:$G$14,MATCH($A129,'Cohort Summary'!$A$5:$A$14,0))</f>
        <v>0.551546391752578</v>
      </c>
      <c r="K129" s="42" t="n">
        <f aca="false">(F129-INDEX('Cohort Summary'!$H$5:$H$14,MATCH($A129,'Cohort Summary'!$A$5:$A$14,0)))/INDEX('Cohort Summary'!$I$5:$I$14,MATCH($A129,'Cohort Summary'!$A$5:$A$14,0))</f>
        <v>-0.886274509803922</v>
      </c>
      <c r="L129" s="42" t="n">
        <f aca="false">(G129-INDEX('Cohort Summary'!$J$5:$J$14,MATCH($A129,'Cohort Summary'!$A$5:$A$14,0)))/INDEX('Cohort Summary'!$K$5:$K$14,MATCH($A129,'Cohort Summary'!$A$5:$A$14,0))</f>
        <v>0.290909090909098</v>
      </c>
      <c r="M129" s="42" t="n">
        <f aca="false">MAX(I129:K129)</f>
        <v>0.551546391752578</v>
      </c>
      <c r="N129" s="27" t="s">
        <v>197</v>
      </c>
      <c r="O129" s="27"/>
      <c r="P129" s="27" t="str">
        <f aca="false">A129&amp;"|"&amp;N129</f>
        <v>NURSE-01|normal</v>
      </c>
    </row>
    <row r="130" customFormat="false" ht="15" hidden="false" customHeight="true" outlineLevel="0" collapsed="false">
      <c r="A130" s="27" t="s">
        <v>66</v>
      </c>
      <c r="B130" s="41" t="n">
        <v>46303.3361111111</v>
      </c>
      <c r="C130" s="27" t="s">
        <v>200</v>
      </c>
      <c r="D130" s="27" t="n">
        <v>36.2</v>
      </c>
      <c r="E130" s="27" t="n">
        <v>19.5</v>
      </c>
      <c r="F130" s="27" t="n">
        <v>25.8</v>
      </c>
      <c r="G130" s="27" t="n">
        <v>33</v>
      </c>
      <c r="H130" s="27" t="s">
        <v>199</v>
      </c>
      <c r="I130" s="42" t="n">
        <f aca="false">(D130-INDEX('Cohort Summary'!$D$5:$D$14,MATCH($A130,'Cohort Summary'!$A$5:$A$14,0)))/INDEX('Cohort Summary'!$E$5:$E$14,MATCH($A130,'Cohort Summary'!$A$5:$A$14,0))</f>
        <v>-1.23151125401929</v>
      </c>
      <c r="J130" s="42" t="n">
        <f aca="false">(E130-INDEX('Cohort Summary'!$F$5:$F$14,MATCH($A130,'Cohort Summary'!$A$5:$A$14,0)))/INDEX('Cohort Summary'!$G$5:$G$14,MATCH($A130,'Cohort Summary'!$A$5:$A$14,0))</f>
        <v>0.499999999999999</v>
      </c>
      <c r="K130" s="42" t="n">
        <f aca="false">(F130-INDEX('Cohort Summary'!$H$5:$H$14,MATCH($A130,'Cohort Summary'!$A$5:$A$14,0)))/INDEX('Cohort Summary'!$I$5:$I$14,MATCH($A130,'Cohort Summary'!$A$5:$A$14,0))</f>
        <v>-1.74901960784314</v>
      </c>
      <c r="L130" s="42" t="n">
        <f aca="false">(G130-INDEX('Cohort Summary'!$J$5:$J$14,MATCH($A130,'Cohort Summary'!$A$5:$A$14,0)))/INDEX('Cohort Summary'!$K$5:$K$14,MATCH($A130,'Cohort Summary'!$A$5:$A$14,0))</f>
        <v>0.109090909090913</v>
      </c>
      <c r="M130" s="42" t="n">
        <f aca="false">MAX(I130:K130)</f>
        <v>0.499999999999999</v>
      </c>
      <c r="N130" s="27" t="s">
        <v>197</v>
      </c>
      <c r="O130" s="27"/>
      <c r="P130" s="27" t="str">
        <f aca="false">A130&amp;"|"&amp;N130</f>
        <v>NURSE-01|normal</v>
      </c>
    </row>
    <row r="131" customFormat="false" ht="15" hidden="false" customHeight="true" outlineLevel="0" collapsed="false">
      <c r="A131" s="27" t="s">
        <v>66</v>
      </c>
      <c r="B131" s="41" t="n">
        <v>46303.3364583333</v>
      </c>
      <c r="C131" s="27" t="s">
        <v>200</v>
      </c>
      <c r="D131" s="27" t="n">
        <v>40.5</v>
      </c>
      <c r="E131" s="27" t="n">
        <v>18.2</v>
      </c>
      <c r="F131" s="27" t="n">
        <v>28.3</v>
      </c>
      <c r="G131" s="27" t="n">
        <v>33.5</v>
      </c>
      <c r="H131" s="27" t="s">
        <v>199</v>
      </c>
      <c r="I131" s="42" t="n">
        <f aca="false">(D131-INDEX('Cohort Summary'!$D$5:$D$14,MATCH($A131,'Cohort Summary'!$A$5:$A$14,0)))/INDEX('Cohort Summary'!$E$5:$E$14,MATCH($A131,'Cohort Summary'!$A$5:$A$14,0))</f>
        <v>0.15112540192926</v>
      </c>
      <c r="J131" s="42" t="n">
        <f aca="false">(E131-INDEX('Cohort Summary'!$F$5:$F$14,MATCH($A131,'Cohort Summary'!$A$5:$A$14,0)))/INDEX('Cohort Summary'!$G$5:$G$14,MATCH($A131,'Cohort Summary'!$A$5:$A$14,0))</f>
        <v>-0.170103092783506</v>
      </c>
      <c r="K131" s="42" t="n">
        <f aca="false">(F131-INDEX('Cohort Summary'!$H$5:$H$14,MATCH($A131,'Cohort Summary'!$A$5:$A$14,0)))/INDEX('Cohort Summary'!$I$5:$I$14,MATCH($A131,'Cohort Summary'!$A$5:$A$14,0))</f>
        <v>-0.768627450980393</v>
      </c>
      <c r="L131" s="42" t="n">
        <f aca="false">(G131-INDEX('Cohort Summary'!$J$5:$J$14,MATCH($A131,'Cohort Summary'!$A$5:$A$14,0)))/INDEX('Cohort Summary'!$K$5:$K$14,MATCH($A131,'Cohort Summary'!$A$5:$A$14,0))</f>
        <v>1.01818181818182</v>
      </c>
      <c r="M131" s="42" t="n">
        <f aca="false">MAX(I131:K131)</f>
        <v>0.15112540192926</v>
      </c>
      <c r="N131" s="27" t="s">
        <v>197</v>
      </c>
      <c r="O131" s="27"/>
      <c r="P131" s="27" t="str">
        <f aca="false">A131&amp;"|"&amp;N131</f>
        <v>NURSE-01|normal</v>
      </c>
    </row>
    <row r="132" customFormat="false" ht="15" hidden="false" customHeight="true" outlineLevel="0" collapsed="false">
      <c r="A132" s="27" t="s">
        <v>66</v>
      </c>
      <c r="B132" s="41" t="n">
        <v>46303.3368055556</v>
      </c>
      <c r="C132" s="27" t="s">
        <v>200</v>
      </c>
      <c r="D132" s="27" t="n">
        <v>36.4</v>
      </c>
      <c r="E132" s="27" t="n">
        <v>16.3</v>
      </c>
      <c r="F132" s="27" t="n">
        <v>25.9</v>
      </c>
      <c r="G132" s="27" t="n">
        <v>32.7</v>
      </c>
      <c r="H132" s="27" t="s">
        <v>198</v>
      </c>
      <c r="I132" s="42" t="n">
        <f aca="false">(D132-INDEX('Cohort Summary'!$D$5:$D$14,MATCH($A132,'Cohort Summary'!$A$5:$A$14,0)))/INDEX('Cohort Summary'!$E$5:$E$14,MATCH($A132,'Cohort Summary'!$A$5:$A$14,0))</f>
        <v>-1.16720257234727</v>
      </c>
      <c r="J132" s="42" t="n">
        <f aca="false">(E132-INDEX('Cohort Summary'!$F$5:$F$14,MATCH($A132,'Cohort Summary'!$A$5:$A$14,0)))/INDEX('Cohort Summary'!$G$5:$G$14,MATCH($A132,'Cohort Summary'!$A$5:$A$14,0))</f>
        <v>-1.14948453608247</v>
      </c>
      <c r="K132" s="42" t="n">
        <f aca="false">(F132-INDEX('Cohort Summary'!$H$5:$H$14,MATCH($A132,'Cohort Summary'!$A$5:$A$14,0)))/INDEX('Cohort Summary'!$I$5:$I$14,MATCH($A132,'Cohort Summary'!$A$5:$A$14,0))</f>
        <v>-1.70980392156863</v>
      </c>
      <c r="L132" s="42" t="n">
        <f aca="false">(G132-INDEX('Cohort Summary'!$J$5:$J$14,MATCH($A132,'Cohort Summary'!$A$5:$A$14,0)))/INDEX('Cohort Summary'!$K$5:$K$14,MATCH($A132,'Cohort Summary'!$A$5:$A$14,0))</f>
        <v>-0.436363636363627</v>
      </c>
      <c r="M132" s="42" t="n">
        <f aca="false">MAX(I132:K132)</f>
        <v>-1.14948453608247</v>
      </c>
      <c r="N132" s="27" t="s">
        <v>197</v>
      </c>
      <c r="O132" s="27"/>
      <c r="P132" s="27" t="str">
        <f aca="false">A132&amp;"|"&amp;N132</f>
        <v>NURSE-01|normal</v>
      </c>
    </row>
    <row r="133" customFormat="false" ht="15" hidden="false" customHeight="true" outlineLevel="0" collapsed="false">
      <c r="A133" s="27" t="s">
        <v>66</v>
      </c>
      <c r="B133" s="41" t="n">
        <v>46303.3371527778</v>
      </c>
      <c r="C133" s="27" t="s">
        <v>200</v>
      </c>
      <c r="D133" s="27" t="n">
        <v>38.2</v>
      </c>
      <c r="E133" s="27" t="n">
        <v>17.6</v>
      </c>
      <c r="F133" s="27" t="n">
        <v>33.1</v>
      </c>
      <c r="G133" s="27" t="n">
        <v>32.4</v>
      </c>
      <c r="H133" s="27" t="s">
        <v>198</v>
      </c>
      <c r="I133" s="42" t="n">
        <f aca="false">(D133-INDEX('Cohort Summary'!$D$5:$D$14,MATCH($A133,'Cohort Summary'!$A$5:$A$14,0)))/INDEX('Cohort Summary'!$E$5:$E$14,MATCH($A133,'Cohort Summary'!$A$5:$A$14,0))</f>
        <v>-0.588424437299035</v>
      </c>
      <c r="J133" s="42" t="n">
        <f aca="false">(E133-INDEX('Cohort Summary'!$F$5:$F$14,MATCH($A133,'Cohort Summary'!$A$5:$A$14,0)))/INDEX('Cohort Summary'!$G$5:$G$14,MATCH($A133,'Cohort Summary'!$A$5:$A$14,0))</f>
        <v>-0.479381443298969</v>
      </c>
      <c r="K133" s="42" t="n">
        <f aca="false">(F133-INDEX('Cohort Summary'!$H$5:$H$14,MATCH($A133,'Cohort Summary'!$A$5:$A$14,0)))/INDEX('Cohort Summary'!$I$5:$I$14,MATCH($A133,'Cohort Summary'!$A$5:$A$14,0))</f>
        <v>1.11372549019608</v>
      </c>
      <c r="L133" s="42" t="n">
        <f aca="false">(G133-INDEX('Cohort Summary'!$J$5:$J$14,MATCH($A133,'Cohort Summary'!$A$5:$A$14,0)))/INDEX('Cohort Summary'!$K$5:$K$14,MATCH($A133,'Cohort Summary'!$A$5:$A$14,0))</f>
        <v>-0.98181818181818</v>
      </c>
      <c r="M133" s="42" t="n">
        <f aca="false">MAX(I133:K133)</f>
        <v>1.11372549019608</v>
      </c>
      <c r="N133" s="27" t="s">
        <v>197</v>
      </c>
      <c r="O133" s="27"/>
      <c r="P133" s="27" t="str">
        <f aca="false">A133&amp;"|"&amp;N133</f>
        <v>NURSE-01|normal</v>
      </c>
    </row>
    <row r="134" customFormat="false" ht="15" hidden="false" customHeight="true" outlineLevel="0" collapsed="false">
      <c r="A134" s="27" t="s">
        <v>66</v>
      </c>
      <c r="B134" s="41" t="n">
        <v>46303.3375</v>
      </c>
      <c r="C134" s="27" t="s">
        <v>200</v>
      </c>
      <c r="D134" s="27" t="n">
        <v>42.5</v>
      </c>
      <c r="E134" s="27" t="n">
        <v>17.9</v>
      </c>
      <c r="F134" s="27" t="n">
        <v>29.1</v>
      </c>
      <c r="G134" s="27" t="n">
        <v>33</v>
      </c>
      <c r="H134" s="27" t="s">
        <v>199</v>
      </c>
      <c r="I134" s="42" t="n">
        <f aca="false">(D134-INDEX('Cohort Summary'!$D$5:$D$14,MATCH($A134,'Cohort Summary'!$A$5:$A$14,0)))/INDEX('Cohort Summary'!$E$5:$E$14,MATCH($A134,'Cohort Summary'!$A$5:$A$14,0))</f>
        <v>0.794212218649517</v>
      </c>
      <c r="J134" s="42" t="n">
        <f aca="false">(E134-INDEX('Cohort Summary'!$F$5:$F$14,MATCH($A134,'Cohort Summary'!$A$5:$A$14,0)))/INDEX('Cohort Summary'!$G$5:$G$14,MATCH($A134,'Cohort Summary'!$A$5:$A$14,0))</f>
        <v>-0.324742268041238</v>
      </c>
      <c r="K134" s="42" t="n">
        <f aca="false">(F134-INDEX('Cohort Summary'!$H$5:$H$14,MATCH($A134,'Cohort Summary'!$A$5:$A$14,0)))/INDEX('Cohort Summary'!$I$5:$I$14,MATCH($A134,'Cohort Summary'!$A$5:$A$14,0))</f>
        <v>-0.454901960784314</v>
      </c>
      <c r="L134" s="42" t="n">
        <f aca="false">(G134-INDEX('Cohort Summary'!$J$5:$J$14,MATCH($A134,'Cohort Summary'!$A$5:$A$14,0)))/INDEX('Cohort Summary'!$K$5:$K$14,MATCH($A134,'Cohort Summary'!$A$5:$A$14,0))</f>
        <v>0.109090909090913</v>
      </c>
      <c r="M134" s="42" t="n">
        <f aca="false">MAX(I134:K134)</f>
        <v>0.794212218649517</v>
      </c>
      <c r="N134" s="27" t="s">
        <v>197</v>
      </c>
      <c r="O134" s="27"/>
      <c r="P134" s="27" t="str">
        <f aca="false">A134&amp;"|"&amp;N134</f>
        <v>NURSE-01|normal</v>
      </c>
    </row>
    <row r="135" customFormat="false" ht="15" hidden="false" customHeight="true" outlineLevel="0" collapsed="false">
      <c r="A135" s="27" t="s">
        <v>66</v>
      </c>
      <c r="B135" s="41" t="n">
        <v>46303.3378472222</v>
      </c>
      <c r="C135" s="27" t="s">
        <v>200</v>
      </c>
      <c r="D135" s="27" t="n">
        <v>37.7</v>
      </c>
      <c r="E135" s="27" t="n">
        <v>20.3</v>
      </c>
      <c r="F135" s="27" t="n">
        <v>30</v>
      </c>
      <c r="G135" s="27" t="n">
        <v>33.1</v>
      </c>
      <c r="H135" s="27" t="s">
        <v>199</v>
      </c>
      <c r="I135" s="42" t="n">
        <f aca="false">(D135-INDEX('Cohort Summary'!$D$5:$D$14,MATCH($A135,'Cohort Summary'!$A$5:$A$14,0)))/INDEX('Cohort Summary'!$E$5:$E$14,MATCH($A135,'Cohort Summary'!$A$5:$A$14,0))</f>
        <v>-0.749196141479099</v>
      </c>
      <c r="J135" s="42" t="n">
        <f aca="false">(E135-INDEX('Cohort Summary'!$F$5:$F$14,MATCH($A135,'Cohort Summary'!$A$5:$A$14,0)))/INDEX('Cohort Summary'!$G$5:$G$14,MATCH($A135,'Cohort Summary'!$A$5:$A$14,0))</f>
        <v>0.912371134020618</v>
      </c>
      <c r="K135" s="42" t="n">
        <f aca="false">(F135-INDEX('Cohort Summary'!$H$5:$H$14,MATCH($A135,'Cohort Summary'!$A$5:$A$14,0)))/INDEX('Cohort Summary'!$I$5:$I$14,MATCH($A135,'Cohort Summary'!$A$5:$A$14,0))</f>
        <v>-0.101960784313726</v>
      </c>
      <c r="L135" s="42" t="n">
        <f aca="false">(G135-INDEX('Cohort Summary'!$J$5:$J$14,MATCH($A135,'Cohort Summary'!$A$5:$A$14,0)))/INDEX('Cohort Summary'!$K$5:$K$14,MATCH($A135,'Cohort Summary'!$A$5:$A$14,0))</f>
        <v>0.290909090909098</v>
      </c>
      <c r="M135" s="42" t="n">
        <f aca="false">MAX(I135:K135)</f>
        <v>0.912371134020618</v>
      </c>
      <c r="N135" s="27" t="s">
        <v>197</v>
      </c>
      <c r="O135" s="27"/>
      <c r="P135" s="27" t="str">
        <f aca="false">A135&amp;"|"&amp;N135</f>
        <v>NURSE-01|normal</v>
      </c>
    </row>
    <row r="136" customFormat="false" ht="15" hidden="false" customHeight="true" outlineLevel="0" collapsed="false">
      <c r="A136" s="27" t="s">
        <v>66</v>
      </c>
      <c r="B136" s="41" t="n">
        <v>46303.3381944444</v>
      </c>
      <c r="C136" s="27" t="s">
        <v>200</v>
      </c>
      <c r="D136" s="27" t="n">
        <v>36.3</v>
      </c>
      <c r="E136" s="27" t="n">
        <v>18.5</v>
      </c>
      <c r="F136" s="27" t="n">
        <v>31.3</v>
      </c>
      <c r="G136" s="27" t="n">
        <v>33.7</v>
      </c>
      <c r="H136" s="27" t="s">
        <v>198</v>
      </c>
      <c r="I136" s="42" t="n">
        <f aca="false">(D136-INDEX('Cohort Summary'!$D$5:$D$14,MATCH($A136,'Cohort Summary'!$A$5:$A$14,0)))/INDEX('Cohort Summary'!$E$5:$E$14,MATCH($A136,'Cohort Summary'!$A$5:$A$14,0))</f>
        <v>-1.19935691318328</v>
      </c>
      <c r="J136" s="42" t="n">
        <f aca="false">(E136-INDEX('Cohort Summary'!$F$5:$F$14,MATCH($A136,'Cohort Summary'!$A$5:$A$14,0)))/INDEX('Cohort Summary'!$G$5:$G$14,MATCH($A136,'Cohort Summary'!$A$5:$A$14,0))</f>
        <v>-0.0154639175257738</v>
      </c>
      <c r="K136" s="42" t="n">
        <f aca="false">(F136-INDEX('Cohort Summary'!$H$5:$H$14,MATCH($A136,'Cohort Summary'!$A$5:$A$14,0)))/INDEX('Cohort Summary'!$I$5:$I$14,MATCH($A136,'Cohort Summary'!$A$5:$A$14,0))</f>
        <v>0.407843137254902</v>
      </c>
      <c r="L136" s="42" t="n">
        <f aca="false">(G136-INDEX('Cohort Summary'!$J$5:$J$14,MATCH($A136,'Cohort Summary'!$A$5:$A$14,0)))/INDEX('Cohort Summary'!$K$5:$K$14,MATCH($A136,'Cohort Summary'!$A$5:$A$14,0))</f>
        <v>1.38181818181819</v>
      </c>
      <c r="M136" s="42" t="n">
        <f aca="false">MAX(I136:K136)</f>
        <v>0.407843137254902</v>
      </c>
      <c r="N136" s="27" t="s">
        <v>197</v>
      </c>
      <c r="O136" s="27"/>
      <c r="P136" s="27" t="str">
        <f aca="false">A136&amp;"|"&amp;N136</f>
        <v>NURSE-01|normal</v>
      </c>
    </row>
    <row r="137" customFormat="false" ht="15" hidden="false" customHeight="true" outlineLevel="0" collapsed="false">
      <c r="A137" s="27" t="s">
        <v>66</v>
      </c>
      <c r="B137" s="41" t="n">
        <v>46303.3385416667</v>
      </c>
      <c r="C137" s="27" t="s">
        <v>200</v>
      </c>
      <c r="D137" s="27" t="n">
        <v>35.9</v>
      </c>
      <c r="E137" s="27" t="n">
        <v>21.3</v>
      </c>
      <c r="F137" s="27" t="n">
        <v>28.8</v>
      </c>
      <c r="G137" s="27" t="n">
        <v>33.3</v>
      </c>
      <c r="H137" s="27" t="s">
        <v>199</v>
      </c>
      <c r="I137" s="42" t="n">
        <f aca="false">(D137-INDEX('Cohort Summary'!$D$5:$D$14,MATCH($A137,'Cohort Summary'!$A$5:$A$14,0)))/INDEX('Cohort Summary'!$E$5:$E$14,MATCH($A137,'Cohort Summary'!$A$5:$A$14,0))</f>
        <v>-1.32797427652733</v>
      </c>
      <c r="J137" s="42" t="n">
        <f aca="false">(E137-INDEX('Cohort Summary'!$F$5:$F$14,MATCH($A137,'Cohort Summary'!$A$5:$A$14,0)))/INDEX('Cohort Summary'!$G$5:$G$14,MATCH($A137,'Cohort Summary'!$A$5:$A$14,0))</f>
        <v>1.42783505154639</v>
      </c>
      <c r="K137" s="42" t="n">
        <f aca="false">(F137-INDEX('Cohort Summary'!$H$5:$H$14,MATCH($A137,'Cohort Summary'!$A$5:$A$14,0)))/INDEX('Cohort Summary'!$I$5:$I$14,MATCH($A137,'Cohort Summary'!$A$5:$A$14,0))</f>
        <v>-0.572549019607844</v>
      </c>
      <c r="L137" s="42" t="n">
        <f aca="false">(G137-INDEX('Cohort Summary'!$J$5:$J$14,MATCH($A137,'Cohort Summary'!$A$5:$A$14,0)))/INDEX('Cohort Summary'!$K$5:$K$14,MATCH($A137,'Cohort Summary'!$A$5:$A$14,0))</f>
        <v>0.654545454545453</v>
      </c>
      <c r="M137" s="42" t="n">
        <f aca="false">MAX(I137:K137)</f>
        <v>1.42783505154639</v>
      </c>
      <c r="N137" s="27" t="s">
        <v>197</v>
      </c>
      <c r="O137" s="27"/>
      <c r="P137" s="27" t="str">
        <f aca="false">A137&amp;"|"&amp;N137</f>
        <v>NURSE-01|normal</v>
      </c>
    </row>
    <row r="138" customFormat="false" ht="15" hidden="false" customHeight="true" outlineLevel="0" collapsed="false">
      <c r="A138" s="27" t="s">
        <v>66</v>
      </c>
      <c r="B138" s="41" t="n">
        <v>46303.3388888889</v>
      </c>
      <c r="C138" s="27" t="s">
        <v>200</v>
      </c>
      <c r="D138" s="27" t="n">
        <v>44.5</v>
      </c>
      <c r="E138" s="27" t="n">
        <v>20.9</v>
      </c>
      <c r="F138" s="27" t="n">
        <v>33.7</v>
      </c>
      <c r="G138" s="27" t="n">
        <v>32</v>
      </c>
      <c r="H138" s="27" t="s">
        <v>198</v>
      </c>
      <c r="I138" s="42" t="n">
        <f aca="false">(D138-INDEX('Cohort Summary'!$D$5:$D$14,MATCH($A138,'Cohort Summary'!$A$5:$A$14,0)))/INDEX('Cohort Summary'!$E$5:$E$14,MATCH($A138,'Cohort Summary'!$A$5:$A$14,0))</f>
        <v>1.43729903536977</v>
      </c>
      <c r="J138" s="42" t="n">
        <f aca="false">(E138-INDEX('Cohort Summary'!$F$5:$F$14,MATCH($A138,'Cohort Summary'!$A$5:$A$14,0)))/INDEX('Cohort Summary'!$G$5:$G$14,MATCH($A138,'Cohort Summary'!$A$5:$A$14,0))</f>
        <v>1.22164948453608</v>
      </c>
      <c r="K138" s="42" t="n">
        <f aca="false">(F138-INDEX('Cohort Summary'!$H$5:$H$14,MATCH($A138,'Cohort Summary'!$A$5:$A$14,0)))/INDEX('Cohort Summary'!$I$5:$I$14,MATCH($A138,'Cohort Summary'!$A$5:$A$14,0))</f>
        <v>1.34901960784314</v>
      </c>
      <c r="L138" s="42" t="n">
        <f aca="false">(G138-INDEX('Cohort Summary'!$J$5:$J$14,MATCH($A138,'Cohort Summary'!$A$5:$A$14,0)))/INDEX('Cohort Summary'!$K$5:$K$14,MATCH($A138,'Cohort Summary'!$A$5:$A$14,0))</f>
        <v>-1.7090909090909</v>
      </c>
      <c r="M138" s="42" t="n">
        <f aca="false">MAX(I138:K138)</f>
        <v>1.43729903536977</v>
      </c>
      <c r="N138" s="27" t="s">
        <v>197</v>
      </c>
      <c r="O138" s="27"/>
      <c r="P138" s="27" t="str">
        <f aca="false">A138&amp;"|"&amp;N138</f>
        <v>NURSE-01|normal</v>
      </c>
    </row>
    <row r="139" customFormat="false" ht="15" hidden="false" customHeight="true" outlineLevel="0" collapsed="false">
      <c r="A139" s="27" t="s">
        <v>66</v>
      </c>
      <c r="B139" s="41" t="n">
        <v>46303.3392361111</v>
      </c>
      <c r="C139" s="27" t="s">
        <v>200</v>
      </c>
      <c r="D139" s="27" t="n">
        <v>39.3</v>
      </c>
      <c r="E139" s="27" t="n">
        <v>20.3</v>
      </c>
      <c r="F139" s="27" t="n">
        <v>33</v>
      </c>
      <c r="G139" s="27" t="n">
        <v>33.9</v>
      </c>
      <c r="H139" s="27" t="s">
        <v>199</v>
      </c>
      <c r="I139" s="42" t="n">
        <f aca="false">(D139-INDEX('Cohort Summary'!$D$5:$D$14,MATCH($A139,'Cohort Summary'!$A$5:$A$14,0)))/INDEX('Cohort Summary'!$E$5:$E$14,MATCH($A139,'Cohort Summary'!$A$5:$A$14,0))</f>
        <v>-0.234726688102895</v>
      </c>
      <c r="J139" s="42" t="n">
        <f aca="false">(E139-INDEX('Cohort Summary'!$F$5:$F$14,MATCH($A139,'Cohort Summary'!$A$5:$A$14,0)))/INDEX('Cohort Summary'!$G$5:$G$14,MATCH($A139,'Cohort Summary'!$A$5:$A$14,0))</f>
        <v>0.912371134020618</v>
      </c>
      <c r="K139" s="42" t="n">
        <f aca="false">(F139-INDEX('Cohort Summary'!$H$5:$H$14,MATCH($A139,'Cohort Summary'!$A$5:$A$14,0)))/INDEX('Cohort Summary'!$I$5:$I$14,MATCH($A139,'Cohort Summary'!$A$5:$A$14,0))</f>
        <v>1.07450980392157</v>
      </c>
      <c r="L139" s="42" t="n">
        <f aca="false">(G139-INDEX('Cohort Summary'!$J$5:$J$14,MATCH($A139,'Cohort Summary'!$A$5:$A$14,0)))/INDEX('Cohort Summary'!$K$5:$K$14,MATCH($A139,'Cohort Summary'!$A$5:$A$14,0))</f>
        <v>1.74545454545455</v>
      </c>
      <c r="M139" s="42" t="n">
        <f aca="false">MAX(I139:K139)</f>
        <v>1.07450980392157</v>
      </c>
      <c r="N139" s="27" t="s">
        <v>197</v>
      </c>
      <c r="O139" s="27"/>
      <c r="P139" s="27" t="str">
        <f aca="false">A139&amp;"|"&amp;N139</f>
        <v>NURSE-01|normal</v>
      </c>
    </row>
    <row r="140" customFormat="false" ht="15" hidden="false" customHeight="true" outlineLevel="0" collapsed="false">
      <c r="A140" s="27" t="s">
        <v>66</v>
      </c>
      <c r="B140" s="41" t="n">
        <v>46303.3395833333</v>
      </c>
      <c r="C140" s="27" t="s">
        <v>200</v>
      </c>
      <c r="D140" s="27" t="n">
        <v>35</v>
      </c>
      <c r="E140" s="27" t="n">
        <v>17.7</v>
      </c>
      <c r="F140" s="27" t="n">
        <v>34.3</v>
      </c>
      <c r="G140" s="27" t="n">
        <v>33.7</v>
      </c>
      <c r="H140" s="27" t="s">
        <v>199</v>
      </c>
      <c r="I140" s="42" t="n">
        <f aca="false">(D140-INDEX('Cohort Summary'!$D$5:$D$14,MATCH($A140,'Cohort Summary'!$A$5:$A$14,0)))/INDEX('Cohort Summary'!$E$5:$E$14,MATCH($A140,'Cohort Summary'!$A$5:$A$14,0))</f>
        <v>-1.61736334405145</v>
      </c>
      <c r="J140" s="42" t="n">
        <f aca="false">(E140-INDEX('Cohort Summary'!$F$5:$F$14,MATCH($A140,'Cohort Summary'!$A$5:$A$14,0)))/INDEX('Cohort Summary'!$G$5:$G$14,MATCH($A140,'Cohort Summary'!$A$5:$A$14,0))</f>
        <v>-0.427835051546393</v>
      </c>
      <c r="K140" s="42" t="n">
        <f aca="false">(F140-INDEX('Cohort Summary'!$H$5:$H$14,MATCH($A140,'Cohort Summary'!$A$5:$A$14,0)))/INDEX('Cohort Summary'!$I$5:$I$14,MATCH($A140,'Cohort Summary'!$A$5:$A$14,0))</f>
        <v>1.58431372549019</v>
      </c>
      <c r="L140" s="42" t="n">
        <f aca="false">(G140-INDEX('Cohort Summary'!$J$5:$J$14,MATCH($A140,'Cohort Summary'!$A$5:$A$14,0)))/INDEX('Cohort Summary'!$K$5:$K$14,MATCH($A140,'Cohort Summary'!$A$5:$A$14,0))</f>
        <v>1.38181818181819</v>
      </c>
      <c r="M140" s="42" t="n">
        <f aca="false">MAX(I140:K140)</f>
        <v>1.58431372549019</v>
      </c>
      <c r="N140" s="27" t="s">
        <v>197</v>
      </c>
      <c r="O140" s="27"/>
      <c r="P140" s="27" t="str">
        <f aca="false">A140&amp;"|"&amp;N140</f>
        <v>NURSE-01|normal</v>
      </c>
    </row>
    <row r="141" customFormat="false" ht="15" hidden="false" customHeight="true" outlineLevel="0" collapsed="false">
      <c r="A141" s="27" t="s">
        <v>66</v>
      </c>
      <c r="B141" s="41" t="n">
        <v>46303.3399305556</v>
      </c>
      <c r="C141" s="27" t="s">
        <v>200</v>
      </c>
      <c r="D141" s="27" t="n">
        <v>44.7</v>
      </c>
      <c r="E141" s="27" t="n">
        <v>16.7</v>
      </c>
      <c r="F141" s="27" t="n">
        <v>26.1</v>
      </c>
      <c r="G141" s="27" t="n">
        <v>32.3</v>
      </c>
      <c r="H141" s="27" t="s">
        <v>196</v>
      </c>
      <c r="I141" s="42" t="n">
        <f aca="false">(D141-INDEX('Cohort Summary'!$D$5:$D$14,MATCH($A141,'Cohort Summary'!$A$5:$A$14,0)))/INDEX('Cohort Summary'!$E$5:$E$14,MATCH($A141,'Cohort Summary'!$A$5:$A$14,0))</f>
        <v>1.5016077170418</v>
      </c>
      <c r="J141" s="42" t="n">
        <f aca="false">(E141-INDEX('Cohort Summary'!$F$5:$F$14,MATCH($A141,'Cohort Summary'!$A$5:$A$14,0)))/INDEX('Cohort Summary'!$G$5:$G$14,MATCH($A141,'Cohort Summary'!$A$5:$A$14,0))</f>
        <v>-0.943298969072166</v>
      </c>
      <c r="K141" s="42" t="n">
        <f aca="false">(F141-INDEX('Cohort Summary'!$H$5:$H$14,MATCH($A141,'Cohort Summary'!$A$5:$A$14,0)))/INDEX('Cohort Summary'!$I$5:$I$14,MATCH($A141,'Cohort Summary'!$A$5:$A$14,0))</f>
        <v>-1.63137254901961</v>
      </c>
      <c r="L141" s="42" t="n">
        <f aca="false">(G141-INDEX('Cohort Summary'!$J$5:$J$14,MATCH($A141,'Cohort Summary'!$A$5:$A$14,0)))/INDEX('Cohort Summary'!$K$5:$K$14,MATCH($A141,'Cohort Summary'!$A$5:$A$14,0))</f>
        <v>-1.16363636363636</v>
      </c>
      <c r="M141" s="42" t="n">
        <f aca="false">MAX(I141:K141)</f>
        <v>1.5016077170418</v>
      </c>
      <c r="N141" s="27" t="s">
        <v>197</v>
      </c>
      <c r="O141" s="27"/>
      <c r="P141" s="27" t="str">
        <f aca="false">A141&amp;"|"&amp;N141</f>
        <v>NURSE-01|normal</v>
      </c>
    </row>
    <row r="142" customFormat="false" ht="15" hidden="false" customHeight="true" outlineLevel="0" collapsed="false">
      <c r="A142" s="27" t="s">
        <v>66</v>
      </c>
      <c r="B142" s="41" t="n">
        <v>46303.3402777778</v>
      </c>
      <c r="C142" s="27" t="s">
        <v>200</v>
      </c>
      <c r="D142" s="27" t="n">
        <v>44.7</v>
      </c>
      <c r="E142" s="27" t="n">
        <v>15.8</v>
      </c>
      <c r="F142" s="27" t="n">
        <v>33.3</v>
      </c>
      <c r="G142" s="27" t="n">
        <v>33.4</v>
      </c>
      <c r="H142" s="27" t="s">
        <v>199</v>
      </c>
      <c r="I142" s="42" t="n">
        <f aca="false">(D142-INDEX('Cohort Summary'!$D$5:$D$14,MATCH($A142,'Cohort Summary'!$A$5:$A$14,0)))/INDEX('Cohort Summary'!$E$5:$E$14,MATCH($A142,'Cohort Summary'!$A$5:$A$14,0))</f>
        <v>1.5016077170418</v>
      </c>
      <c r="J142" s="42" t="n">
        <f aca="false">(E142-INDEX('Cohort Summary'!$F$5:$F$14,MATCH($A142,'Cohort Summary'!$A$5:$A$14,0)))/INDEX('Cohort Summary'!$G$5:$G$14,MATCH($A142,'Cohort Summary'!$A$5:$A$14,0))</f>
        <v>-1.40721649484536</v>
      </c>
      <c r="K142" s="42" t="n">
        <f aca="false">(F142-INDEX('Cohort Summary'!$H$5:$H$14,MATCH($A142,'Cohort Summary'!$A$5:$A$14,0)))/INDEX('Cohort Summary'!$I$5:$I$14,MATCH($A142,'Cohort Summary'!$A$5:$A$14,0))</f>
        <v>1.1921568627451</v>
      </c>
      <c r="L142" s="42" t="n">
        <f aca="false">(G142-INDEX('Cohort Summary'!$J$5:$J$14,MATCH($A142,'Cohort Summary'!$A$5:$A$14,0)))/INDEX('Cohort Summary'!$K$5:$K$14,MATCH($A142,'Cohort Summary'!$A$5:$A$14,0))</f>
        <v>0.836363636363638</v>
      </c>
      <c r="M142" s="42" t="n">
        <f aca="false">MAX(I142:K142)</f>
        <v>1.5016077170418</v>
      </c>
      <c r="N142" s="27" t="s">
        <v>197</v>
      </c>
      <c r="O142" s="27"/>
      <c r="P142" s="27" t="str">
        <f aca="false">A142&amp;"|"&amp;N142</f>
        <v>NURSE-01|normal</v>
      </c>
    </row>
    <row r="143" customFormat="false" ht="15" hidden="false" customHeight="true" outlineLevel="0" collapsed="false">
      <c r="A143" s="27" t="s">
        <v>66</v>
      </c>
      <c r="B143" s="41" t="n">
        <v>46303.340625</v>
      </c>
      <c r="C143" s="27" t="s">
        <v>200</v>
      </c>
      <c r="D143" s="27" t="n">
        <v>35.9</v>
      </c>
      <c r="E143" s="27" t="n">
        <v>20.4</v>
      </c>
      <c r="F143" s="27" t="n">
        <v>25</v>
      </c>
      <c r="G143" s="27" t="n">
        <v>32.3</v>
      </c>
      <c r="H143" s="27" t="s">
        <v>196</v>
      </c>
      <c r="I143" s="42" t="n">
        <f aca="false">(D143-INDEX('Cohort Summary'!$D$5:$D$14,MATCH($A143,'Cohort Summary'!$A$5:$A$14,0)))/INDEX('Cohort Summary'!$E$5:$E$14,MATCH($A143,'Cohort Summary'!$A$5:$A$14,0))</f>
        <v>-1.32797427652733</v>
      </c>
      <c r="J143" s="42" t="n">
        <f aca="false">(E143-INDEX('Cohort Summary'!$F$5:$F$14,MATCH($A143,'Cohort Summary'!$A$5:$A$14,0)))/INDEX('Cohort Summary'!$G$5:$G$14,MATCH($A143,'Cohort Summary'!$A$5:$A$14,0))</f>
        <v>0.963917525773195</v>
      </c>
      <c r="K143" s="42" t="n">
        <f aca="false">(F143-INDEX('Cohort Summary'!$H$5:$H$14,MATCH($A143,'Cohort Summary'!$A$5:$A$14,0)))/INDEX('Cohort Summary'!$I$5:$I$14,MATCH($A143,'Cohort Summary'!$A$5:$A$14,0))</f>
        <v>-2.06274509803922</v>
      </c>
      <c r="L143" s="42" t="n">
        <f aca="false">(G143-INDEX('Cohort Summary'!$J$5:$J$14,MATCH($A143,'Cohort Summary'!$A$5:$A$14,0)))/INDEX('Cohort Summary'!$K$5:$K$14,MATCH($A143,'Cohort Summary'!$A$5:$A$14,0))</f>
        <v>-1.16363636363636</v>
      </c>
      <c r="M143" s="42" t="n">
        <f aca="false">MAX(I143:K143)</f>
        <v>0.963917525773195</v>
      </c>
      <c r="N143" s="27" t="s">
        <v>197</v>
      </c>
      <c r="O143" s="27"/>
      <c r="P143" s="27" t="str">
        <f aca="false">A143&amp;"|"&amp;N143</f>
        <v>NURSE-01|normal</v>
      </c>
    </row>
    <row r="144" customFormat="false" ht="15" hidden="false" customHeight="true" outlineLevel="0" collapsed="false">
      <c r="A144" s="27" t="s">
        <v>66</v>
      </c>
      <c r="B144" s="41" t="n">
        <v>46303.3409722222</v>
      </c>
      <c r="C144" s="27" t="s">
        <v>200</v>
      </c>
      <c r="D144" s="27" t="n">
        <v>44.2</v>
      </c>
      <c r="E144" s="27" t="n">
        <v>19.5</v>
      </c>
      <c r="F144" s="27" t="n">
        <v>28</v>
      </c>
      <c r="G144" s="27" t="n">
        <v>32.3</v>
      </c>
      <c r="H144" s="27" t="s">
        <v>199</v>
      </c>
      <c r="I144" s="42" t="n">
        <f aca="false">(D144-INDEX('Cohort Summary'!$D$5:$D$14,MATCH($A144,'Cohort Summary'!$A$5:$A$14,0)))/INDEX('Cohort Summary'!$E$5:$E$14,MATCH($A144,'Cohort Summary'!$A$5:$A$14,0))</f>
        <v>1.34083601286174</v>
      </c>
      <c r="J144" s="42" t="n">
        <f aca="false">(E144-INDEX('Cohort Summary'!$F$5:$F$14,MATCH($A144,'Cohort Summary'!$A$5:$A$14,0)))/INDEX('Cohort Summary'!$G$5:$G$14,MATCH($A144,'Cohort Summary'!$A$5:$A$14,0))</f>
        <v>0.499999999999999</v>
      </c>
      <c r="K144" s="42" t="n">
        <f aca="false">(F144-INDEX('Cohort Summary'!$H$5:$H$14,MATCH($A144,'Cohort Summary'!$A$5:$A$14,0)))/INDEX('Cohort Summary'!$I$5:$I$14,MATCH($A144,'Cohort Summary'!$A$5:$A$14,0))</f>
        <v>-0.886274509803922</v>
      </c>
      <c r="L144" s="42" t="n">
        <f aca="false">(G144-INDEX('Cohort Summary'!$J$5:$J$14,MATCH($A144,'Cohort Summary'!$A$5:$A$14,0)))/INDEX('Cohort Summary'!$K$5:$K$14,MATCH($A144,'Cohort Summary'!$A$5:$A$14,0))</f>
        <v>-1.16363636363636</v>
      </c>
      <c r="M144" s="42" t="n">
        <f aca="false">MAX(I144:K144)</f>
        <v>1.34083601286174</v>
      </c>
      <c r="N144" s="27" t="s">
        <v>197</v>
      </c>
      <c r="O144" s="27"/>
      <c r="P144" s="27" t="str">
        <f aca="false">A144&amp;"|"&amp;N144</f>
        <v>NURSE-01|normal</v>
      </c>
    </row>
    <row r="145" customFormat="false" ht="15" hidden="false" customHeight="true" outlineLevel="0" collapsed="false">
      <c r="A145" s="27" t="s">
        <v>66</v>
      </c>
      <c r="B145" s="41" t="n">
        <v>46303.3413194444</v>
      </c>
      <c r="C145" s="27" t="s">
        <v>200</v>
      </c>
      <c r="D145" s="27" t="n">
        <v>40.3</v>
      </c>
      <c r="E145" s="27" t="n">
        <v>18.1</v>
      </c>
      <c r="F145" s="27" t="n">
        <v>32.6</v>
      </c>
      <c r="G145" s="27" t="n">
        <v>32.2</v>
      </c>
      <c r="H145" s="27" t="s">
        <v>199</v>
      </c>
      <c r="I145" s="42" t="n">
        <f aca="false">(D145-INDEX('Cohort Summary'!$D$5:$D$14,MATCH($A145,'Cohort Summary'!$A$5:$A$14,0)))/INDEX('Cohort Summary'!$E$5:$E$14,MATCH($A145,'Cohort Summary'!$A$5:$A$14,0))</f>
        <v>0.0868167202572335</v>
      </c>
      <c r="J145" s="42" t="n">
        <f aca="false">(E145-INDEX('Cohort Summary'!$F$5:$F$14,MATCH($A145,'Cohort Summary'!$A$5:$A$14,0)))/INDEX('Cohort Summary'!$G$5:$G$14,MATCH($A145,'Cohort Summary'!$A$5:$A$14,0))</f>
        <v>-0.221649484536082</v>
      </c>
      <c r="K145" s="42" t="n">
        <f aca="false">(F145-INDEX('Cohort Summary'!$H$5:$H$14,MATCH($A145,'Cohort Summary'!$A$5:$A$14,0)))/INDEX('Cohort Summary'!$I$5:$I$14,MATCH($A145,'Cohort Summary'!$A$5:$A$14,0))</f>
        <v>0.917647058823529</v>
      </c>
      <c r="L145" s="42" t="n">
        <f aca="false">(G145-INDEX('Cohort Summary'!$J$5:$J$14,MATCH($A145,'Cohort Summary'!$A$5:$A$14,0)))/INDEX('Cohort Summary'!$K$5:$K$14,MATCH($A145,'Cohort Summary'!$A$5:$A$14,0))</f>
        <v>-1.34545454545454</v>
      </c>
      <c r="M145" s="42" t="n">
        <f aca="false">MAX(I145:K145)</f>
        <v>0.917647058823529</v>
      </c>
      <c r="N145" s="27" t="s">
        <v>197</v>
      </c>
      <c r="O145" s="27"/>
      <c r="P145" s="27" t="str">
        <f aca="false">A145&amp;"|"&amp;N145</f>
        <v>NURSE-01|normal</v>
      </c>
    </row>
    <row r="146" customFormat="false" ht="15" hidden="false" customHeight="true" outlineLevel="0" collapsed="false">
      <c r="A146" s="27" t="s">
        <v>66</v>
      </c>
      <c r="B146" s="41" t="n">
        <v>46303.3416666667</v>
      </c>
      <c r="C146" s="27" t="s">
        <v>200</v>
      </c>
      <c r="D146" s="27" t="n">
        <v>40.2</v>
      </c>
      <c r="E146" s="27" t="n">
        <v>19.1</v>
      </c>
      <c r="F146" s="27" t="n">
        <v>28.9</v>
      </c>
      <c r="G146" s="27" t="n">
        <v>32.4</v>
      </c>
      <c r="H146" s="27" t="s">
        <v>196</v>
      </c>
      <c r="I146" s="42" t="n">
        <f aca="false">(D146-INDEX('Cohort Summary'!$D$5:$D$14,MATCH($A146,'Cohort Summary'!$A$5:$A$14,0)))/INDEX('Cohort Summary'!$E$5:$E$14,MATCH($A146,'Cohort Summary'!$A$5:$A$14,0))</f>
        <v>0.0546623794212224</v>
      </c>
      <c r="J146" s="42" t="n">
        <f aca="false">(E146-INDEX('Cohort Summary'!$F$5:$F$14,MATCH($A146,'Cohort Summary'!$A$5:$A$14,0)))/INDEX('Cohort Summary'!$G$5:$G$14,MATCH($A146,'Cohort Summary'!$A$5:$A$14,0))</f>
        <v>0.293814432989691</v>
      </c>
      <c r="K146" s="42" t="n">
        <f aca="false">(F146-INDEX('Cohort Summary'!$H$5:$H$14,MATCH($A146,'Cohort Summary'!$A$5:$A$14,0)))/INDEX('Cohort Summary'!$I$5:$I$14,MATCH($A146,'Cohort Summary'!$A$5:$A$14,0))</f>
        <v>-0.533333333333335</v>
      </c>
      <c r="L146" s="42" t="n">
        <f aca="false">(G146-INDEX('Cohort Summary'!$J$5:$J$14,MATCH($A146,'Cohort Summary'!$A$5:$A$14,0)))/INDEX('Cohort Summary'!$K$5:$K$14,MATCH($A146,'Cohort Summary'!$A$5:$A$14,0))</f>
        <v>-0.98181818181818</v>
      </c>
      <c r="M146" s="42" t="n">
        <f aca="false">MAX(I146:K146)</f>
        <v>0.293814432989691</v>
      </c>
      <c r="N146" s="27" t="s">
        <v>197</v>
      </c>
      <c r="O146" s="27"/>
      <c r="P146" s="27" t="str">
        <f aca="false">A146&amp;"|"&amp;N146</f>
        <v>NURSE-01|normal</v>
      </c>
    </row>
    <row r="147" customFormat="false" ht="15" hidden="false" customHeight="true" outlineLevel="0" collapsed="false">
      <c r="A147" s="27" t="s">
        <v>66</v>
      </c>
      <c r="B147" s="41" t="n">
        <v>46303.3420138889</v>
      </c>
      <c r="C147" s="27" t="s">
        <v>200</v>
      </c>
      <c r="D147" s="27" t="n">
        <v>35</v>
      </c>
      <c r="E147" s="27" t="n">
        <v>18.8</v>
      </c>
      <c r="F147" s="27" t="n">
        <v>35</v>
      </c>
      <c r="G147" s="27" t="n">
        <v>32.6</v>
      </c>
      <c r="H147" s="27" t="s">
        <v>199</v>
      </c>
      <c r="I147" s="42" t="n">
        <f aca="false">(D147-INDEX('Cohort Summary'!$D$5:$D$14,MATCH($A147,'Cohort Summary'!$A$5:$A$14,0)))/INDEX('Cohort Summary'!$E$5:$E$14,MATCH($A147,'Cohort Summary'!$A$5:$A$14,0))</f>
        <v>-1.61736334405145</v>
      </c>
      <c r="J147" s="42" t="n">
        <f aca="false">(E147-INDEX('Cohort Summary'!$F$5:$F$14,MATCH($A147,'Cohort Summary'!$A$5:$A$14,0)))/INDEX('Cohort Summary'!$G$5:$G$14,MATCH($A147,'Cohort Summary'!$A$5:$A$14,0))</f>
        <v>0.139175257731959</v>
      </c>
      <c r="K147" s="42" t="n">
        <f aca="false">(F147-INDEX('Cohort Summary'!$H$5:$H$14,MATCH($A147,'Cohort Summary'!$A$5:$A$14,0)))/INDEX('Cohort Summary'!$I$5:$I$14,MATCH($A147,'Cohort Summary'!$A$5:$A$14,0))</f>
        <v>1.85882352941176</v>
      </c>
      <c r="L147" s="42" t="n">
        <f aca="false">(G147-INDEX('Cohort Summary'!$J$5:$J$14,MATCH($A147,'Cohort Summary'!$A$5:$A$14,0)))/INDEX('Cohort Summary'!$K$5:$K$14,MATCH($A147,'Cohort Summary'!$A$5:$A$14,0))</f>
        <v>-0.618181818181811</v>
      </c>
      <c r="M147" s="42" t="n">
        <f aca="false">MAX(I147:K147)</f>
        <v>1.85882352941176</v>
      </c>
      <c r="N147" s="27" t="s">
        <v>197</v>
      </c>
      <c r="O147" s="27"/>
      <c r="P147" s="27" t="str">
        <f aca="false">A147&amp;"|"&amp;N147</f>
        <v>NURSE-01|normal</v>
      </c>
    </row>
    <row r="148" customFormat="false" ht="15" hidden="false" customHeight="true" outlineLevel="0" collapsed="false">
      <c r="A148" s="27" t="s">
        <v>66</v>
      </c>
      <c r="B148" s="41" t="n">
        <v>46303.3423611111</v>
      </c>
      <c r="C148" s="27" t="s">
        <v>200</v>
      </c>
      <c r="D148" s="27" t="n">
        <v>41.4</v>
      </c>
      <c r="E148" s="27" t="n">
        <v>21.2</v>
      </c>
      <c r="F148" s="27" t="n">
        <v>29.8</v>
      </c>
      <c r="G148" s="27" t="n">
        <v>32.5</v>
      </c>
      <c r="H148" s="27" t="s">
        <v>198</v>
      </c>
      <c r="I148" s="42" t="n">
        <f aca="false">(D148-INDEX('Cohort Summary'!$D$5:$D$14,MATCH($A148,'Cohort Summary'!$A$5:$A$14,0)))/INDEX('Cohort Summary'!$E$5:$E$14,MATCH($A148,'Cohort Summary'!$A$5:$A$14,0))</f>
        <v>0.440514469453375</v>
      </c>
      <c r="J148" s="42" t="n">
        <f aca="false">(E148-INDEX('Cohort Summary'!$F$5:$F$14,MATCH($A148,'Cohort Summary'!$A$5:$A$14,0)))/INDEX('Cohort Summary'!$G$5:$G$14,MATCH($A148,'Cohort Summary'!$A$5:$A$14,0))</f>
        <v>1.37628865979381</v>
      </c>
      <c r="K148" s="42" t="n">
        <f aca="false">(F148-INDEX('Cohort Summary'!$H$5:$H$14,MATCH($A148,'Cohort Summary'!$A$5:$A$14,0)))/INDEX('Cohort Summary'!$I$5:$I$14,MATCH($A148,'Cohort Summary'!$A$5:$A$14,0))</f>
        <v>-0.180392156862745</v>
      </c>
      <c r="L148" s="42" t="n">
        <f aca="false">(G148-INDEX('Cohort Summary'!$J$5:$J$14,MATCH($A148,'Cohort Summary'!$A$5:$A$14,0)))/INDEX('Cohort Summary'!$K$5:$K$14,MATCH($A148,'Cohort Summary'!$A$5:$A$14,0))</f>
        <v>-0.799999999999996</v>
      </c>
      <c r="M148" s="42" t="n">
        <f aca="false">MAX(I148:K148)</f>
        <v>1.37628865979381</v>
      </c>
      <c r="N148" s="27" t="s">
        <v>197</v>
      </c>
      <c r="O148" s="27"/>
      <c r="P148" s="27" t="str">
        <f aca="false">A148&amp;"|"&amp;N148</f>
        <v>NURSE-01|normal</v>
      </c>
    </row>
    <row r="149" customFormat="false" ht="15" hidden="false" customHeight="true" outlineLevel="0" collapsed="false">
      <c r="A149" s="27" t="s">
        <v>66</v>
      </c>
      <c r="B149" s="41" t="n">
        <v>46303.3427083333</v>
      </c>
      <c r="C149" s="27" t="s">
        <v>200</v>
      </c>
      <c r="D149" s="27" t="n">
        <v>35.3</v>
      </c>
      <c r="E149" s="27" t="n">
        <v>17.9</v>
      </c>
      <c r="F149" s="27" t="n">
        <v>31.5</v>
      </c>
      <c r="G149" s="27" t="n">
        <v>32.1</v>
      </c>
      <c r="H149" s="27" t="s">
        <v>198</v>
      </c>
      <c r="I149" s="42" t="n">
        <f aca="false">(D149-INDEX('Cohort Summary'!$D$5:$D$14,MATCH($A149,'Cohort Summary'!$A$5:$A$14,0)))/INDEX('Cohort Summary'!$E$5:$E$14,MATCH($A149,'Cohort Summary'!$A$5:$A$14,0))</f>
        <v>-1.52090032154341</v>
      </c>
      <c r="J149" s="42" t="n">
        <f aca="false">(E149-INDEX('Cohort Summary'!$F$5:$F$14,MATCH($A149,'Cohort Summary'!$A$5:$A$14,0)))/INDEX('Cohort Summary'!$G$5:$G$14,MATCH($A149,'Cohort Summary'!$A$5:$A$14,0))</f>
        <v>-0.324742268041238</v>
      </c>
      <c r="K149" s="42" t="n">
        <f aca="false">(F149-INDEX('Cohort Summary'!$H$5:$H$14,MATCH($A149,'Cohort Summary'!$A$5:$A$14,0)))/INDEX('Cohort Summary'!$I$5:$I$14,MATCH($A149,'Cohort Summary'!$A$5:$A$14,0))</f>
        <v>0.486274509803921</v>
      </c>
      <c r="L149" s="42" t="n">
        <f aca="false">(G149-INDEX('Cohort Summary'!$J$5:$J$14,MATCH($A149,'Cohort Summary'!$A$5:$A$14,0)))/INDEX('Cohort Summary'!$K$5:$K$14,MATCH($A149,'Cohort Summary'!$A$5:$A$14,0))</f>
        <v>-1.52727272727272</v>
      </c>
      <c r="M149" s="42" t="n">
        <f aca="false">MAX(I149:K149)</f>
        <v>0.486274509803921</v>
      </c>
      <c r="N149" s="27" t="s">
        <v>197</v>
      </c>
      <c r="O149" s="27"/>
      <c r="P149" s="27" t="str">
        <f aca="false">A149&amp;"|"&amp;N149</f>
        <v>NURSE-01|normal</v>
      </c>
    </row>
    <row r="150" customFormat="false" ht="15" hidden="false" customHeight="true" outlineLevel="0" collapsed="false">
      <c r="A150" s="27" t="s">
        <v>66</v>
      </c>
      <c r="B150" s="41" t="n">
        <v>46303.3430555556</v>
      </c>
      <c r="C150" s="27" t="s">
        <v>200</v>
      </c>
      <c r="D150" s="27" t="n">
        <v>40</v>
      </c>
      <c r="E150" s="27" t="n">
        <v>19.7</v>
      </c>
      <c r="F150" s="27" t="n">
        <v>29.2</v>
      </c>
      <c r="G150" s="27" t="n">
        <v>32.5</v>
      </c>
      <c r="H150" s="27" t="s">
        <v>196</v>
      </c>
      <c r="I150" s="42" t="n">
        <f aca="false">(D150-INDEX('Cohort Summary'!$D$5:$D$14,MATCH($A150,'Cohort Summary'!$A$5:$A$14,0)))/INDEX('Cohort Summary'!$E$5:$E$14,MATCH($A150,'Cohort Summary'!$A$5:$A$14,0))</f>
        <v>-0.00964630225080423</v>
      </c>
      <c r="J150" s="42" t="n">
        <f aca="false">(E150-INDEX('Cohort Summary'!$F$5:$F$14,MATCH($A150,'Cohort Summary'!$A$5:$A$14,0)))/INDEX('Cohort Summary'!$G$5:$G$14,MATCH($A150,'Cohort Summary'!$A$5:$A$14,0))</f>
        <v>0.603092783505154</v>
      </c>
      <c r="K150" s="42" t="n">
        <f aca="false">(F150-INDEX('Cohort Summary'!$H$5:$H$14,MATCH($A150,'Cohort Summary'!$A$5:$A$14,0)))/INDEX('Cohort Summary'!$I$5:$I$14,MATCH($A150,'Cohort Summary'!$A$5:$A$14,0))</f>
        <v>-0.415686274509805</v>
      </c>
      <c r="L150" s="42" t="n">
        <f aca="false">(G150-INDEX('Cohort Summary'!$J$5:$J$14,MATCH($A150,'Cohort Summary'!$A$5:$A$14,0)))/INDEX('Cohort Summary'!$K$5:$K$14,MATCH($A150,'Cohort Summary'!$A$5:$A$14,0))</f>
        <v>-0.799999999999996</v>
      </c>
      <c r="M150" s="42" t="n">
        <f aca="false">MAX(I150:K150)</f>
        <v>0.603092783505154</v>
      </c>
      <c r="N150" s="27" t="s">
        <v>197</v>
      </c>
      <c r="O150" s="27"/>
      <c r="P150" s="27" t="str">
        <f aca="false">A150&amp;"|"&amp;N150</f>
        <v>NURSE-01|normal</v>
      </c>
    </row>
    <row r="151" customFormat="false" ht="15" hidden="false" customHeight="true" outlineLevel="0" collapsed="false">
      <c r="A151" s="27" t="s">
        <v>66</v>
      </c>
      <c r="B151" s="41" t="n">
        <v>46303.3434027778</v>
      </c>
      <c r="C151" s="27" t="s">
        <v>200</v>
      </c>
      <c r="D151" s="27" t="n">
        <v>39.2</v>
      </c>
      <c r="E151" s="27" t="n">
        <v>17.6</v>
      </c>
      <c r="F151" s="27" t="n">
        <v>29.9</v>
      </c>
      <c r="G151" s="27" t="n">
        <v>33.4</v>
      </c>
      <c r="H151" s="27" t="s">
        <v>196</v>
      </c>
      <c r="I151" s="42" t="n">
        <f aca="false">(D151-INDEX('Cohort Summary'!$D$5:$D$14,MATCH($A151,'Cohort Summary'!$A$5:$A$14,0)))/INDEX('Cohort Summary'!$E$5:$E$14,MATCH($A151,'Cohort Summary'!$A$5:$A$14,0))</f>
        <v>-0.266881028938906</v>
      </c>
      <c r="J151" s="42" t="n">
        <f aca="false">(E151-INDEX('Cohort Summary'!$F$5:$F$14,MATCH($A151,'Cohort Summary'!$A$5:$A$14,0)))/INDEX('Cohort Summary'!$G$5:$G$14,MATCH($A151,'Cohort Summary'!$A$5:$A$14,0))</f>
        <v>-0.479381443298969</v>
      </c>
      <c r="K151" s="42" t="n">
        <f aca="false">(F151-INDEX('Cohort Summary'!$H$5:$H$14,MATCH($A151,'Cohort Summary'!$A$5:$A$14,0)))/INDEX('Cohort Summary'!$I$5:$I$14,MATCH($A151,'Cohort Summary'!$A$5:$A$14,0))</f>
        <v>-0.141176470588236</v>
      </c>
      <c r="L151" s="42" t="n">
        <f aca="false">(G151-INDEX('Cohort Summary'!$J$5:$J$14,MATCH($A151,'Cohort Summary'!$A$5:$A$14,0)))/INDEX('Cohort Summary'!$K$5:$K$14,MATCH($A151,'Cohort Summary'!$A$5:$A$14,0))</f>
        <v>0.836363636363638</v>
      </c>
      <c r="M151" s="42" t="n">
        <f aca="false">MAX(I151:K151)</f>
        <v>-0.141176470588236</v>
      </c>
      <c r="N151" s="27" t="s">
        <v>197</v>
      </c>
      <c r="O151" s="27"/>
      <c r="P151" s="27" t="str">
        <f aca="false">A151&amp;"|"&amp;N151</f>
        <v>NURSE-01|normal</v>
      </c>
    </row>
    <row r="152" customFormat="false" ht="15" hidden="false" customHeight="true" outlineLevel="0" collapsed="false">
      <c r="A152" s="27" t="s">
        <v>66</v>
      </c>
      <c r="B152" s="41" t="n">
        <v>46303.34375</v>
      </c>
      <c r="C152" s="27" t="s">
        <v>200</v>
      </c>
      <c r="D152" s="27" t="n">
        <v>39.2</v>
      </c>
      <c r="E152" s="27" t="n">
        <v>19.8</v>
      </c>
      <c r="F152" s="27" t="n">
        <v>27</v>
      </c>
      <c r="G152" s="27" t="n">
        <v>33.6</v>
      </c>
      <c r="H152" s="27" t="s">
        <v>196</v>
      </c>
      <c r="I152" s="42" t="n">
        <f aca="false">(D152-INDEX('Cohort Summary'!$D$5:$D$14,MATCH($A152,'Cohort Summary'!$A$5:$A$14,0)))/INDEX('Cohort Summary'!$E$5:$E$14,MATCH($A152,'Cohort Summary'!$A$5:$A$14,0))</f>
        <v>-0.266881028938906</v>
      </c>
      <c r="J152" s="42" t="n">
        <f aca="false">(E152-INDEX('Cohort Summary'!$F$5:$F$14,MATCH($A152,'Cohort Summary'!$A$5:$A$14,0)))/INDEX('Cohort Summary'!$G$5:$G$14,MATCH($A152,'Cohort Summary'!$A$5:$A$14,0))</f>
        <v>0.654639175257732</v>
      </c>
      <c r="K152" s="42" t="n">
        <f aca="false">(F152-INDEX('Cohort Summary'!$H$5:$H$14,MATCH($A152,'Cohort Summary'!$A$5:$A$14,0)))/INDEX('Cohort Summary'!$I$5:$I$14,MATCH($A152,'Cohort Summary'!$A$5:$A$14,0))</f>
        <v>-1.27843137254902</v>
      </c>
      <c r="L152" s="42" t="n">
        <f aca="false">(G152-INDEX('Cohort Summary'!$J$5:$J$14,MATCH($A152,'Cohort Summary'!$A$5:$A$14,0)))/INDEX('Cohort Summary'!$K$5:$K$14,MATCH($A152,'Cohort Summary'!$A$5:$A$14,0))</f>
        <v>1.20000000000001</v>
      </c>
      <c r="M152" s="42" t="n">
        <f aca="false">MAX(I152:K152)</f>
        <v>0.654639175257732</v>
      </c>
      <c r="N152" s="27" t="s">
        <v>197</v>
      </c>
      <c r="O152" s="27"/>
      <c r="P152" s="27" t="str">
        <f aca="false">A152&amp;"|"&amp;N152</f>
        <v>NURSE-01|normal</v>
      </c>
    </row>
    <row r="153" customFormat="false" ht="15" hidden="false" customHeight="true" outlineLevel="0" collapsed="false">
      <c r="A153" s="27" t="s">
        <v>66</v>
      </c>
      <c r="B153" s="41" t="n">
        <v>46303.3440972222</v>
      </c>
      <c r="C153" s="27" t="s">
        <v>200</v>
      </c>
      <c r="D153" s="27" t="n">
        <v>43.5</v>
      </c>
      <c r="E153" s="27" t="n">
        <v>15.5</v>
      </c>
      <c r="F153" s="27" t="n">
        <v>30</v>
      </c>
      <c r="G153" s="27" t="n">
        <v>32.4</v>
      </c>
      <c r="H153" s="27" t="s">
        <v>198</v>
      </c>
      <c r="I153" s="42" t="n">
        <f aca="false">(D153-INDEX('Cohort Summary'!$D$5:$D$14,MATCH($A153,'Cohort Summary'!$A$5:$A$14,0)))/INDEX('Cohort Summary'!$E$5:$E$14,MATCH($A153,'Cohort Summary'!$A$5:$A$14,0))</f>
        <v>1.11575562700965</v>
      </c>
      <c r="J153" s="42" t="n">
        <f aca="false">(E153-INDEX('Cohort Summary'!$F$5:$F$14,MATCH($A153,'Cohort Summary'!$A$5:$A$14,0)))/INDEX('Cohort Summary'!$G$5:$G$14,MATCH($A153,'Cohort Summary'!$A$5:$A$14,0))</f>
        <v>-1.56185567010309</v>
      </c>
      <c r="K153" s="42" t="n">
        <f aca="false">(F153-INDEX('Cohort Summary'!$H$5:$H$14,MATCH($A153,'Cohort Summary'!$A$5:$A$14,0)))/INDEX('Cohort Summary'!$I$5:$I$14,MATCH($A153,'Cohort Summary'!$A$5:$A$14,0))</f>
        <v>-0.101960784313726</v>
      </c>
      <c r="L153" s="42" t="n">
        <f aca="false">(G153-INDEX('Cohort Summary'!$J$5:$J$14,MATCH($A153,'Cohort Summary'!$A$5:$A$14,0)))/INDEX('Cohort Summary'!$K$5:$K$14,MATCH($A153,'Cohort Summary'!$A$5:$A$14,0))</f>
        <v>-0.98181818181818</v>
      </c>
      <c r="M153" s="42" t="n">
        <f aca="false">MAX(I153:K153)</f>
        <v>1.11575562700965</v>
      </c>
      <c r="N153" s="27" t="s">
        <v>197</v>
      </c>
      <c r="O153" s="27"/>
      <c r="P153" s="27" t="str">
        <f aca="false">A153&amp;"|"&amp;N153</f>
        <v>NURSE-01|normal</v>
      </c>
    </row>
    <row r="154" customFormat="false" ht="15" hidden="false" customHeight="true" outlineLevel="0" collapsed="false">
      <c r="A154" s="27" t="s">
        <v>66</v>
      </c>
      <c r="B154" s="41" t="n">
        <v>46303.3444444445</v>
      </c>
      <c r="C154" s="27" t="s">
        <v>200</v>
      </c>
      <c r="D154" s="27" t="n">
        <v>37.3</v>
      </c>
      <c r="E154" s="27" t="n">
        <v>16.6</v>
      </c>
      <c r="F154" s="27" t="n">
        <v>32.6</v>
      </c>
      <c r="G154" s="27" t="n">
        <v>32.6</v>
      </c>
      <c r="H154" s="27" t="s">
        <v>196</v>
      </c>
      <c r="I154" s="42" t="n">
        <f aca="false">(D154-INDEX('Cohort Summary'!$D$5:$D$14,MATCH($A154,'Cohort Summary'!$A$5:$A$14,0)))/INDEX('Cohort Summary'!$E$5:$E$14,MATCH($A154,'Cohort Summary'!$A$5:$A$14,0))</f>
        <v>-0.877813504823153</v>
      </c>
      <c r="J154" s="42" t="n">
        <f aca="false">(E154-INDEX('Cohort Summary'!$F$5:$F$14,MATCH($A154,'Cohort Summary'!$A$5:$A$14,0)))/INDEX('Cohort Summary'!$G$5:$G$14,MATCH($A154,'Cohort Summary'!$A$5:$A$14,0))</f>
        <v>-0.994845360824742</v>
      </c>
      <c r="K154" s="42" t="n">
        <f aca="false">(F154-INDEX('Cohort Summary'!$H$5:$H$14,MATCH($A154,'Cohort Summary'!$A$5:$A$14,0)))/INDEX('Cohort Summary'!$I$5:$I$14,MATCH($A154,'Cohort Summary'!$A$5:$A$14,0))</f>
        <v>0.917647058823529</v>
      </c>
      <c r="L154" s="42" t="n">
        <f aca="false">(G154-INDEX('Cohort Summary'!$J$5:$J$14,MATCH($A154,'Cohort Summary'!$A$5:$A$14,0)))/INDEX('Cohort Summary'!$K$5:$K$14,MATCH($A154,'Cohort Summary'!$A$5:$A$14,0))</f>
        <v>-0.618181818181811</v>
      </c>
      <c r="M154" s="42" t="n">
        <f aca="false">MAX(I154:K154)</f>
        <v>0.917647058823529</v>
      </c>
      <c r="N154" s="27" t="s">
        <v>197</v>
      </c>
      <c r="O154" s="27"/>
      <c r="P154" s="27" t="str">
        <f aca="false">A154&amp;"|"&amp;N154</f>
        <v>NURSE-01|normal</v>
      </c>
    </row>
    <row r="155" customFormat="false" ht="15" hidden="false" customHeight="true" outlineLevel="0" collapsed="false">
      <c r="A155" s="27" t="s">
        <v>66</v>
      </c>
      <c r="B155" s="41" t="n">
        <v>46303.3447916667</v>
      </c>
      <c r="C155" s="27" t="s">
        <v>200</v>
      </c>
      <c r="D155" s="27" t="n">
        <v>40</v>
      </c>
      <c r="E155" s="27" t="n">
        <v>16.3</v>
      </c>
      <c r="F155" s="27" t="n">
        <v>27.2</v>
      </c>
      <c r="G155" s="27" t="n">
        <v>32.8</v>
      </c>
      <c r="H155" s="27" t="s">
        <v>196</v>
      </c>
      <c r="I155" s="42" t="n">
        <f aca="false">(D155-INDEX('Cohort Summary'!$D$5:$D$14,MATCH($A155,'Cohort Summary'!$A$5:$A$14,0)))/INDEX('Cohort Summary'!$E$5:$E$14,MATCH($A155,'Cohort Summary'!$A$5:$A$14,0))</f>
        <v>-0.00964630225080423</v>
      </c>
      <c r="J155" s="42" t="n">
        <f aca="false">(E155-INDEX('Cohort Summary'!$F$5:$F$14,MATCH($A155,'Cohort Summary'!$A$5:$A$14,0)))/INDEX('Cohort Summary'!$G$5:$G$14,MATCH($A155,'Cohort Summary'!$A$5:$A$14,0))</f>
        <v>-1.14948453608247</v>
      </c>
      <c r="K155" s="42" t="n">
        <f aca="false">(F155-INDEX('Cohort Summary'!$H$5:$H$14,MATCH($A155,'Cohort Summary'!$A$5:$A$14,0)))/INDEX('Cohort Summary'!$I$5:$I$14,MATCH($A155,'Cohort Summary'!$A$5:$A$14,0))</f>
        <v>-1.2</v>
      </c>
      <c r="L155" s="42" t="n">
        <f aca="false">(G155-INDEX('Cohort Summary'!$J$5:$J$14,MATCH($A155,'Cohort Summary'!$A$5:$A$14,0)))/INDEX('Cohort Summary'!$K$5:$K$14,MATCH($A155,'Cohort Summary'!$A$5:$A$14,0))</f>
        <v>-0.254545454545456</v>
      </c>
      <c r="M155" s="42" t="n">
        <f aca="false">MAX(I155:K155)</f>
        <v>-0.00964630225080423</v>
      </c>
      <c r="N155" s="27" t="s">
        <v>197</v>
      </c>
      <c r="O155" s="27"/>
      <c r="P155" s="27" t="str">
        <f aca="false">A155&amp;"|"&amp;N155</f>
        <v>NURSE-01|normal</v>
      </c>
    </row>
    <row r="156" customFormat="false" ht="15" hidden="false" customHeight="true" outlineLevel="0" collapsed="false">
      <c r="A156" s="27" t="s">
        <v>66</v>
      </c>
      <c r="B156" s="41" t="n">
        <v>46303.3451388889</v>
      </c>
      <c r="C156" s="27" t="s">
        <v>200</v>
      </c>
      <c r="D156" s="27" t="n">
        <v>35.6</v>
      </c>
      <c r="E156" s="27" t="n">
        <v>19.2</v>
      </c>
      <c r="F156" s="27" t="n">
        <v>34.2</v>
      </c>
      <c r="G156" s="27" t="n">
        <v>32.1</v>
      </c>
      <c r="H156" s="27" t="s">
        <v>198</v>
      </c>
      <c r="I156" s="42" t="n">
        <f aca="false">(D156-INDEX('Cohort Summary'!$D$5:$D$14,MATCH($A156,'Cohort Summary'!$A$5:$A$14,0)))/INDEX('Cohort Summary'!$E$5:$E$14,MATCH($A156,'Cohort Summary'!$A$5:$A$14,0))</f>
        <v>-1.42443729903537</v>
      </c>
      <c r="J156" s="42" t="n">
        <f aca="false">(E156-INDEX('Cohort Summary'!$F$5:$F$14,MATCH($A156,'Cohort Summary'!$A$5:$A$14,0)))/INDEX('Cohort Summary'!$G$5:$G$14,MATCH($A156,'Cohort Summary'!$A$5:$A$14,0))</f>
        <v>0.345360824742267</v>
      </c>
      <c r="K156" s="42" t="n">
        <f aca="false">(F156-INDEX('Cohort Summary'!$H$5:$H$14,MATCH($A156,'Cohort Summary'!$A$5:$A$14,0)))/INDEX('Cohort Summary'!$I$5:$I$14,MATCH($A156,'Cohort Summary'!$A$5:$A$14,0))</f>
        <v>1.54509803921569</v>
      </c>
      <c r="L156" s="42" t="n">
        <f aca="false">(G156-INDEX('Cohort Summary'!$J$5:$J$14,MATCH($A156,'Cohort Summary'!$A$5:$A$14,0)))/INDEX('Cohort Summary'!$K$5:$K$14,MATCH($A156,'Cohort Summary'!$A$5:$A$14,0))</f>
        <v>-1.52727272727272</v>
      </c>
      <c r="M156" s="42" t="n">
        <f aca="false">MAX(I156:K156)</f>
        <v>1.54509803921569</v>
      </c>
      <c r="N156" s="27" t="s">
        <v>197</v>
      </c>
      <c r="O156" s="27"/>
      <c r="P156" s="27" t="str">
        <f aca="false">A156&amp;"|"&amp;N156</f>
        <v>NURSE-01|normal</v>
      </c>
    </row>
    <row r="157" customFormat="false" ht="15" hidden="false" customHeight="true" outlineLevel="0" collapsed="false">
      <c r="A157" s="27" t="s">
        <v>66</v>
      </c>
      <c r="B157" s="41" t="n">
        <v>46303.3454861111</v>
      </c>
      <c r="C157" s="27" t="s">
        <v>200</v>
      </c>
      <c r="D157" s="27" t="n">
        <v>44.7</v>
      </c>
      <c r="E157" s="27" t="n">
        <v>16</v>
      </c>
      <c r="F157" s="27" t="n">
        <v>25.5</v>
      </c>
      <c r="G157" s="27" t="n">
        <v>32.1</v>
      </c>
      <c r="H157" s="27" t="s">
        <v>199</v>
      </c>
      <c r="I157" s="42" t="n">
        <f aca="false">(D157-INDEX('Cohort Summary'!$D$5:$D$14,MATCH($A157,'Cohort Summary'!$A$5:$A$14,0)))/INDEX('Cohort Summary'!$E$5:$E$14,MATCH($A157,'Cohort Summary'!$A$5:$A$14,0))</f>
        <v>1.5016077170418</v>
      </c>
      <c r="J157" s="42" t="n">
        <f aca="false">(E157-INDEX('Cohort Summary'!$F$5:$F$14,MATCH($A157,'Cohort Summary'!$A$5:$A$14,0)))/INDEX('Cohort Summary'!$G$5:$G$14,MATCH($A157,'Cohort Summary'!$A$5:$A$14,0))</f>
        <v>-1.30412371134021</v>
      </c>
      <c r="K157" s="42" t="n">
        <f aca="false">(F157-INDEX('Cohort Summary'!$H$5:$H$14,MATCH($A157,'Cohort Summary'!$A$5:$A$14,0)))/INDEX('Cohort Summary'!$I$5:$I$14,MATCH($A157,'Cohort Summary'!$A$5:$A$14,0))</f>
        <v>-1.86666666666667</v>
      </c>
      <c r="L157" s="42" t="n">
        <f aca="false">(G157-INDEX('Cohort Summary'!$J$5:$J$14,MATCH($A157,'Cohort Summary'!$A$5:$A$14,0)))/INDEX('Cohort Summary'!$K$5:$K$14,MATCH($A157,'Cohort Summary'!$A$5:$A$14,0))</f>
        <v>-1.52727272727272</v>
      </c>
      <c r="M157" s="42" t="n">
        <f aca="false">MAX(I157:K157)</f>
        <v>1.5016077170418</v>
      </c>
      <c r="N157" s="27" t="s">
        <v>197</v>
      </c>
      <c r="O157" s="27"/>
      <c r="P157" s="27" t="str">
        <f aca="false">A157&amp;"|"&amp;N157</f>
        <v>NURSE-01|normal</v>
      </c>
    </row>
    <row r="158" customFormat="false" ht="15" hidden="false" customHeight="true" outlineLevel="0" collapsed="false">
      <c r="A158" s="27" t="s">
        <v>66</v>
      </c>
      <c r="B158" s="41" t="n">
        <v>46303.3458333333</v>
      </c>
      <c r="C158" s="27" t="s">
        <v>200</v>
      </c>
      <c r="D158" s="27" t="n">
        <v>39.5</v>
      </c>
      <c r="E158" s="27" t="n">
        <v>20</v>
      </c>
      <c r="F158" s="27" t="n">
        <v>28.1</v>
      </c>
      <c r="G158" s="27" t="n">
        <v>32.2</v>
      </c>
      <c r="H158" s="27" t="s">
        <v>198</v>
      </c>
      <c r="I158" s="42" t="n">
        <f aca="false">(D158-INDEX('Cohort Summary'!$D$5:$D$14,MATCH($A158,'Cohort Summary'!$A$5:$A$14,0)))/INDEX('Cohort Summary'!$E$5:$E$14,MATCH($A158,'Cohort Summary'!$A$5:$A$14,0))</f>
        <v>-0.170418006430869</v>
      </c>
      <c r="J158" s="42" t="n">
        <f aca="false">(E158-INDEX('Cohort Summary'!$F$5:$F$14,MATCH($A158,'Cohort Summary'!$A$5:$A$14,0)))/INDEX('Cohort Summary'!$G$5:$G$14,MATCH($A158,'Cohort Summary'!$A$5:$A$14,0))</f>
        <v>0.757731958762886</v>
      </c>
      <c r="K158" s="42" t="n">
        <f aca="false">(F158-INDEX('Cohort Summary'!$H$5:$H$14,MATCH($A158,'Cohort Summary'!$A$5:$A$14,0)))/INDEX('Cohort Summary'!$I$5:$I$14,MATCH($A158,'Cohort Summary'!$A$5:$A$14,0))</f>
        <v>-0.847058823529412</v>
      </c>
      <c r="L158" s="42" t="n">
        <f aca="false">(G158-INDEX('Cohort Summary'!$J$5:$J$14,MATCH($A158,'Cohort Summary'!$A$5:$A$14,0)))/INDEX('Cohort Summary'!$K$5:$K$14,MATCH($A158,'Cohort Summary'!$A$5:$A$14,0))</f>
        <v>-1.34545454545454</v>
      </c>
      <c r="M158" s="42" t="n">
        <f aca="false">MAX(I158:K158)</f>
        <v>0.757731958762886</v>
      </c>
      <c r="N158" s="27" t="s">
        <v>197</v>
      </c>
      <c r="O158" s="27"/>
      <c r="P158" s="27" t="str">
        <f aca="false">A158&amp;"|"&amp;N158</f>
        <v>NURSE-01|normal</v>
      </c>
    </row>
    <row r="159" customFormat="false" ht="15" hidden="false" customHeight="true" outlineLevel="0" collapsed="false">
      <c r="A159" s="27" t="s">
        <v>66</v>
      </c>
      <c r="B159" s="41" t="n">
        <v>46303.3461805556</v>
      </c>
      <c r="C159" s="27" t="s">
        <v>200</v>
      </c>
      <c r="D159" s="27" t="n">
        <v>44.3</v>
      </c>
      <c r="E159" s="27" t="n">
        <v>17.3</v>
      </c>
      <c r="F159" s="27" t="n">
        <v>26.9</v>
      </c>
      <c r="G159" s="27" t="n">
        <v>33.9</v>
      </c>
      <c r="H159" s="27" t="s">
        <v>196</v>
      </c>
      <c r="I159" s="42" t="n">
        <f aca="false">(D159-INDEX('Cohort Summary'!$D$5:$D$14,MATCH($A159,'Cohort Summary'!$A$5:$A$14,0)))/INDEX('Cohort Summary'!$E$5:$E$14,MATCH($A159,'Cohort Summary'!$A$5:$A$14,0))</f>
        <v>1.37299035369775</v>
      </c>
      <c r="J159" s="42" t="n">
        <f aca="false">(E159-INDEX('Cohort Summary'!$F$5:$F$14,MATCH($A159,'Cohort Summary'!$A$5:$A$14,0)))/INDEX('Cohort Summary'!$G$5:$G$14,MATCH($A159,'Cohort Summary'!$A$5:$A$14,0))</f>
        <v>-0.634020618556701</v>
      </c>
      <c r="K159" s="42" t="n">
        <f aca="false">(F159-INDEX('Cohort Summary'!$H$5:$H$14,MATCH($A159,'Cohort Summary'!$A$5:$A$14,0)))/INDEX('Cohort Summary'!$I$5:$I$14,MATCH($A159,'Cohort Summary'!$A$5:$A$14,0))</f>
        <v>-1.31764705882353</v>
      </c>
      <c r="L159" s="42" t="n">
        <f aca="false">(G159-INDEX('Cohort Summary'!$J$5:$J$14,MATCH($A159,'Cohort Summary'!$A$5:$A$14,0)))/INDEX('Cohort Summary'!$K$5:$K$14,MATCH($A159,'Cohort Summary'!$A$5:$A$14,0))</f>
        <v>1.74545454545455</v>
      </c>
      <c r="M159" s="42" t="n">
        <f aca="false">MAX(I159:K159)</f>
        <v>1.37299035369775</v>
      </c>
      <c r="N159" s="27" t="s">
        <v>197</v>
      </c>
      <c r="O159" s="27"/>
      <c r="P159" s="27" t="str">
        <f aca="false">A159&amp;"|"&amp;N159</f>
        <v>NURSE-01|normal</v>
      </c>
    </row>
    <row r="160" customFormat="false" ht="15" hidden="false" customHeight="true" outlineLevel="0" collapsed="false">
      <c r="A160" s="27" t="s">
        <v>66</v>
      </c>
      <c r="B160" s="41" t="n">
        <v>46303.3465277778</v>
      </c>
      <c r="C160" s="27" t="s">
        <v>200</v>
      </c>
      <c r="D160" s="27" t="n">
        <v>39.7</v>
      </c>
      <c r="E160" s="27" t="n">
        <v>17.2</v>
      </c>
      <c r="F160" s="27" t="n">
        <v>32.3</v>
      </c>
      <c r="G160" s="27" t="n">
        <v>33.7</v>
      </c>
      <c r="H160" s="27" t="s">
        <v>199</v>
      </c>
      <c r="I160" s="42" t="n">
        <f aca="false">(D160-INDEX('Cohort Summary'!$D$5:$D$14,MATCH($A160,'Cohort Summary'!$A$5:$A$14,0)))/INDEX('Cohort Summary'!$E$5:$E$14,MATCH($A160,'Cohort Summary'!$A$5:$A$14,0))</f>
        <v>-0.106109324758842</v>
      </c>
      <c r="J160" s="42" t="n">
        <f aca="false">(E160-INDEX('Cohort Summary'!$F$5:$F$14,MATCH($A160,'Cohort Summary'!$A$5:$A$14,0)))/INDEX('Cohort Summary'!$G$5:$G$14,MATCH($A160,'Cohort Summary'!$A$5:$A$14,0))</f>
        <v>-0.685567010309279</v>
      </c>
      <c r="K160" s="42" t="n">
        <f aca="false">(F160-INDEX('Cohort Summary'!$H$5:$H$14,MATCH($A160,'Cohort Summary'!$A$5:$A$14,0)))/INDEX('Cohort Summary'!$I$5:$I$14,MATCH($A160,'Cohort Summary'!$A$5:$A$14,0))</f>
        <v>0.799999999999998</v>
      </c>
      <c r="L160" s="42" t="n">
        <f aca="false">(G160-INDEX('Cohort Summary'!$J$5:$J$14,MATCH($A160,'Cohort Summary'!$A$5:$A$14,0)))/INDEX('Cohort Summary'!$K$5:$K$14,MATCH($A160,'Cohort Summary'!$A$5:$A$14,0))</f>
        <v>1.38181818181819</v>
      </c>
      <c r="M160" s="42" t="n">
        <f aca="false">MAX(I160:K160)</f>
        <v>0.799999999999998</v>
      </c>
      <c r="N160" s="27" t="s">
        <v>197</v>
      </c>
      <c r="O160" s="27"/>
      <c r="P160" s="27" t="str">
        <f aca="false">A160&amp;"|"&amp;N160</f>
        <v>NURSE-01|normal</v>
      </c>
    </row>
    <row r="161" customFormat="false" ht="15" hidden="false" customHeight="true" outlineLevel="0" collapsed="false">
      <c r="A161" s="27" t="s">
        <v>66</v>
      </c>
      <c r="B161" s="41" t="n">
        <v>46303.346875</v>
      </c>
      <c r="C161" s="27" t="s">
        <v>200</v>
      </c>
      <c r="D161" s="27" t="n">
        <v>39.4</v>
      </c>
      <c r="E161" s="27" t="n">
        <v>15.8</v>
      </c>
      <c r="F161" s="27" t="n">
        <v>25.8</v>
      </c>
      <c r="G161" s="27" t="n">
        <v>32.2</v>
      </c>
      <c r="H161" s="27" t="s">
        <v>199</v>
      </c>
      <c r="I161" s="42" t="n">
        <f aca="false">(D161-INDEX('Cohort Summary'!$D$5:$D$14,MATCH($A161,'Cohort Summary'!$A$5:$A$14,0)))/INDEX('Cohort Summary'!$E$5:$E$14,MATCH($A161,'Cohort Summary'!$A$5:$A$14,0))</f>
        <v>-0.202572347266882</v>
      </c>
      <c r="J161" s="42" t="n">
        <f aca="false">(E161-INDEX('Cohort Summary'!$F$5:$F$14,MATCH($A161,'Cohort Summary'!$A$5:$A$14,0)))/INDEX('Cohort Summary'!$G$5:$G$14,MATCH($A161,'Cohort Summary'!$A$5:$A$14,0))</f>
        <v>-1.40721649484536</v>
      </c>
      <c r="K161" s="42" t="n">
        <f aca="false">(F161-INDEX('Cohort Summary'!$H$5:$H$14,MATCH($A161,'Cohort Summary'!$A$5:$A$14,0)))/INDEX('Cohort Summary'!$I$5:$I$14,MATCH($A161,'Cohort Summary'!$A$5:$A$14,0))</f>
        <v>-1.74901960784314</v>
      </c>
      <c r="L161" s="42" t="n">
        <f aca="false">(G161-INDEX('Cohort Summary'!$J$5:$J$14,MATCH($A161,'Cohort Summary'!$A$5:$A$14,0)))/INDEX('Cohort Summary'!$K$5:$K$14,MATCH($A161,'Cohort Summary'!$A$5:$A$14,0))</f>
        <v>-1.34545454545454</v>
      </c>
      <c r="M161" s="42" t="n">
        <f aca="false">MAX(I161:K161)</f>
        <v>-0.202572347266882</v>
      </c>
      <c r="N161" s="27" t="s">
        <v>197</v>
      </c>
      <c r="O161" s="27"/>
      <c r="P161" s="27" t="str">
        <f aca="false">A161&amp;"|"&amp;N161</f>
        <v>NURSE-01|normal</v>
      </c>
    </row>
    <row r="162" customFormat="false" ht="15" hidden="false" customHeight="true" outlineLevel="0" collapsed="false">
      <c r="A162" s="27" t="s">
        <v>66</v>
      </c>
      <c r="B162" s="41" t="n">
        <v>46303.3472222222</v>
      </c>
      <c r="C162" s="27" t="s">
        <v>200</v>
      </c>
      <c r="D162" s="27" t="n">
        <v>44.6</v>
      </c>
      <c r="E162" s="27" t="n">
        <v>15.9</v>
      </c>
      <c r="F162" s="27" t="n">
        <v>34.6</v>
      </c>
      <c r="G162" s="27" t="n">
        <v>32.4</v>
      </c>
      <c r="H162" s="27" t="s">
        <v>199</v>
      </c>
      <c r="I162" s="42" t="n">
        <f aca="false">(D162-INDEX('Cohort Summary'!$D$5:$D$14,MATCH($A162,'Cohort Summary'!$A$5:$A$14,0)))/INDEX('Cohort Summary'!$E$5:$E$14,MATCH($A162,'Cohort Summary'!$A$5:$A$14,0))</f>
        <v>1.46945337620579</v>
      </c>
      <c r="J162" s="42" t="n">
        <f aca="false">(E162-INDEX('Cohort Summary'!$F$5:$F$14,MATCH($A162,'Cohort Summary'!$A$5:$A$14,0)))/INDEX('Cohort Summary'!$G$5:$G$14,MATCH($A162,'Cohort Summary'!$A$5:$A$14,0))</f>
        <v>-1.35567010309278</v>
      </c>
      <c r="K162" s="42" t="n">
        <f aca="false">(F162-INDEX('Cohort Summary'!$H$5:$H$14,MATCH($A162,'Cohort Summary'!$A$5:$A$14,0)))/INDEX('Cohort Summary'!$I$5:$I$14,MATCH($A162,'Cohort Summary'!$A$5:$A$14,0))</f>
        <v>1.70196078431373</v>
      </c>
      <c r="L162" s="42" t="n">
        <f aca="false">(G162-INDEX('Cohort Summary'!$J$5:$J$14,MATCH($A162,'Cohort Summary'!$A$5:$A$14,0)))/INDEX('Cohort Summary'!$K$5:$K$14,MATCH($A162,'Cohort Summary'!$A$5:$A$14,0))</f>
        <v>-0.98181818181818</v>
      </c>
      <c r="M162" s="42" t="n">
        <f aca="false">MAX(I162:K162)</f>
        <v>1.70196078431373</v>
      </c>
      <c r="N162" s="27" t="s">
        <v>197</v>
      </c>
      <c r="O162" s="27"/>
      <c r="P162" s="27" t="str">
        <f aca="false">A162&amp;"|"&amp;N162</f>
        <v>NURSE-01|normal</v>
      </c>
    </row>
    <row r="163" customFormat="false" ht="15" hidden="false" customHeight="true" outlineLevel="0" collapsed="false">
      <c r="A163" s="27" t="s">
        <v>66</v>
      </c>
      <c r="B163" s="41" t="n">
        <v>46303.3475694444</v>
      </c>
      <c r="C163" s="27" t="s">
        <v>200</v>
      </c>
      <c r="D163" s="27" t="n">
        <v>42.7</v>
      </c>
      <c r="E163" s="27" t="n">
        <v>17.2</v>
      </c>
      <c r="F163" s="27" t="n">
        <v>33</v>
      </c>
      <c r="G163" s="27" t="n">
        <v>32.2</v>
      </c>
      <c r="H163" s="27" t="s">
        <v>196</v>
      </c>
      <c r="I163" s="42" t="n">
        <f aca="false">(D163-INDEX('Cohort Summary'!$D$5:$D$14,MATCH($A163,'Cohort Summary'!$A$5:$A$14,0)))/INDEX('Cohort Summary'!$E$5:$E$14,MATCH($A163,'Cohort Summary'!$A$5:$A$14,0))</f>
        <v>0.858520900321544</v>
      </c>
      <c r="J163" s="42" t="n">
        <f aca="false">(E163-INDEX('Cohort Summary'!$F$5:$F$14,MATCH($A163,'Cohort Summary'!$A$5:$A$14,0)))/INDEX('Cohort Summary'!$G$5:$G$14,MATCH($A163,'Cohort Summary'!$A$5:$A$14,0))</f>
        <v>-0.685567010309279</v>
      </c>
      <c r="K163" s="42" t="n">
        <f aca="false">(F163-INDEX('Cohort Summary'!$H$5:$H$14,MATCH($A163,'Cohort Summary'!$A$5:$A$14,0)))/INDEX('Cohort Summary'!$I$5:$I$14,MATCH($A163,'Cohort Summary'!$A$5:$A$14,0))</f>
        <v>1.07450980392157</v>
      </c>
      <c r="L163" s="42" t="n">
        <f aca="false">(G163-INDEX('Cohort Summary'!$J$5:$J$14,MATCH($A163,'Cohort Summary'!$A$5:$A$14,0)))/INDEX('Cohort Summary'!$K$5:$K$14,MATCH($A163,'Cohort Summary'!$A$5:$A$14,0))</f>
        <v>-1.34545454545454</v>
      </c>
      <c r="M163" s="42" t="n">
        <f aca="false">MAX(I163:K163)</f>
        <v>1.07450980392157</v>
      </c>
      <c r="N163" s="27" t="s">
        <v>197</v>
      </c>
      <c r="O163" s="27"/>
      <c r="P163" s="27" t="str">
        <f aca="false">A163&amp;"|"&amp;N163</f>
        <v>NURSE-01|normal</v>
      </c>
    </row>
    <row r="164" customFormat="false" ht="15" hidden="false" customHeight="true" outlineLevel="0" collapsed="false">
      <c r="A164" s="27" t="s">
        <v>66</v>
      </c>
      <c r="B164" s="41" t="n">
        <v>46303.3479166667</v>
      </c>
      <c r="C164" s="27" t="s">
        <v>200</v>
      </c>
      <c r="D164" s="27" t="n">
        <v>39.7</v>
      </c>
      <c r="E164" s="27" t="n">
        <v>17.6</v>
      </c>
      <c r="F164" s="27" t="n">
        <v>34.2</v>
      </c>
      <c r="G164" s="27" t="n">
        <v>32.4</v>
      </c>
      <c r="H164" s="27" t="s">
        <v>199</v>
      </c>
      <c r="I164" s="42" t="n">
        <f aca="false">(D164-INDEX('Cohort Summary'!$D$5:$D$14,MATCH($A164,'Cohort Summary'!$A$5:$A$14,0)))/INDEX('Cohort Summary'!$E$5:$E$14,MATCH($A164,'Cohort Summary'!$A$5:$A$14,0))</f>
        <v>-0.106109324758842</v>
      </c>
      <c r="J164" s="42" t="n">
        <f aca="false">(E164-INDEX('Cohort Summary'!$F$5:$F$14,MATCH($A164,'Cohort Summary'!$A$5:$A$14,0)))/INDEX('Cohort Summary'!$G$5:$G$14,MATCH($A164,'Cohort Summary'!$A$5:$A$14,0))</f>
        <v>-0.479381443298969</v>
      </c>
      <c r="K164" s="42" t="n">
        <f aca="false">(F164-INDEX('Cohort Summary'!$H$5:$H$14,MATCH($A164,'Cohort Summary'!$A$5:$A$14,0)))/INDEX('Cohort Summary'!$I$5:$I$14,MATCH($A164,'Cohort Summary'!$A$5:$A$14,0))</f>
        <v>1.54509803921569</v>
      </c>
      <c r="L164" s="42" t="n">
        <f aca="false">(G164-INDEX('Cohort Summary'!$J$5:$J$14,MATCH($A164,'Cohort Summary'!$A$5:$A$14,0)))/INDEX('Cohort Summary'!$K$5:$K$14,MATCH($A164,'Cohort Summary'!$A$5:$A$14,0))</f>
        <v>-0.98181818181818</v>
      </c>
      <c r="M164" s="42" t="n">
        <f aca="false">MAX(I164:K164)</f>
        <v>1.54509803921569</v>
      </c>
      <c r="N164" s="27" t="s">
        <v>197</v>
      </c>
      <c r="O164" s="27"/>
      <c r="P164" s="27" t="str">
        <f aca="false">A164&amp;"|"&amp;N164</f>
        <v>NURSE-01|normal</v>
      </c>
    </row>
    <row r="165" customFormat="false" ht="15" hidden="false" customHeight="true" outlineLevel="0" collapsed="false">
      <c r="A165" s="27" t="s">
        <v>66</v>
      </c>
      <c r="B165" s="41" t="n">
        <v>46303.3482638889</v>
      </c>
      <c r="C165" s="27" t="s">
        <v>200</v>
      </c>
      <c r="D165" s="27" t="n">
        <v>42.4</v>
      </c>
      <c r="E165" s="27" t="n">
        <v>18.3</v>
      </c>
      <c r="F165" s="27" t="n">
        <v>31.3</v>
      </c>
      <c r="G165" s="27" t="n">
        <v>32.5</v>
      </c>
      <c r="H165" s="27" t="s">
        <v>196</v>
      </c>
      <c r="I165" s="42" t="n">
        <f aca="false">(D165-INDEX('Cohort Summary'!$D$5:$D$14,MATCH($A165,'Cohort Summary'!$A$5:$A$14,0)))/INDEX('Cohort Summary'!$E$5:$E$14,MATCH($A165,'Cohort Summary'!$A$5:$A$14,0))</f>
        <v>0.762057877813504</v>
      </c>
      <c r="J165" s="42" t="n">
        <f aca="false">(E165-INDEX('Cohort Summary'!$F$5:$F$14,MATCH($A165,'Cohort Summary'!$A$5:$A$14,0)))/INDEX('Cohort Summary'!$G$5:$G$14,MATCH($A165,'Cohort Summary'!$A$5:$A$14,0))</f>
        <v>-0.118556701030928</v>
      </c>
      <c r="K165" s="42" t="n">
        <f aca="false">(F165-INDEX('Cohort Summary'!$H$5:$H$14,MATCH($A165,'Cohort Summary'!$A$5:$A$14,0)))/INDEX('Cohort Summary'!$I$5:$I$14,MATCH($A165,'Cohort Summary'!$A$5:$A$14,0))</f>
        <v>0.407843137254902</v>
      </c>
      <c r="L165" s="42" t="n">
        <f aca="false">(G165-INDEX('Cohort Summary'!$J$5:$J$14,MATCH($A165,'Cohort Summary'!$A$5:$A$14,0)))/INDEX('Cohort Summary'!$K$5:$K$14,MATCH($A165,'Cohort Summary'!$A$5:$A$14,0))</f>
        <v>-0.799999999999996</v>
      </c>
      <c r="M165" s="42" t="n">
        <f aca="false">MAX(I165:K165)</f>
        <v>0.762057877813504</v>
      </c>
      <c r="N165" s="27" t="s">
        <v>197</v>
      </c>
      <c r="O165" s="27"/>
      <c r="P165" s="27" t="str">
        <f aca="false">A165&amp;"|"&amp;N165</f>
        <v>NURSE-01|normal</v>
      </c>
    </row>
    <row r="166" customFormat="false" ht="15" hidden="false" customHeight="true" outlineLevel="0" collapsed="false">
      <c r="A166" s="27" t="s">
        <v>66</v>
      </c>
      <c r="B166" s="41" t="n">
        <v>46303.3486111111</v>
      </c>
      <c r="C166" s="27" t="s">
        <v>200</v>
      </c>
      <c r="D166" s="27" t="n">
        <v>42.7</v>
      </c>
      <c r="E166" s="27" t="n">
        <v>15.3</v>
      </c>
      <c r="F166" s="27" t="n">
        <v>25.3</v>
      </c>
      <c r="G166" s="27" t="n">
        <v>32.1</v>
      </c>
      <c r="H166" s="27" t="s">
        <v>198</v>
      </c>
      <c r="I166" s="42" t="n">
        <f aca="false">(D166-INDEX('Cohort Summary'!$D$5:$D$14,MATCH($A166,'Cohort Summary'!$A$5:$A$14,0)))/INDEX('Cohort Summary'!$E$5:$E$14,MATCH($A166,'Cohort Summary'!$A$5:$A$14,0))</f>
        <v>0.858520900321544</v>
      </c>
      <c r="J166" s="42" t="n">
        <f aca="false">(E166-INDEX('Cohort Summary'!$F$5:$F$14,MATCH($A166,'Cohort Summary'!$A$5:$A$14,0)))/INDEX('Cohort Summary'!$G$5:$G$14,MATCH($A166,'Cohort Summary'!$A$5:$A$14,0))</f>
        <v>-1.66494845360825</v>
      </c>
      <c r="K166" s="42" t="n">
        <f aca="false">(F166-INDEX('Cohort Summary'!$H$5:$H$14,MATCH($A166,'Cohort Summary'!$A$5:$A$14,0)))/INDEX('Cohort Summary'!$I$5:$I$14,MATCH($A166,'Cohort Summary'!$A$5:$A$14,0))</f>
        <v>-1.94509803921569</v>
      </c>
      <c r="L166" s="42" t="n">
        <f aca="false">(G166-INDEX('Cohort Summary'!$J$5:$J$14,MATCH($A166,'Cohort Summary'!$A$5:$A$14,0)))/INDEX('Cohort Summary'!$K$5:$K$14,MATCH($A166,'Cohort Summary'!$A$5:$A$14,0))</f>
        <v>-1.52727272727272</v>
      </c>
      <c r="M166" s="42" t="n">
        <f aca="false">MAX(I166:K166)</f>
        <v>0.858520900321544</v>
      </c>
      <c r="N166" s="27" t="s">
        <v>197</v>
      </c>
      <c r="O166" s="27"/>
      <c r="P166" s="27" t="str">
        <f aca="false">A166&amp;"|"&amp;N166</f>
        <v>NURSE-01|normal</v>
      </c>
    </row>
    <row r="167" customFormat="false" ht="15" hidden="false" customHeight="true" outlineLevel="0" collapsed="false">
      <c r="A167" s="27" t="s">
        <v>66</v>
      </c>
      <c r="B167" s="41" t="n">
        <v>46303.3489583333</v>
      </c>
      <c r="C167" s="27" t="s">
        <v>200</v>
      </c>
      <c r="D167" s="27" t="n">
        <v>37.6</v>
      </c>
      <c r="E167" s="27" t="n">
        <v>20.2</v>
      </c>
      <c r="F167" s="27" t="n">
        <v>34</v>
      </c>
      <c r="G167" s="27" t="n">
        <v>32.7</v>
      </c>
      <c r="H167" s="27" t="s">
        <v>199</v>
      </c>
      <c r="I167" s="42" t="n">
        <f aca="false">(D167-INDEX('Cohort Summary'!$D$5:$D$14,MATCH($A167,'Cohort Summary'!$A$5:$A$14,0)))/INDEX('Cohort Summary'!$E$5:$E$14,MATCH($A167,'Cohort Summary'!$A$5:$A$14,0))</f>
        <v>-0.781350482315113</v>
      </c>
      <c r="J167" s="42" t="n">
        <f aca="false">(E167-INDEX('Cohort Summary'!$F$5:$F$14,MATCH($A167,'Cohort Summary'!$A$5:$A$14,0)))/INDEX('Cohort Summary'!$G$5:$G$14,MATCH($A167,'Cohort Summary'!$A$5:$A$14,0))</f>
        <v>0.86082474226804</v>
      </c>
      <c r="K167" s="42" t="n">
        <f aca="false">(F167-INDEX('Cohort Summary'!$H$5:$H$14,MATCH($A167,'Cohort Summary'!$A$5:$A$14,0)))/INDEX('Cohort Summary'!$I$5:$I$14,MATCH($A167,'Cohort Summary'!$A$5:$A$14,0))</f>
        <v>1.46666666666667</v>
      </c>
      <c r="L167" s="42" t="n">
        <f aca="false">(G167-INDEX('Cohort Summary'!$J$5:$J$14,MATCH($A167,'Cohort Summary'!$A$5:$A$14,0)))/INDEX('Cohort Summary'!$K$5:$K$14,MATCH($A167,'Cohort Summary'!$A$5:$A$14,0))</f>
        <v>-0.436363636363627</v>
      </c>
      <c r="M167" s="42" t="n">
        <f aca="false">MAX(I167:K167)</f>
        <v>1.46666666666667</v>
      </c>
      <c r="N167" s="27" t="s">
        <v>197</v>
      </c>
      <c r="O167" s="27"/>
      <c r="P167" s="27" t="str">
        <f aca="false">A167&amp;"|"&amp;N167</f>
        <v>NURSE-01|normal</v>
      </c>
    </row>
    <row r="168" customFormat="false" ht="15" hidden="false" customHeight="true" outlineLevel="0" collapsed="false">
      <c r="A168" s="27" t="s">
        <v>66</v>
      </c>
      <c r="B168" s="41" t="n">
        <v>46303.3493055556</v>
      </c>
      <c r="C168" s="27" t="s">
        <v>200</v>
      </c>
      <c r="D168" s="27" t="n">
        <v>38.3</v>
      </c>
      <c r="E168" s="27" t="n">
        <v>21.7</v>
      </c>
      <c r="F168" s="27" t="n">
        <v>25.4</v>
      </c>
      <c r="G168" s="27" t="n">
        <v>33.5</v>
      </c>
      <c r="H168" s="27" t="s">
        <v>196</v>
      </c>
      <c r="I168" s="42" t="n">
        <f aca="false">(D168-INDEX('Cohort Summary'!$D$5:$D$14,MATCH($A168,'Cohort Summary'!$A$5:$A$14,0)))/INDEX('Cohort Summary'!$E$5:$E$14,MATCH($A168,'Cohort Summary'!$A$5:$A$14,0))</f>
        <v>-0.556270096463024</v>
      </c>
      <c r="J168" s="42" t="n">
        <f aca="false">(E168-INDEX('Cohort Summary'!$F$5:$F$14,MATCH($A168,'Cohort Summary'!$A$5:$A$14,0)))/INDEX('Cohort Summary'!$G$5:$G$14,MATCH($A168,'Cohort Summary'!$A$5:$A$14,0))</f>
        <v>1.6340206185567</v>
      </c>
      <c r="K168" s="42" t="n">
        <f aca="false">(F168-INDEX('Cohort Summary'!$H$5:$H$14,MATCH($A168,'Cohort Summary'!$A$5:$A$14,0)))/INDEX('Cohort Summary'!$I$5:$I$14,MATCH($A168,'Cohort Summary'!$A$5:$A$14,0))</f>
        <v>-1.90588235294118</v>
      </c>
      <c r="L168" s="42" t="n">
        <f aca="false">(G168-INDEX('Cohort Summary'!$J$5:$J$14,MATCH($A168,'Cohort Summary'!$A$5:$A$14,0)))/INDEX('Cohort Summary'!$K$5:$K$14,MATCH($A168,'Cohort Summary'!$A$5:$A$14,0))</f>
        <v>1.01818181818182</v>
      </c>
      <c r="M168" s="42" t="n">
        <f aca="false">MAX(I168:K168)</f>
        <v>1.6340206185567</v>
      </c>
      <c r="N168" s="27" t="s">
        <v>197</v>
      </c>
      <c r="O168" s="27"/>
      <c r="P168" s="27" t="str">
        <f aca="false">A168&amp;"|"&amp;N168</f>
        <v>NURSE-01|normal</v>
      </c>
    </row>
    <row r="169" customFormat="false" ht="15" hidden="false" customHeight="true" outlineLevel="0" collapsed="false">
      <c r="A169" s="27" t="s">
        <v>66</v>
      </c>
      <c r="B169" s="41" t="n">
        <v>46303.3496527778</v>
      </c>
      <c r="C169" s="27" t="s">
        <v>200</v>
      </c>
      <c r="D169" s="27" t="n">
        <v>38.2</v>
      </c>
      <c r="E169" s="27" t="n">
        <v>16.9</v>
      </c>
      <c r="F169" s="27" t="n">
        <v>25</v>
      </c>
      <c r="G169" s="27" t="n">
        <v>33.5</v>
      </c>
      <c r="H169" s="27" t="s">
        <v>196</v>
      </c>
      <c r="I169" s="42" t="n">
        <f aca="false">(D169-INDEX('Cohort Summary'!$D$5:$D$14,MATCH($A169,'Cohort Summary'!$A$5:$A$14,0)))/INDEX('Cohort Summary'!$E$5:$E$14,MATCH($A169,'Cohort Summary'!$A$5:$A$14,0))</f>
        <v>-0.588424437299035</v>
      </c>
      <c r="J169" s="42" t="n">
        <f aca="false">(E169-INDEX('Cohort Summary'!$F$5:$F$14,MATCH($A169,'Cohort Summary'!$A$5:$A$14,0)))/INDEX('Cohort Summary'!$G$5:$G$14,MATCH($A169,'Cohort Summary'!$A$5:$A$14,0))</f>
        <v>-0.840206185567012</v>
      </c>
      <c r="K169" s="42" t="n">
        <f aca="false">(F169-INDEX('Cohort Summary'!$H$5:$H$14,MATCH($A169,'Cohort Summary'!$A$5:$A$14,0)))/INDEX('Cohort Summary'!$I$5:$I$14,MATCH($A169,'Cohort Summary'!$A$5:$A$14,0))</f>
        <v>-2.06274509803922</v>
      </c>
      <c r="L169" s="42" t="n">
        <f aca="false">(G169-INDEX('Cohort Summary'!$J$5:$J$14,MATCH($A169,'Cohort Summary'!$A$5:$A$14,0)))/INDEX('Cohort Summary'!$K$5:$K$14,MATCH($A169,'Cohort Summary'!$A$5:$A$14,0))</f>
        <v>1.01818181818182</v>
      </c>
      <c r="M169" s="42" t="n">
        <f aca="false">MAX(I169:K169)</f>
        <v>-0.588424437299035</v>
      </c>
      <c r="N169" s="27" t="s">
        <v>197</v>
      </c>
      <c r="O169" s="27"/>
      <c r="P169" s="27" t="str">
        <f aca="false">A169&amp;"|"&amp;N169</f>
        <v>NURSE-01|normal</v>
      </c>
    </row>
    <row r="170" customFormat="false" ht="15" hidden="false" customHeight="true" outlineLevel="0" collapsed="false">
      <c r="A170" s="27" t="s">
        <v>66</v>
      </c>
      <c r="B170" s="41" t="n">
        <v>46303.35</v>
      </c>
      <c r="C170" s="27" t="s">
        <v>200</v>
      </c>
      <c r="D170" s="27" t="n">
        <v>44.5</v>
      </c>
      <c r="E170" s="27" t="n">
        <v>15.5</v>
      </c>
      <c r="F170" s="27" t="n">
        <v>33.3</v>
      </c>
      <c r="G170" s="27" t="n">
        <v>32.2</v>
      </c>
      <c r="H170" s="27" t="s">
        <v>196</v>
      </c>
      <c r="I170" s="42" t="n">
        <f aca="false">(D170-INDEX('Cohort Summary'!$D$5:$D$14,MATCH($A170,'Cohort Summary'!$A$5:$A$14,0)))/INDEX('Cohort Summary'!$E$5:$E$14,MATCH($A170,'Cohort Summary'!$A$5:$A$14,0))</f>
        <v>1.43729903536977</v>
      </c>
      <c r="J170" s="42" t="n">
        <f aca="false">(E170-INDEX('Cohort Summary'!$F$5:$F$14,MATCH($A170,'Cohort Summary'!$A$5:$A$14,0)))/INDEX('Cohort Summary'!$G$5:$G$14,MATCH($A170,'Cohort Summary'!$A$5:$A$14,0))</f>
        <v>-1.56185567010309</v>
      </c>
      <c r="K170" s="42" t="n">
        <f aca="false">(F170-INDEX('Cohort Summary'!$H$5:$H$14,MATCH($A170,'Cohort Summary'!$A$5:$A$14,0)))/INDEX('Cohort Summary'!$I$5:$I$14,MATCH($A170,'Cohort Summary'!$A$5:$A$14,0))</f>
        <v>1.1921568627451</v>
      </c>
      <c r="L170" s="42" t="n">
        <f aca="false">(G170-INDEX('Cohort Summary'!$J$5:$J$14,MATCH($A170,'Cohort Summary'!$A$5:$A$14,0)))/INDEX('Cohort Summary'!$K$5:$K$14,MATCH($A170,'Cohort Summary'!$A$5:$A$14,0))</f>
        <v>-1.34545454545454</v>
      </c>
      <c r="M170" s="42" t="n">
        <f aca="false">MAX(I170:K170)</f>
        <v>1.43729903536977</v>
      </c>
      <c r="N170" s="27" t="s">
        <v>197</v>
      </c>
      <c r="O170" s="27"/>
      <c r="P170" s="27" t="str">
        <f aca="false">A170&amp;"|"&amp;N170</f>
        <v>NURSE-01|normal</v>
      </c>
    </row>
    <row r="171" customFormat="false" ht="15" hidden="false" customHeight="true" outlineLevel="0" collapsed="false">
      <c r="A171" s="27" t="s">
        <v>66</v>
      </c>
      <c r="B171" s="41" t="n">
        <v>46303.3503472222</v>
      </c>
      <c r="C171" s="27" t="s">
        <v>200</v>
      </c>
      <c r="D171" s="27" t="n">
        <v>44.6</v>
      </c>
      <c r="E171" s="27" t="n">
        <v>21.7</v>
      </c>
      <c r="F171" s="27" t="n">
        <v>28.9</v>
      </c>
      <c r="G171" s="27" t="n">
        <v>32.5</v>
      </c>
      <c r="H171" s="27" t="s">
        <v>199</v>
      </c>
      <c r="I171" s="42" t="n">
        <f aca="false">(D171-INDEX('Cohort Summary'!$D$5:$D$14,MATCH($A171,'Cohort Summary'!$A$5:$A$14,0)))/INDEX('Cohort Summary'!$E$5:$E$14,MATCH($A171,'Cohort Summary'!$A$5:$A$14,0))</f>
        <v>1.46945337620579</v>
      </c>
      <c r="J171" s="42" t="n">
        <f aca="false">(E171-INDEX('Cohort Summary'!$F$5:$F$14,MATCH($A171,'Cohort Summary'!$A$5:$A$14,0)))/INDEX('Cohort Summary'!$G$5:$G$14,MATCH($A171,'Cohort Summary'!$A$5:$A$14,0))</f>
        <v>1.6340206185567</v>
      </c>
      <c r="K171" s="42" t="n">
        <f aca="false">(F171-INDEX('Cohort Summary'!$H$5:$H$14,MATCH($A171,'Cohort Summary'!$A$5:$A$14,0)))/INDEX('Cohort Summary'!$I$5:$I$14,MATCH($A171,'Cohort Summary'!$A$5:$A$14,0))</f>
        <v>-0.533333333333335</v>
      </c>
      <c r="L171" s="42" t="n">
        <f aca="false">(G171-INDEX('Cohort Summary'!$J$5:$J$14,MATCH($A171,'Cohort Summary'!$A$5:$A$14,0)))/INDEX('Cohort Summary'!$K$5:$K$14,MATCH($A171,'Cohort Summary'!$A$5:$A$14,0))</f>
        <v>-0.799999999999996</v>
      </c>
      <c r="M171" s="42" t="n">
        <f aca="false">MAX(I171:K171)</f>
        <v>1.6340206185567</v>
      </c>
      <c r="N171" s="27" t="s">
        <v>197</v>
      </c>
      <c r="O171" s="27"/>
      <c r="P171" s="27" t="str">
        <f aca="false">A171&amp;"|"&amp;N171</f>
        <v>NURSE-01|normal</v>
      </c>
    </row>
    <row r="172" customFormat="false" ht="15" hidden="false" customHeight="true" outlineLevel="0" collapsed="false">
      <c r="A172" s="27" t="s">
        <v>66</v>
      </c>
      <c r="B172" s="41" t="n">
        <v>46303.3506944445</v>
      </c>
      <c r="C172" s="27" t="s">
        <v>200</v>
      </c>
      <c r="D172" s="27" t="n">
        <v>43.1</v>
      </c>
      <c r="E172" s="27" t="n">
        <v>15.9</v>
      </c>
      <c r="F172" s="27" t="n">
        <v>30</v>
      </c>
      <c r="G172" s="27" t="n">
        <v>32</v>
      </c>
      <c r="H172" s="27" t="s">
        <v>196</v>
      </c>
      <c r="I172" s="42" t="n">
        <f aca="false">(D172-INDEX('Cohort Summary'!$D$5:$D$14,MATCH($A172,'Cohort Summary'!$A$5:$A$14,0)))/INDEX('Cohort Summary'!$E$5:$E$14,MATCH($A172,'Cohort Summary'!$A$5:$A$14,0))</f>
        <v>0.987138263665595</v>
      </c>
      <c r="J172" s="42" t="n">
        <f aca="false">(E172-INDEX('Cohort Summary'!$F$5:$F$14,MATCH($A172,'Cohort Summary'!$A$5:$A$14,0)))/INDEX('Cohort Summary'!$G$5:$G$14,MATCH($A172,'Cohort Summary'!$A$5:$A$14,0))</f>
        <v>-1.35567010309278</v>
      </c>
      <c r="K172" s="42" t="n">
        <f aca="false">(F172-INDEX('Cohort Summary'!$H$5:$H$14,MATCH($A172,'Cohort Summary'!$A$5:$A$14,0)))/INDEX('Cohort Summary'!$I$5:$I$14,MATCH($A172,'Cohort Summary'!$A$5:$A$14,0))</f>
        <v>-0.101960784313726</v>
      </c>
      <c r="L172" s="42" t="n">
        <f aca="false">(G172-INDEX('Cohort Summary'!$J$5:$J$14,MATCH($A172,'Cohort Summary'!$A$5:$A$14,0)))/INDEX('Cohort Summary'!$K$5:$K$14,MATCH($A172,'Cohort Summary'!$A$5:$A$14,0))</f>
        <v>-1.7090909090909</v>
      </c>
      <c r="M172" s="42" t="n">
        <f aca="false">MAX(I172:K172)</f>
        <v>0.987138263665595</v>
      </c>
      <c r="N172" s="27" t="s">
        <v>197</v>
      </c>
      <c r="O172" s="27"/>
      <c r="P172" s="27" t="str">
        <f aca="false">A172&amp;"|"&amp;N172</f>
        <v>NURSE-01|normal</v>
      </c>
    </row>
    <row r="173" customFormat="false" ht="15" hidden="false" customHeight="true" outlineLevel="0" collapsed="false">
      <c r="A173" s="27" t="s">
        <v>66</v>
      </c>
      <c r="B173" s="41" t="n">
        <v>46303.3510416667</v>
      </c>
      <c r="C173" s="27" t="s">
        <v>200</v>
      </c>
      <c r="D173" s="27" t="n">
        <v>38</v>
      </c>
      <c r="E173" s="27" t="n">
        <v>19.8</v>
      </c>
      <c r="F173" s="27" t="n">
        <v>26.5</v>
      </c>
      <c r="G173" s="27" t="n">
        <v>32.5</v>
      </c>
      <c r="H173" s="27" t="s">
        <v>199</v>
      </c>
      <c r="I173" s="42" t="n">
        <f aca="false">(D173-INDEX('Cohort Summary'!$D$5:$D$14,MATCH($A173,'Cohort Summary'!$A$5:$A$14,0)))/INDEX('Cohort Summary'!$E$5:$E$14,MATCH($A173,'Cohort Summary'!$A$5:$A$14,0))</f>
        <v>-0.652733118971062</v>
      </c>
      <c r="J173" s="42" t="n">
        <f aca="false">(E173-INDEX('Cohort Summary'!$F$5:$F$14,MATCH($A173,'Cohort Summary'!$A$5:$A$14,0)))/INDEX('Cohort Summary'!$G$5:$G$14,MATCH($A173,'Cohort Summary'!$A$5:$A$14,0))</f>
        <v>0.654639175257732</v>
      </c>
      <c r="K173" s="42" t="n">
        <f aca="false">(F173-INDEX('Cohort Summary'!$H$5:$H$14,MATCH($A173,'Cohort Summary'!$A$5:$A$14,0)))/INDEX('Cohort Summary'!$I$5:$I$14,MATCH($A173,'Cohort Summary'!$A$5:$A$14,0))</f>
        <v>-1.47450980392157</v>
      </c>
      <c r="L173" s="42" t="n">
        <f aca="false">(G173-INDEX('Cohort Summary'!$J$5:$J$14,MATCH($A173,'Cohort Summary'!$A$5:$A$14,0)))/INDEX('Cohort Summary'!$K$5:$K$14,MATCH($A173,'Cohort Summary'!$A$5:$A$14,0))</f>
        <v>-0.799999999999996</v>
      </c>
      <c r="M173" s="42" t="n">
        <f aca="false">MAX(I173:K173)</f>
        <v>0.654639175257732</v>
      </c>
      <c r="N173" s="27" t="s">
        <v>197</v>
      </c>
      <c r="O173" s="27"/>
      <c r="P173" s="27" t="str">
        <f aca="false">A173&amp;"|"&amp;N173</f>
        <v>NURSE-01|normal</v>
      </c>
    </row>
    <row r="174" customFormat="false" ht="15" hidden="false" customHeight="true" outlineLevel="0" collapsed="false">
      <c r="A174" s="27" t="s">
        <v>66</v>
      </c>
      <c r="B174" s="41" t="n">
        <v>46303.3513888889</v>
      </c>
      <c r="C174" s="27" t="s">
        <v>200</v>
      </c>
      <c r="D174" s="27" t="n">
        <v>39.6</v>
      </c>
      <c r="E174" s="27" t="n">
        <v>20.5</v>
      </c>
      <c r="F174" s="27" t="n">
        <v>31</v>
      </c>
      <c r="G174" s="27" t="n">
        <v>33</v>
      </c>
      <c r="H174" s="27" t="s">
        <v>199</v>
      </c>
      <c r="I174" s="42" t="n">
        <f aca="false">(D174-INDEX('Cohort Summary'!$D$5:$D$14,MATCH($A174,'Cohort Summary'!$A$5:$A$14,0)))/INDEX('Cohort Summary'!$E$5:$E$14,MATCH($A174,'Cohort Summary'!$A$5:$A$14,0))</f>
        <v>-0.138263665594855</v>
      </c>
      <c r="J174" s="42" t="n">
        <f aca="false">(E174-INDEX('Cohort Summary'!$F$5:$F$14,MATCH($A174,'Cohort Summary'!$A$5:$A$14,0)))/INDEX('Cohort Summary'!$G$5:$G$14,MATCH($A174,'Cohort Summary'!$A$5:$A$14,0))</f>
        <v>1.01546391752577</v>
      </c>
      <c r="K174" s="42" t="n">
        <f aca="false">(F174-INDEX('Cohort Summary'!$H$5:$H$14,MATCH($A174,'Cohort Summary'!$A$5:$A$14,0)))/INDEX('Cohort Summary'!$I$5:$I$14,MATCH($A174,'Cohort Summary'!$A$5:$A$14,0))</f>
        <v>0.290196078431372</v>
      </c>
      <c r="L174" s="42" t="n">
        <f aca="false">(G174-INDEX('Cohort Summary'!$J$5:$J$14,MATCH($A174,'Cohort Summary'!$A$5:$A$14,0)))/INDEX('Cohort Summary'!$K$5:$K$14,MATCH($A174,'Cohort Summary'!$A$5:$A$14,0))</f>
        <v>0.109090909090913</v>
      </c>
      <c r="M174" s="42" t="n">
        <f aca="false">MAX(I174:K174)</f>
        <v>1.01546391752577</v>
      </c>
      <c r="N174" s="27" t="s">
        <v>197</v>
      </c>
      <c r="O174" s="27"/>
      <c r="P174" s="27" t="str">
        <f aca="false">A174&amp;"|"&amp;N174</f>
        <v>NURSE-01|normal</v>
      </c>
    </row>
    <row r="175" customFormat="false" ht="15" hidden="false" customHeight="true" outlineLevel="0" collapsed="false">
      <c r="A175" s="27" t="s">
        <v>66</v>
      </c>
      <c r="B175" s="41" t="n">
        <v>46303.3517361111</v>
      </c>
      <c r="C175" s="27" t="s">
        <v>200</v>
      </c>
      <c r="D175" s="27" t="n">
        <v>42.5</v>
      </c>
      <c r="E175" s="27" t="n">
        <v>16.7</v>
      </c>
      <c r="F175" s="27" t="n">
        <v>25.6</v>
      </c>
      <c r="G175" s="27" t="n">
        <v>32.1</v>
      </c>
      <c r="H175" s="27" t="s">
        <v>196</v>
      </c>
      <c r="I175" s="42" t="n">
        <f aca="false">(D175-INDEX('Cohort Summary'!$D$5:$D$14,MATCH($A175,'Cohort Summary'!$A$5:$A$14,0)))/INDEX('Cohort Summary'!$E$5:$E$14,MATCH($A175,'Cohort Summary'!$A$5:$A$14,0))</f>
        <v>0.794212218649517</v>
      </c>
      <c r="J175" s="42" t="n">
        <f aca="false">(E175-INDEX('Cohort Summary'!$F$5:$F$14,MATCH($A175,'Cohort Summary'!$A$5:$A$14,0)))/INDEX('Cohort Summary'!$G$5:$G$14,MATCH($A175,'Cohort Summary'!$A$5:$A$14,0))</f>
        <v>-0.943298969072166</v>
      </c>
      <c r="K175" s="42" t="n">
        <f aca="false">(F175-INDEX('Cohort Summary'!$H$5:$H$14,MATCH($A175,'Cohort Summary'!$A$5:$A$14,0)))/INDEX('Cohort Summary'!$I$5:$I$14,MATCH($A175,'Cohort Summary'!$A$5:$A$14,0))</f>
        <v>-1.82745098039216</v>
      </c>
      <c r="L175" s="42" t="n">
        <f aca="false">(G175-INDEX('Cohort Summary'!$J$5:$J$14,MATCH($A175,'Cohort Summary'!$A$5:$A$14,0)))/INDEX('Cohort Summary'!$K$5:$K$14,MATCH($A175,'Cohort Summary'!$A$5:$A$14,0))</f>
        <v>-1.52727272727272</v>
      </c>
      <c r="M175" s="42" t="n">
        <f aca="false">MAX(I175:K175)</f>
        <v>0.794212218649517</v>
      </c>
      <c r="N175" s="27" t="s">
        <v>197</v>
      </c>
      <c r="O175" s="27"/>
      <c r="P175" s="27" t="str">
        <f aca="false">A175&amp;"|"&amp;N175</f>
        <v>NURSE-01|normal</v>
      </c>
    </row>
    <row r="176" customFormat="false" ht="15" hidden="false" customHeight="true" outlineLevel="0" collapsed="false">
      <c r="A176" s="27" t="s">
        <v>66</v>
      </c>
      <c r="B176" s="41" t="n">
        <v>46303.3520833333</v>
      </c>
      <c r="C176" s="27" t="s">
        <v>200</v>
      </c>
      <c r="D176" s="27" t="n">
        <v>40.4</v>
      </c>
      <c r="E176" s="27" t="n">
        <v>16.1</v>
      </c>
      <c r="F176" s="27" t="n">
        <v>29.3</v>
      </c>
      <c r="G176" s="27" t="n">
        <v>32.2</v>
      </c>
      <c r="H176" s="27" t="s">
        <v>198</v>
      </c>
      <c r="I176" s="42" t="n">
        <f aca="false">(D176-INDEX('Cohort Summary'!$D$5:$D$14,MATCH($A176,'Cohort Summary'!$A$5:$A$14,0)))/INDEX('Cohort Summary'!$E$5:$E$14,MATCH($A176,'Cohort Summary'!$A$5:$A$14,0))</f>
        <v>0.118971061093247</v>
      </c>
      <c r="J176" s="42" t="n">
        <f aca="false">(E176-INDEX('Cohort Summary'!$F$5:$F$14,MATCH($A176,'Cohort Summary'!$A$5:$A$14,0)))/INDEX('Cohort Summary'!$G$5:$G$14,MATCH($A176,'Cohort Summary'!$A$5:$A$14,0))</f>
        <v>-1.25257731958763</v>
      </c>
      <c r="K176" s="42" t="n">
        <f aca="false">(F176-INDEX('Cohort Summary'!$H$5:$H$14,MATCH($A176,'Cohort Summary'!$A$5:$A$14,0)))/INDEX('Cohort Summary'!$I$5:$I$14,MATCH($A176,'Cohort Summary'!$A$5:$A$14,0))</f>
        <v>-0.376470588235295</v>
      </c>
      <c r="L176" s="42" t="n">
        <f aca="false">(G176-INDEX('Cohort Summary'!$J$5:$J$14,MATCH($A176,'Cohort Summary'!$A$5:$A$14,0)))/INDEX('Cohort Summary'!$K$5:$K$14,MATCH($A176,'Cohort Summary'!$A$5:$A$14,0))</f>
        <v>-1.34545454545454</v>
      </c>
      <c r="M176" s="42" t="n">
        <f aca="false">MAX(I176:K176)</f>
        <v>0.118971061093247</v>
      </c>
      <c r="N176" s="27" t="s">
        <v>197</v>
      </c>
      <c r="O176" s="27"/>
      <c r="P176" s="27" t="str">
        <f aca="false">A176&amp;"|"&amp;N176</f>
        <v>NURSE-01|normal</v>
      </c>
    </row>
    <row r="177" customFormat="false" ht="15" hidden="false" customHeight="true" outlineLevel="0" collapsed="false">
      <c r="A177" s="27" t="s">
        <v>66</v>
      </c>
      <c r="B177" s="41" t="n">
        <v>46303.3524305556</v>
      </c>
      <c r="C177" s="27" t="s">
        <v>200</v>
      </c>
      <c r="D177" s="27" t="n">
        <v>37.6</v>
      </c>
      <c r="E177" s="27" t="n">
        <v>15.6</v>
      </c>
      <c r="F177" s="27" t="n">
        <v>26</v>
      </c>
      <c r="G177" s="27" t="n">
        <v>33</v>
      </c>
      <c r="H177" s="27" t="s">
        <v>196</v>
      </c>
      <c r="I177" s="42" t="n">
        <f aca="false">(D177-INDEX('Cohort Summary'!$D$5:$D$14,MATCH($A177,'Cohort Summary'!$A$5:$A$14,0)))/INDEX('Cohort Summary'!$E$5:$E$14,MATCH($A177,'Cohort Summary'!$A$5:$A$14,0))</f>
        <v>-0.781350482315113</v>
      </c>
      <c r="J177" s="42" t="n">
        <f aca="false">(E177-INDEX('Cohort Summary'!$F$5:$F$14,MATCH($A177,'Cohort Summary'!$A$5:$A$14,0)))/INDEX('Cohort Summary'!$G$5:$G$14,MATCH($A177,'Cohort Summary'!$A$5:$A$14,0))</f>
        <v>-1.51030927835052</v>
      </c>
      <c r="K177" s="42" t="n">
        <f aca="false">(F177-INDEX('Cohort Summary'!$H$5:$H$14,MATCH($A177,'Cohort Summary'!$A$5:$A$14,0)))/INDEX('Cohort Summary'!$I$5:$I$14,MATCH($A177,'Cohort Summary'!$A$5:$A$14,0))</f>
        <v>-1.67058823529412</v>
      </c>
      <c r="L177" s="42" t="n">
        <f aca="false">(G177-INDEX('Cohort Summary'!$J$5:$J$14,MATCH($A177,'Cohort Summary'!$A$5:$A$14,0)))/INDEX('Cohort Summary'!$K$5:$K$14,MATCH($A177,'Cohort Summary'!$A$5:$A$14,0))</f>
        <v>0.109090909090913</v>
      </c>
      <c r="M177" s="42" t="n">
        <f aca="false">MAX(I177:K177)</f>
        <v>-0.781350482315113</v>
      </c>
      <c r="N177" s="27" t="s">
        <v>197</v>
      </c>
      <c r="O177" s="27"/>
      <c r="P177" s="27" t="str">
        <f aca="false">A177&amp;"|"&amp;N177</f>
        <v>NURSE-01|normal</v>
      </c>
    </row>
    <row r="178" customFormat="false" ht="15" hidden="false" customHeight="true" outlineLevel="0" collapsed="false">
      <c r="A178" s="27" t="s">
        <v>66</v>
      </c>
      <c r="B178" s="41" t="n">
        <v>46303.3527777778</v>
      </c>
      <c r="C178" s="27" t="s">
        <v>200</v>
      </c>
      <c r="D178" s="27" t="n">
        <v>44.7</v>
      </c>
      <c r="E178" s="27" t="n">
        <v>16.2</v>
      </c>
      <c r="F178" s="27" t="n">
        <v>26.3</v>
      </c>
      <c r="G178" s="27" t="n">
        <v>32.9</v>
      </c>
      <c r="H178" s="27" t="s">
        <v>196</v>
      </c>
      <c r="I178" s="42" t="n">
        <f aca="false">(D178-INDEX('Cohort Summary'!$D$5:$D$14,MATCH($A178,'Cohort Summary'!$A$5:$A$14,0)))/INDEX('Cohort Summary'!$E$5:$E$14,MATCH($A178,'Cohort Summary'!$A$5:$A$14,0))</f>
        <v>1.5016077170418</v>
      </c>
      <c r="J178" s="42" t="n">
        <f aca="false">(E178-INDEX('Cohort Summary'!$F$5:$F$14,MATCH($A178,'Cohort Summary'!$A$5:$A$14,0)))/INDEX('Cohort Summary'!$G$5:$G$14,MATCH($A178,'Cohort Summary'!$A$5:$A$14,0))</f>
        <v>-1.20103092783505</v>
      </c>
      <c r="K178" s="42" t="n">
        <f aca="false">(F178-INDEX('Cohort Summary'!$H$5:$H$14,MATCH($A178,'Cohort Summary'!$A$5:$A$14,0)))/INDEX('Cohort Summary'!$I$5:$I$14,MATCH($A178,'Cohort Summary'!$A$5:$A$14,0))</f>
        <v>-1.55294117647059</v>
      </c>
      <c r="L178" s="42" t="n">
        <f aca="false">(G178-INDEX('Cohort Summary'!$J$5:$J$14,MATCH($A178,'Cohort Summary'!$A$5:$A$14,0)))/INDEX('Cohort Summary'!$K$5:$K$14,MATCH($A178,'Cohort Summary'!$A$5:$A$14,0))</f>
        <v>-0.0727272727272712</v>
      </c>
      <c r="M178" s="42" t="n">
        <f aca="false">MAX(I178:K178)</f>
        <v>1.5016077170418</v>
      </c>
      <c r="N178" s="27" t="s">
        <v>197</v>
      </c>
      <c r="O178" s="27"/>
      <c r="P178" s="27" t="str">
        <f aca="false">A178&amp;"|"&amp;N178</f>
        <v>NURSE-01|normal</v>
      </c>
    </row>
    <row r="179" customFormat="false" ht="15" hidden="false" customHeight="true" outlineLevel="0" collapsed="false">
      <c r="A179" s="27" t="s">
        <v>66</v>
      </c>
      <c r="B179" s="41" t="n">
        <v>46303.353125</v>
      </c>
      <c r="C179" s="27" t="s">
        <v>200</v>
      </c>
      <c r="D179" s="27" t="n">
        <v>37.3</v>
      </c>
      <c r="E179" s="27" t="n">
        <v>18.8</v>
      </c>
      <c r="F179" s="27" t="n">
        <v>32.7</v>
      </c>
      <c r="G179" s="27" t="n">
        <v>33.5</v>
      </c>
      <c r="H179" s="27" t="s">
        <v>199</v>
      </c>
      <c r="I179" s="42" t="n">
        <f aca="false">(D179-INDEX('Cohort Summary'!$D$5:$D$14,MATCH($A179,'Cohort Summary'!$A$5:$A$14,0)))/INDEX('Cohort Summary'!$E$5:$E$14,MATCH($A179,'Cohort Summary'!$A$5:$A$14,0))</f>
        <v>-0.877813504823153</v>
      </c>
      <c r="J179" s="42" t="n">
        <f aca="false">(E179-INDEX('Cohort Summary'!$F$5:$F$14,MATCH($A179,'Cohort Summary'!$A$5:$A$14,0)))/INDEX('Cohort Summary'!$G$5:$G$14,MATCH($A179,'Cohort Summary'!$A$5:$A$14,0))</f>
        <v>0.139175257731959</v>
      </c>
      <c r="K179" s="42" t="n">
        <f aca="false">(F179-INDEX('Cohort Summary'!$H$5:$H$14,MATCH($A179,'Cohort Summary'!$A$5:$A$14,0)))/INDEX('Cohort Summary'!$I$5:$I$14,MATCH($A179,'Cohort Summary'!$A$5:$A$14,0))</f>
        <v>0.95686274509804</v>
      </c>
      <c r="L179" s="42" t="n">
        <f aca="false">(G179-INDEX('Cohort Summary'!$J$5:$J$14,MATCH($A179,'Cohort Summary'!$A$5:$A$14,0)))/INDEX('Cohort Summary'!$K$5:$K$14,MATCH($A179,'Cohort Summary'!$A$5:$A$14,0))</f>
        <v>1.01818181818182</v>
      </c>
      <c r="M179" s="42" t="n">
        <f aca="false">MAX(I179:K179)</f>
        <v>0.95686274509804</v>
      </c>
      <c r="N179" s="27" t="s">
        <v>197</v>
      </c>
      <c r="O179" s="27"/>
      <c r="P179" s="27" t="str">
        <f aca="false">A179&amp;"|"&amp;N179</f>
        <v>NURSE-01|normal</v>
      </c>
    </row>
    <row r="180" customFormat="false" ht="15" hidden="false" customHeight="true" outlineLevel="0" collapsed="false">
      <c r="A180" s="27" t="s">
        <v>66</v>
      </c>
      <c r="B180" s="41" t="n">
        <v>46303.3534722222</v>
      </c>
      <c r="C180" s="27" t="s">
        <v>200</v>
      </c>
      <c r="D180" s="27" t="n">
        <v>37.9</v>
      </c>
      <c r="E180" s="27" t="n">
        <v>19</v>
      </c>
      <c r="F180" s="27" t="n">
        <v>28.7</v>
      </c>
      <c r="G180" s="27" t="n">
        <v>33.5</v>
      </c>
      <c r="H180" s="27" t="s">
        <v>198</v>
      </c>
      <c r="I180" s="42" t="n">
        <f aca="false">(D180-INDEX('Cohort Summary'!$D$5:$D$14,MATCH($A180,'Cohort Summary'!$A$5:$A$14,0)))/INDEX('Cohort Summary'!$E$5:$E$14,MATCH($A180,'Cohort Summary'!$A$5:$A$14,0))</f>
        <v>-0.684887459807075</v>
      </c>
      <c r="J180" s="42" t="n">
        <f aca="false">(E180-INDEX('Cohort Summary'!$F$5:$F$14,MATCH($A180,'Cohort Summary'!$A$5:$A$14,0)))/INDEX('Cohort Summary'!$G$5:$G$14,MATCH($A180,'Cohort Summary'!$A$5:$A$14,0))</f>
        <v>0.242268041237113</v>
      </c>
      <c r="K180" s="42" t="n">
        <f aca="false">(F180-INDEX('Cohort Summary'!$H$5:$H$14,MATCH($A180,'Cohort Summary'!$A$5:$A$14,0)))/INDEX('Cohort Summary'!$I$5:$I$14,MATCH($A180,'Cohort Summary'!$A$5:$A$14,0))</f>
        <v>-0.611764705882354</v>
      </c>
      <c r="L180" s="42" t="n">
        <f aca="false">(G180-INDEX('Cohort Summary'!$J$5:$J$14,MATCH($A180,'Cohort Summary'!$A$5:$A$14,0)))/INDEX('Cohort Summary'!$K$5:$K$14,MATCH($A180,'Cohort Summary'!$A$5:$A$14,0))</f>
        <v>1.01818181818182</v>
      </c>
      <c r="M180" s="42" t="n">
        <f aca="false">MAX(I180:K180)</f>
        <v>0.242268041237113</v>
      </c>
      <c r="N180" s="27" t="s">
        <v>197</v>
      </c>
      <c r="O180" s="27"/>
      <c r="P180" s="27" t="str">
        <f aca="false">A180&amp;"|"&amp;N180</f>
        <v>NURSE-01|normal</v>
      </c>
    </row>
    <row r="181" customFormat="false" ht="15" hidden="false" customHeight="true" outlineLevel="0" collapsed="false">
      <c r="A181" s="27" t="s">
        <v>66</v>
      </c>
      <c r="B181" s="41" t="n">
        <v>46303.3538194444</v>
      </c>
      <c r="C181" s="27" t="s">
        <v>200</v>
      </c>
      <c r="D181" s="27" t="n">
        <v>39.4</v>
      </c>
      <c r="E181" s="27" t="n">
        <v>16.3</v>
      </c>
      <c r="F181" s="27" t="n">
        <v>27.4</v>
      </c>
      <c r="G181" s="27" t="n">
        <v>32.6</v>
      </c>
      <c r="H181" s="27" t="s">
        <v>196</v>
      </c>
      <c r="I181" s="42" t="n">
        <f aca="false">(D181-INDEX('Cohort Summary'!$D$5:$D$14,MATCH($A181,'Cohort Summary'!$A$5:$A$14,0)))/INDEX('Cohort Summary'!$E$5:$E$14,MATCH($A181,'Cohort Summary'!$A$5:$A$14,0))</f>
        <v>-0.202572347266882</v>
      </c>
      <c r="J181" s="42" t="n">
        <f aca="false">(E181-INDEX('Cohort Summary'!$F$5:$F$14,MATCH($A181,'Cohort Summary'!$A$5:$A$14,0)))/INDEX('Cohort Summary'!$G$5:$G$14,MATCH($A181,'Cohort Summary'!$A$5:$A$14,0))</f>
        <v>-1.14948453608247</v>
      </c>
      <c r="K181" s="42" t="n">
        <f aca="false">(F181-INDEX('Cohort Summary'!$H$5:$H$14,MATCH($A181,'Cohort Summary'!$A$5:$A$14,0)))/INDEX('Cohort Summary'!$I$5:$I$14,MATCH($A181,'Cohort Summary'!$A$5:$A$14,0))</f>
        <v>-1.12156862745098</v>
      </c>
      <c r="L181" s="42" t="n">
        <f aca="false">(G181-INDEX('Cohort Summary'!$J$5:$J$14,MATCH($A181,'Cohort Summary'!$A$5:$A$14,0)))/INDEX('Cohort Summary'!$K$5:$K$14,MATCH($A181,'Cohort Summary'!$A$5:$A$14,0))</f>
        <v>-0.618181818181811</v>
      </c>
      <c r="M181" s="42" t="n">
        <f aca="false">MAX(I181:K181)</f>
        <v>-0.202572347266882</v>
      </c>
      <c r="N181" s="27" t="s">
        <v>197</v>
      </c>
      <c r="O181" s="27"/>
      <c r="P181" s="27" t="str">
        <f aca="false">A181&amp;"|"&amp;N181</f>
        <v>NURSE-01|normal</v>
      </c>
    </row>
    <row r="182" customFormat="false" ht="15" hidden="false" customHeight="true" outlineLevel="0" collapsed="false">
      <c r="A182" s="27" t="s">
        <v>66</v>
      </c>
      <c r="B182" s="41" t="n">
        <v>46303.3541666667</v>
      </c>
      <c r="C182" s="27" t="s">
        <v>200</v>
      </c>
      <c r="D182" s="27" t="n">
        <v>36.9</v>
      </c>
      <c r="E182" s="27" t="n">
        <v>15.5</v>
      </c>
      <c r="F182" s="27" t="n">
        <v>27.5</v>
      </c>
      <c r="G182" s="27" t="n">
        <v>32.5</v>
      </c>
      <c r="H182" s="27" t="s">
        <v>196</v>
      </c>
      <c r="I182" s="42" t="n">
        <f aca="false">(D182-INDEX('Cohort Summary'!$D$5:$D$14,MATCH($A182,'Cohort Summary'!$A$5:$A$14,0)))/INDEX('Cohort Summary'!$E$5:$E$14,MATCH($A182,'Cohort Summary'!$A$5:$A$14,0))</f>
        <v>-1.0064308681672</v>
      </c>
      <c r="J182" s="42" t="n">
        <f aca="false">(E182-INDEX('Cohort Summary'!$F$5:$F$14,MATCH($A182,'Cohort Summary'!$A$5:$A$14,0)))/INDEX('Cohort Summary'!$G$5:$G$14,MATCH($A182,'Cohort Summary'!$A$5:$A$14,0))</f>
        <v>-1.56185567010309</v>
      </c>
      <c r="K182" s="42" t="n">
        <f aca="false">(F182-INDEX('Cohort Summary'!$H$5:$H$14,MATCH($A182,'Cohort Summary'!$A$5:$A$14,0)))/INDEX('Cohort Summary'!$I$5:$I$14,MATCH($A182,'Cohort Summary'!$A$5:$A$14,0))</f>
        <v>-1.08235294117647</v>
      </c>
      <c r="L182" s="42" t="n">
        <f aca="false">(G182-INDEX('Cohort Summary'!$J$5:$J$14,MATCH($A182,'Cohort Summary'!$A$5:$A$14,0)))/INDEX('Cohort Summary'!$K$5:$K$14,MATCH($A182,'Cohort Summary'!$A$5:$A$14,0))</f>
        <v>-0.799999999999996</v>
      </c>
      <c r="M182" s="42" t="n">
        <f aca="false">MAX(I182:K182)</f>
        <v>-1.0064308681672</v>
      </c>
      <c r="N182" s="27" t="s">
        <v>197</v>
      </c>
      <c r="O182" s="27"/>
      <c r="P182" s="27" t="str">
        <f aca="false">A182&amp;"|"&amp;N182</f>
        <v>NURSE-01|normal</v>
      </c>
    </row>
    <row r="183" customFormat="false" ht="15" hidden="false" customHeight="true" outlineLevel="0" collapsed="false">
      <c r="A183" s="27" t="s">
        <v>66</v>
      </c>
      <c r="B183" s="41" t="n">
        <v>46303.3545138889</v>
      </c>
      <c r="C183" s="27" t="s">
        <v>200</v>
      </c>
      <c r="D183" s="27" t="n">
        <v>37.3</v>
      </c>
      <c r="E183" s="27" t="n">
        <v>20.7</v>
      </c>
      <c r="F183" s="27" t="n">
        <v>31.5</v>
      </c>
      <c r="G183" s="27" t="n">
        <v>34</v>
      </c>
      <c r="H183" s="27" t="s">
        <v>198</v>
      </c>
      <c r="I183" s="42" t="n">
        <f aca="false">(D183-INDEX('Cohort Summary'!$D$5:$D$14,MATCH($A183,'Cohort Summary'!$A$5:$A$14,0)))/INDEX('Cohort Summary'!$E$5:$E$14,MATCH($A183,'Cohort Summary'!$A$5:$A$14,0))</f>
        <v>-0.877813504823153</v>
      </c>
      <c r="J183" s="42" t="n">
        <f aca="false">(E183-INDEX('Cohort Summary'!$F$5:$F$14,MATCH($A183,'Cohort Summary'!$A$5:$A$14,0)))/INDEX('Cohort Summary'!$G$5:$G$14,MATCH($A183,'Cohort Summary'!$A$5:$A$14,0))</f>
        <v>1.11855670103093</v>
      </c>
      <c r="K183" s="42" t="n">
        <f aca="false">(F183-INDEX('Cohort Summary'!$H$5:$H$14,MATCH($A183,'Cohort Summary'!$A$5:$A$14,0)))/INDEX('Cohort Summary'!$I$5:$I$14,MATCH($A183,'Cohort Summary'!$A$5:$A$14,0))</f>
        <v>0.486274509803921</v>
      </c>
      <c r="L183" s="42" t="n">
        <f aca="false">(G183-INDEX('Cohort Summary'!$J$5:$J$14,MATCH($A183,'Cohort Summary'!$A$5:$A$14,0)))/INDEX('Cohort Summary'!$K$5:$K$14,MATCH($A183,'Cohort Summary'!$A$5:$A$14,0))</f>
        <v>1.92727272727273</v>
      </c>
      <c r="M183" s="42" t="n">
        <f aca="false">MAX(I183:K183)</f>
        <v>1.11855670103093</v>
      </c>
      <c r="N183" s="27" t="s">
        <v>197</v>
      </c>
      <c r="O183" s="27"/>
      <c r="P183" s="27" t="str">
        <f aca="false">A183&amp;"|"&amp;N183</f>
        <v>NURSE-01|normal</v>
      </c>
    </row>
    <row r="184" customFormat="false" ht="15" hidden="false" customHeight="true" outlineLevel="0" collapsed="false">
      <c r="A184" s="27" t="s">
        <v>66</v>
      </c>
      <c r="B184" s="41" t="n">
        <v>46303.3548611111</v>
      </c>
      <c r="C184" s="27" t="s">
        <v>200</v>
      </c>
      <c r="D184" s="27" t="n">
        <v>35</v>
      </c>
      <c r="E184" s="27" t="n">
        <v>21.2</v>
      </c>
      <c r="F184" s="27" t="n">
        <v>27.3</v>
      </c>
      <c r="G184" s="27" t="n">
        <v>32.9</v>
      </c>
      <c r="H184" s="27" t="s">
        <v>199</v>
      </c>
      <c r="I184" s="42" t="n">
        <f aca="false">(D184-INDEX('Cohort Summary'!$D$5:$D$14,MATCH($A184,'Cohort Summary'!$A$5:$A$14,0)))/INDEX('Cohort Summary'!$E$5:$E$14,MATCH($A184,'Cohort Summary'!$A$5:$A$14,0))</f>
        <v>-1.61736334405145</v>
      </c>
      <c r="J184" s="42" t="n">
        <f aca="false">(E184-INDEX('Cohort Summary'!$F$5:$F$14,MATCH($A184,'Cohort Summary'!$A$5:$A$14,0)))/INDEX('Cohort Summary'!$G$5:$G$14,MATCH($A184,'Cohort Summary'!$A$5:$A$14,0))</f>
        <v>1.37628865979381</v>
      </c>
      <c r="K184" s="42" t="n">
        <f aca="false">(F184-INDEX('Cohort Summary'!$H$5:$H$14,MATCH($A184,'Cohort Summary'!$A$5:$A$14,0)))/INDEX('Cohort Summary'!$I$5:$I$14,MATCH($A184,'Cohort Summary'!$A$5:$A$14,0))</f>
        <v>-1.16078431372549</v>
      </c>
      <c r="L184" s="42" t="n">
        <f aca="false">(G184-INDEX('Cohort Summary'!$J$5:$J$14,MATCH($A184,'Cohort Summary'!$A$5:$A$14,0)))/INDEX('Cohort Summary'!$K$5:$K$14,MATCH($A184,'Cohort Summary'!$A$5:$A$14,0))</f>
        <v>-0.0727272727272712</v>
      </c>
      <c r="M184" s="42" t="n">
        <f aca="false">MAX(I184:K184)</f>
        <v>1.37628865979381</v>
      </c>
      <c r="N184" s="27" t="s">
        <v>197</v>
      </c>
      <c r="O184" s="27"/>
      <c r="P184" s="27" t="str">
        <f aca="false">A184&amp;"|"&amp;N184</f>
        <v>NURSE-01|normal</v>
      </c>
    </row>
    <row r="185" customFormat="false" ht="15" hidden="false" customHeight="true" outlineLevel="0" collapsed="false">
      <c r="A185" s="27" t="s">
        <v>66</v>
      </c>
      <c r="B185" s="41" t="n">
        <v>46303.3552083333</v>
      </c>
      <c r="C185" s="27" t="s">
        <v>200</v>
      </c>
      <c r="D185" s="27" t="n">
        <v>35.4</v>
      </c>
      <c r="E185" s="27" t="n">
        <v>17.1</v>
      </c>
      <c r="F185" s="27" t="n">
        <v>26.2</v>
      </c>
      <c r="G185" s="27" t="n">
        <v>32.4</v>
      </c>
      <c r="H185" s="27" t="s">
        <v>196</v>
      </c>
      <c r="I185" s="42" t="n">
        <f aca="false">(D185-INDEX('Cohort Summary'!$D$5:$D$14,MATCH($A185,'Cohort Summary'!$A$5:$A$14,0)))/INDEX('Cohort Summary'!$E$5:$E$14,MATCH($A185,'Cohort Summary'!$A$5:$A$14,0))</f>
        <v>-1.4887459807074</v>
      </c>
      <c r="J185" s="42" t="n">
        <f aca="false">(E185-INDEX('Cohort Summary'!$F$5:$F$14,MATCH($A185,'Cohort Summary'!$A$5:$A$14,0)))/INDEX('Cohort Summary'!$G$5:$G$14,MATCH($A185,'Cohort Summary'!$A$5:$A$14,0))</f>
        <v>-0.737113402061856</v>
      </c>
      <c r="K185" s="42" t="n">
        <f aca="false">(F185-INDEX('Cohort Summary'!$H$5:$H$14,MATCH($A185,'Cohort Summary'!$A$5:$A$14,0)))/INDEX('Cohort Summary'!$I$5:$I$14,MATCH($A185,'Cohort Summary'!$A$5:$A$14,0))</f>
        <v>-1.5921568627451</v>
      </c>
      <c r="L185" s="42" t="n">
        <f aca="false">(G185-INDEX('Cohort Summary'!$J$5:$J$14,MATCH($A185,'Cohort Summary'!$A$5:$A$14,0)))/INDEX('Cohort Summary'!$K$5:$K$14,MATCH($A185,'Cohort Summary'!$A$5:$A$14,0))</f>
        <v>-0.98181818181818</v>
      </c>
      <c r="M185" s="42" t="n">
        <f aca="false">MAX(I185:K185)</f>
        <v>-0.737113402061856</v>
      </c>
      <c r="N185" s="27" t="s">
        <v>197</v>
      </c>
      <c r="O185" s="27"/>
      <c r="P185" s="27" t="str">
        <f aca="false">A185&amp;"|"&amp;N185</f>
        <v>NURSE-01|normal</v>
      </c>
    </row>
    <row r="186" customFormat="false" ht="15" hidden="false" customHeight="true" outlineLevel="0" collapsed="false">
      <c r="A186" s="27" t="s">
        <v>66</v>
      </c>
      <c r="B186" s="41" t="n">
        <v>46303.3555555556</v>
      </c>
      <c r="C186" s="27" t="s">
        <v>200</v>
      </c>
      <c r="D186" s="27" t="n">
        <v>36.9</v>
      </c>
      <c r="E186" s="27" t="n">
        <v>15.5</v>
      </c>
      <c r="F186" s="27" t="n">
        <v>30.1</v>
      </c>
      <c r="G186" s="27" t="n">
        <v>32.4</v>
      </c>
      <c r="H186" s="27" t="s">
        <v>196</v>
      </c>
      <c r="I186" s="42" t="n">
        <f aca="false">(D186-INDEX('Cohort Summary'!$D$5:$D$14,MATCH($A186,'Cohort Summary'!$A$5:$A$14,0)))/INDEX('Cohort Summary'!$E$5:$E$14,MATCH($A186,'Cohort Summary'!$A$5:$A$14,0))</f>
        <v>-1.0064308681672</v>
      </c>
      <c r="J186" s="42" t="n">
        <f aca="false">(E186-INDEX('Cohort Summary'!$F$5:$F$14,MATCH($A186,'Cohort Summary'!$A$5:$A$14,0)))/INDEX('Cohort Summary'!$G$5:$G$14,MATCH($A186,'Cohort Summary'!$A$5:$A$14,0))</f>
        <v>-1.56185567010309</v>
      </c>
      <c r="K186" s="42" t="n">
        <f aca="false">(F186-INDEX('Cohort Summary'!$H$5:$H$14,MATCH($A186,'Cohort Summary'!$A$5:$A$14,0)))/INDEX('Cohort Summary'!$I$5:$I$14,MATCH($A186,'Cohort Summary'!$A$5:$A$14,0))</f>
        <v>-0.0627450980392157</v>
      </c>
      <c r="L186" s="42" t="n">
        <f aca="false">(G186-INDEX('Cohort Summary'!$J$5:$J$14,MATCH($A186,'Cohort Summary'!$A$5:$A$14,0)))/INDEX('Cohort Summary'!$K$5:$K$14,MATCH($A186,'Cohort Summary'!$A$5:$A$14,0))</f>
        <v>-0.98181818181818</v>
      </c>
      <c r="M186" s="42" t="n">
        <f aca="false">MAX(I186:K186)</f>
        <v>-0.0627450980392157</v>
      </c>
      <c r="N186" s="27" t="s">
        <v>197</v>
      </c>
      <c r="O186" s="27"/>
      <c r="P186" s="27" t="str">
        <f aca="false">A186&amp;"|"&amp;N186</f>
        <v>NURSE-01|normal</v>
      </c>
    </row>
    <row r="187" customFormat="false" ht="15" hidden="false" customHeight="true" outlineLevel="0" collapsed="false">
      <c r="A187" s="27" t="s">
        <v>66</v>
      </c>
      <c r="B187" s="41" t="n">
        <v>46303.3559027778</v>
      </c>
      <c r="C187" s="27" t="s">
        <v>200</v>
      </c>
      <c r="D187" s="27" t="n">
        <v>37.6</v>
      </c>
      <c r="E187" s="27" t="n">
        <v>20.4</v>
      </c>
      <c r="F187" s="27" t="n">
        <v>34.5</v>
      </c>
      <c r="G187" s="27" t="n">
        <v>32.2</v>
      </c>
      <c r="H187" s="27" t="s">
        <v>196</v>
      </c>
      <c r="I187" s="42" t="n">
        <f aca="false">(D187-INDEX('Cohort Summary'!$D$5:$D$14,MATCH($A187,'Cohort Summary'!$A$5:$A$14,0)))/INDEX('Cohort Summary'!$E$5:$E$14,MATCH($A187,'Cohort Summary'!$A$5:$A$14,0))</f>
        <v>-0.781350482315113</v>
      </c>
      <c r="J187" s="42" t="n">
        <f aca="false">(E187-INDEX('Cohort Summary'!$F$5:$F$14,MATCH($A187,'Cohort Summary'!$A$5:$A$14,0)))/INDEX('Cohort Summary'!$G$5:$G$14,MATCH($A187,'Cohort Summary'!$A$5:$A$14,0))</f>
        <v>0.963917525773195</v>
      </c>
      <c r="K187" s="42" t="n">
        <f aca="false">(F187-INDEX('Cohort Summary'!$H$5:$H$14,MATCH($A187,'Cohort Summary'!$A$5:$A$14,0)))/INDEX('Cohort Summary'!$I$5:$I$14,MATCH($A187,'Cohort Summary'!$A$5:$A$14,0))</f>
        <v>1.66274509803922</v>
      </c>
      <c r="L187" s="42" t="n">
        <f aca="false">(G187-INDEX('Cohort Summary'!$J$5:$J$14,MATCH($A187,'Cohort Summary'!$A$5:$A$14,0)))/INDEX('Cohort Summary'!$K$5:$K$14,MATCH($A187,'Cohort Summary'!$A$5:$A$14,0))</f>
        <v>-1.34545454545454</v>
      </c>
      <c r="M187" s="42" t="n">
        <f aca="false">MAX(I187:K187)</f>
        <v>1.66274509803922</v>
      </c>
      <c r="N187" s="27" t="s">
        <v>197</v>
      </c>
      <c r="O187" s="27"/>
      <c r="P187" s="27" t="str">
        <f aca="false">A187&amp;"|"&amp;N187</f>
        <v>NURSE-01|normal</v>
      </c>
    </row>
    <row r="188" customFormat="false" ht="15" hidden="false" customHeight="true" outlineLevel="0" collapsed="false">
      <c r="A188" s="27" t="s">
        <v>66</v>
      </c>
      <c r="B188" s="41" t="n">
        <v>46303.35625</v>
      </c>
      <c r="C188" s="27" t="s">
        <v>200</v>
      </c>
      <c r="D188" s="27" t="n">
        <v>42.1</v>
      </c>
      <c r="E188" s="27" t="n">
        <v>17.4</v>
      </c>
      <c r="F188" s="27" t="n">
        <v>25.4</v>
      </c>
      <c r="G188" s="27" t="n">
        <v>32.7</v>
      </c>
      <c r="H188" s="27" t="s">
        <v>198</v>
      </c>
      <c r="I188" s="42" t="n">
        <f aca="false">(D188-INDEX('Cohort Summary'!$D$5:$D$14,MATCH($A188,'Cohort Summary'!$A$5:$A$14,0)))/INDEX('Cohort Summary'!$E$5:$E$14,MATCH($A188,'Cohort Summary'!$A$5:$A$14,0))</f>
        <v>0.665594855305466</v>
      </c>
      <c r="J188" s="42" t="n">
        <f aca="false">(E188-INDEX('Cohort Summary'!$F$5:$F$14,MATCH($A188,'Cohort Summary'!$A$5:$A$14,0)))/INDEX('Cohort Summary'!$G$5:$G$14,MATCH($A188,'Cohort Summary'!$A$5:$A$14,0))</f>
        <v>-0.582474226804125</v>
      </c>
      <c r="K188" s="42" t="n">
        <f aca="false">(F188-INDEX('Cohort Summary'!$H$5:$H$14,MATCH($A188,'Cohort Summary'!$A$5:$A$14,0)))/INDEX('Cohort Summary'!$I$5:$I$14,MATCH($A188,'Cohort Summary'!$A$5:$A$14,0))</f>
        <v>-1.90588235294118</v>
      </c>
      <c r="L188" s="42" t="n">
        <f aca="false">(G188-INDEX('Cohort Summary'!$J$5:$J$14,MATCH($A188,'Cohort Summary'!$A$5:$A$14,0)))/INDEX('Cohort Summary'!$K$5:$K$14,MATCH($A188,'Cohort Summary'!$A$5:$A$14,0))</f>
        <v>-0.436363636363627</v>
      </c>
      <c r="M188" s="42" t="n">
        <f aca="false">MAX(I188:K188)</f>
        <v>0.665594855305466</v>
      </c>
      <c r="N188" s="27" t="s">
        <v>197</v>
      </c>
      <c r="O188" s="27"/>
      <c r="P188" s="27" t="str">
        <f aca="false">A188&amp;"|"&amp;N188</f>
        <v>NURSE-01|normal</v>
      </c>
    </row>
    <row r="189" customFormat="false" ht="15" hidden="false" customHeight="true" outlineLevel="0" collapsed="false">
      <c r="A189" s="27" t="s">
        <v>66</v>
      </c>
      <c r="B189" s="41" t="n">
        <v>46303.3565972222</v>
      </c>
      <c r="C189" s="27" t="s">
        <v>200</v>
      </c>
      <c r="D189" s="27" t="n">
        <v>37</v>
      </c>
      <c r="E189" s="27" t="n">
        <v>16.8</v>
      </c>
      <c r="F189" s="27" t="n">
        <v>31</v>
      </c>
      <c r="G189" s="27" t="n">
        <v>33.3</v>
      </c>
      <c r="H189" s="27" t="s">
        <v>198</v>
      </c>
      <c r="I189" s="42" t="n">
        <f aca="false">(D189-INDEX('Cohort Summary'!$D$5:$D$14,MATCH($A189,'Cohort Summary'!$A$5:$A$14,0)))/INDEX('Cohort Summary'!$E$5:$E$14,MATCH($A189,'Cohort Summary'!$A$5:$A$14,0))</f>
        <v>-0.97427652733119</v>
      </c>
      <c r="J189" s="42" t="n">
        <f aca="false">(E189-INDEX('Cohort Summary'!$F$5:$F$14,MATCH($A189,'Cohort Summary'!$A$5:$A$14,0)))/INDEX('Cohort Summary'!$G$5:$G$14,MATCH($A189,'Cohort Summary'!$A$5:$A$14,0))</f>
        <v>-0.891752577319588</v>
      </c>
      <c r="K189" s="42" t="n">
        <f aca="false">(F189-INDEX('Cohort Summary'!$H$5:$H$14,MATCH($A189,'Cohort Summary'!$A$5:$A$14,0)))/INDEX('Cohort Summary'!$I$5:$I$14,MATCH($A189,'Cohort Summary'!$A$5:$A$14,0))</f>
        <v>0.290196078431372</v>
      </c>
      <c r="L189" s="42" t="n">
        <f aca="false">(G189-INDEX('Cohort Summary'!$J$5:$J$14,MATCH($A189,'Cohort Summary'!$A$5:$A$14,0)))/INDEX('Cohort Summary'!$K$5:$K$14,MATCH($A189,'Cohort Summary'!$A$5:$A$14,0))</f>
        <v>0.654545454545453</v>
      </c>
      <c r="M189" s="42" t="n">
        <f aca="false">MAX(I189:K189)</f>
        <v>0.290196078431372</v>
      </c>
      <c r="N189" s="27" t="s">
        <v>197</v>
      </c>
      <c r="O189" s="27"/>
      <c r="P189" s="27" t="str">
        <f aca="false">A189&amp;"|"&amp;N189</f>
        <v>NURSE-01|normal</v>
      </c>
    </row>
    <row r="190" customFormat="false" ht="15" hidden="false" customHeight="true" outlineLevel="0" collapsed="false">
      <c r="A190" s="27" t="s">
        <v>66</v>
      </c>
      <c r="B190" s="41" t="n">
        <v>46303.3569444444</v>
      </c>
      <c r="C190" s="27" t="s">
        <v>200</v>
      </c>
      <c r="D190" s="27" t="n">
        <v>43.1</v>
      </c>
      <c r="E190" s="27" t="n">
        <v>20.7</v>
      </c>
      <c r="F190" s="27" t="n">
        <v>29.1</v>
      </c>
      <c r="G190" s="27" t="n">
        <v>32.7</v>
      </c>
      <c r="H190" s="27" t="s">
        <v>196</v>
      </c>
      <c r="I190" s="42" t="n">
        <f aca="false">(D190-INDEX('Cohort Summary'!$D$5:$D$14,MATCH($A190,'Cohort Summary'!$A$5:$A$14,0)))/INDEX('Cohort Summary'!$E$5:$E$14,MATCH($A190,'Cohort Summary'!$A$5:$A$14,0))</f>
        <v>0.987138263665595</v>
      </c>
      <c r="J190" s="42" t="n">
        <f aca="false">(E190-INDEX('Cohort Summary'!$F$5:$F$14,MATCH($A190,'Cohort Summary'!$A$5:$A$14,0)))/INDEX('Cohort Summary'!$G$5:$G$14,MATCH($A190,'Cohort Summary'!$A$5:$A$14,0))</f>
        <v>1.11855670103093</v>
      </c>
      <c r="K190" s="42" t="n">
        <f aca="false">(F190-INDEX('Cohort Summary'!$H$5:$H$14,MATCH($A190,'Cohort Summary'!$A$5:$A$14,0)))/INDEX('Cohort Summary'!$I$5:$I$14,MATCH($A190,'Cohort Summary'!$A$5:$A$14,0))</f>
        <v>-0.454901960784314</v>
      </c>
      <c r="L190" s="42" t="n">
        <f aca="false">(G190-INDEX('Cohort Summary'!$J$5:$J$14,MATCH($A190,'Cohort Summary'!$A$5:$A$14,0)))/INDEX('Cohort Summary'!$K$5:$K$14,MATCH($A190,'Cohort Summary'!$A$5:$A$14,0))</f>
        <v>-0.436363636363627</v>
      </c>
      <c r="M190" s="42" t="n">
        <f aca="false">MAX(I190:K190)</f>
        <v>1.11855670103093</v>
      </c>
      <c r="N190" s="27" t="s">
        <v>197</v>
      </c>
      <c r="O190" s="27"/>
      <c r="P190" s="27" t="str">
        <f aca="false">A190&amp;"|"&amp;N190</f>
        <v>NURSE-01|normal</v>
      </c>
    </row>
    <row r="191" customFormat="false" ht="15" hidden="false" customHeight="true" outlineLevel="0" collapsed="false">
      <c r="A191" s="27" t="s">
        <v>66</v>
      </c>
      <c r="B191" s="41" t="n">
        <v>46303.3572916667</v>
      </c>
      <c r="C191" s="27" t="s">
        <v>200</v>
      </c>
      <c r="D191" s="27" t="n">
        <v>38.1</v>
      </c>
      <c r="E191" s="27" t="n">
        <v>16.4</v>
      </c>
      <c r="F191" s="27" t="n">
        <v>33</v>
      </c>
      <c r="G191" s="27" t="n">
        <v>33.1</v>
      </c>
      <c r="H191" s="27" t="s">
        <v>198</v>
      </c>
      <c r="I191" s="42" t="n">
        <f aca="false">(D191-INDEX('Cohort Summary'!$D$5:$D$14,MATCH($A191,'Cohort Summary'!$A$5:$A$14,0)))/INDEX('Cohort Summary'!$E$5:$E$14,MATCH($A191,'Cohort Summary'!$A$5:$A$14,0))</f>
        <v>-0.620578778135048</v>
      </c>
      <c r="J191" s="42" t="n">
        <f aca="false">(E191-INDEX('Cohort Summary'!$F$5:$F$14,MATCH($A191,'Cohort Summary'!$A$5:$A$14,0)))/INDEX('Cohort Summary'!$G$5:$G$14,MATCH($A191,'Cohort Summary'!$A$5:$A$14,0))</f>
        <v>-1.0979381443299</v>
      </c>
      <c r="K191" s="42" t="n">
        <f aca="false">(F191-INDEX('Cohort Summary'!$H$5:$H$14,MATCH($A191,'Cohort Summary'!$A$5:$A$14,0)))/INDEX('Cohort Summary'!$I$5:$I$14,MATCH($A191,'Cohort Summary'!$A$5:$A$14,0))</f>
        <v>1.07450980392157</v>
      </c>
      <c r="L191" s="42" t="n">
        <f aca="false">(G191-INDEX('Cohort Summary'!$J$5:$J$14,MATCH($A191,'Cohort Summary'!$A$5:$A$14,0)))/INDEX('Cohort Summary'!$K$5:$K$14,MATCH($A191,'Cohort Summary'!$A$5:$A$14,0))</f>
        <v>0.290909090909098</v>
      </c>
      <c r="M191" s="42" t="n">
        <f aca="false">MAX(I191:K191)</f>
        <v>1.07450980392157</v>
      </c>
      <c r="N191" s="27" t="s">
        <v>197</v>
      </c>
      <c r="O191" s="27"/>
      <c r="P191" s="27" t="str">
        <f aca="false">A191&amp;"|"&amp;N191</f>
        <v>NURSE-01|normal</v>
      </c>
    </row>
    <row r="192" customFormat="false" ht="15" hidden="false" customHeight="true" outlineLevel="0" collapsed="false">
      <c r="A192" s="27" t="s">
        <v>66</v>
      </c>
      <c r="B192" s="41" t="n">
        <v>46303.3576388889</v>
      </c>
      <c r="C192" s="27" t="s">
        <v>200</v>
      </c>
      <c r="D192" s="27" t="n">
        <v>39.1</v>
      </c>
      <c r="E192" s="27" t="n">
        <v>20.6</v>
      </c>
      <c r="F192" s="27" t="n">
        <v>31.6</v>
      </c>
      <c r="G192" s="27" t="n">
        <v>32.3</v>
      </c>
      <c r="H192" s="27" t="s">
        <v>196</v>
      </c>
      <c r="I192" s="42" t="n">
        <f aca="false">(D192-INDEX('Cohort Summary'!$D$5:$D$14,MATCH($A192,'Cohort Summary'!$A$5:$A$14,0)))/INDEX('Cohort Summary'!$E$5:$E$14,MATCH($A192,'Cohort Summary'!$A$5:$A$14,0))</f>
        <v>-0.29903536977492</v>
      </c>
      <c r="J192" s="42" t="n">
        <f aca="false">(E192-INDEX('Cohort Summary'!$F$5:$F$14,MATCH($A192,'Cohort Summary'!$A$5:$A$14,0)))/INDEX('Cohort Summary'!$G$5:$G$14,MATCH($A192,'Cohort Summary'!$A$5:$A$14,0))</f>
        <v>1.06701030927835</v>
      </c>
      <c r="K192" s="42" t="n">
        <f aca="false">(F192-INDEX('Cohort Summary'!$H$5:$H$14,MATCH($A192,'Cohort Summary'!$A$5:$A$14,0)))/INDEX('Cohort Summary'!$I$5:$I$14,MATCH($A192,'Cohort Summary'!$A$5:$A$14,0))</f>
        <v>0.525490196078431</v>
      </c>
      <c r="L192" s="42" t="n">
        <f aca="false">(G192-INDEX('Cohort Summary'!$J$5:$J$14,MATCH($A192,'Cohort Summary'!$A$5:$A$14,0)))/INDEX('Cohort Summary'!$K$5:$K$14,MATCH($A192,'Cohort Summary'!$A$5:$A$14,0))</f>
        <v>-1.16363636363636</v>
      </c>
      <c r="M192" s="42" t="n">
        <f aca="false">MAX(I192:K192)</f>
        <v>1.06701030927835</v>
      </c>
      <c r="N192" s="27" t="s">
        <v>197</v>
      </c>
      <c r="O192" s="27"/>
      <c r="P192" s="27" t="str">
        <f aca="false">A192&amp;"|"&amp;N192</f>
        <v>NURSE-01|normal</v>
      </c>
    </row>
    <row r="193" customFormat="false" ht="15" hidden="false" customHeight="true" outlineLevel="0" collapsed="false">
      <c r="A193" s="27" t="s">
        <v>66</v>
      </c>
      <c r="B193" s="41" t="n">
        <v>46303.3579861111</v>
      </c>
      <c r="C193" s="27" t="s">
        <v>200</v>
      </c>
      <c r="D193" s="27" t="n">
        <v>35.9</v>
      </c>
      <c r="E193" s="27" t="n">
        <v>16.1</v>
      </c>
      <c r="F193" s="27" t="n">
        <v>32</v>
      </c>
      <c r="G193" s="27" t="n">
        <v>32.8</v>
      </c>
      <c r="H193" s="27" t="s">
        <v>199</v>
      </c>
      <c r="I193" s="42" t="n">
        <f aca="false">(D193-INDEX('Cohort Summary'!$D$5:$D$14,MATCH($A193,'Cohort Summary'!$A$5:$A$14,0)))/INDEX('Cohort Summary'!$E$5:$E$14,MATCH($A193,'Cohort Summary'!$A$5:$A$14,0))</f>
        <v>-1.32797427652733</v>
      </c>
      <c r="J193" s="42" t="n">
        <f aca="false">(E193-INDEX('Cohort Summary'!$F$5:$F$14,MATCH($A193,'Cohort Summary'!$A$5:$A$14,0)))/INDEX('Cohort Summary'!$G$5:$G$14,MATCH($A193,'Cohort Summary'!$A$5:$A$14,0))</f>
        <v>-1.25257731958763</v>
      </c>
      <c r="K193" s="42" t="n">
        <f aca="false">(F193-INDEX('Cohort Summary'!$H$5:$H$14,MATCH($A193,'Cohort Summary'!$A$5:$A$14,0)))/INDEX('Cohort Summary'!$I$5:$I$14,MATCH($A193,'Cohort Summary'!$A$5:$A$14,0))</f>
        <v>0.68235294117647</v>
      </c>
      <c r="L193" s="42" t="n">
        <f aca="false">(G193-INDEX('Cohort Summary'!$J$5:$J$14,MATCH($A193,'Cohort Summary'!$A$5:$A$14,0)))/INDEX('Cohort Summary'!$K$5:$K$14,MATCH($A193,'Cohort Summary'!$A$5:$A$14,0))</f>
        <v>-0.254545454545456</v>
      </c>
      <c r="M193" s="42" t="n">
        <f aca="false">MAX(I193:K193)</f>
        <v>0.68235294117647</v>
      </c>
      <c r="N193" s="27" t="s">
        <v>197</v>
      </c>
      <c r="O193" s="27"/>
      <c r="P193" s="27" t="str">
        <f aca="false">A193&amp;"|"&amp;N193</f>
        <v>NURSE-01|normal</v>
      </c>
    </row>
    <row r="194" customFormat="false" ht="15" hidden="false" customHeight="true" outlineLevel="0" collapsed="false">
      <c r="A194" s="27" t="s">
        <v>66</v>
      </c>
      <c r="B194" s="41" t="n">
        <v>46303.3583333333</v>
      </c>
      <c r="C194" s="27" t="s">
        <v>200</v>
      </c>
      <c r="D194" s="27" t="n">
        <v>41.7</v>
      </c>
      <c r="E194" s="27" t="n">
        <v>17.9</v>
      </c>
      <c r="F194" s="27" t="n">
        <v>25.5</v>
      </c>
      <c r="G194" s="27" t="n">
        <v>33.5</v>
      </c>
      <c r="H194" s="27" t="s">
        <v>199</v>
      </c>
      <c r="I194" s="42" t="n">
        <f aca="false">(D194-INDEX('Cohort Summary'!$D$5:$D$14,MATCH($A194,'Cohort Summary'!$A$5:$A$14,0)))/INDEX('Cohort Summary'!$E$5:$E$14,MATCH($A194,'Cohort Summary'!$A$5:$A$14,0))</f>
        <v>0.536977491961415</v>
      </c>
      <c r="J194" s="42" t="n">
        <f aca="false">(E194-INDEX('Cohort Summary'!$F$5:$F$14,MATCH($A194,'Cohort Summary'!$A$5:$A$14,0)))/INDEX('Cohort Summary'!$G$5:$G$14,MATCH($A194,'Cohort Summary'!$A$5:$A$14,0))</f>
        <v>-0.324742268041238</v>
      </c>
      <c r="K194" s="42" t="n">
        <f aca="false">(F194-INDEX('Cohort Summary'!$H$5:$H$14,MATCH($A194,'Cohort Summary'!$A$5:$A$14,0)))/INDEX('Cohort Summary'!$I$5:$I$14,MATCH($A194,'Cohort Summary'!$A$5:$A$14,0))</f>
        <v>-1.86666666666667</v>
      </c>
      <c r="L194" s="42" t="n">
        <f aca="false">(G194-INDEX('Cohort Summary'!$J$5:$J$14,MATCH($A194,'Cohort Summary'!$A$5:$A$14,0)))/INDEX('Cohort Summary'!$K$5:$K$14,MATCH($A194,'Cohort Summary'!$A$5:$A$14,0))</f>
        <v>1.01818181818182</v>
      </c>
      <c r="M194" s="42" t="n">
        <f aca="false">MAX(I194:K194)</f>
        <v>0.536977491961415</v>
      </c>
      <c r="N194" s="27" t="s">
        <v>197</v>
      </c>
      <c r="O194" s="27"/>
      <c r="P194" s="27" t="str">
        <f aca="false">A194&amp;"|"&amp;N194</f>
        <v>NURSE-01|normal</v>
      </c>
    </row>
    <row r="195" customFormat="false" ht="15" hidden="false" customHeight="true" outlineLevel="0" collapsed="false">
      <c r="A195" s="27" t="s">
        <v>66</v>
      </c>
      <c r="B195" s="41" t="n">
        <v>46303.3586805556</v>
      </c>
      <c r="C195" s="27" t="s">
        <v>200</v>
      </c>
      <c r="D195" s="27" t="n">
        <v>39.1</v>
      </c>
      <c r="E195" s="27" t="n">
        <v>15.1</v>
      </c>
      <c r="F195" s="27" t="n">
        <v>32.7</v>
      </c>
      <c r="G195" s="27" t="n">
        <v>33.6</v>
      </c>
      <c r="H195" s="27" t="s">
        <v>196</v>
      </c>
      <c r="I195" s="42" t="n">
        <f aca="false">(D195-INDEX('Cohort Summary'!$D$5:$D$14,MATCH($A195,'Cohort Summary'!$A$5:$A$14,0)))/INDEX('Cohort Summary'!$E$5:$E$14,MATCH($A195,'Cohort Summary'!$A$5:$A$14,0))</f>
        <v>-0.29903536977492</v>
      </c>
      <c r="J195" s="42" t="n">
        <f aca="false">(E195-INDEX('Cohort Summary'!$F$5:$F$14,MATCH($A195,'Cohort Summary'!$A$5:$A$14,0)))/INDEX('Cohort Summary'!$G$5:$G$14,MATCH($A195,'Cohort Summary'!$A$5:$A$14,0))</f>
        <v>-1.7680412371134</v>
      </c>
      <c r="K195" s="42" t="n">
        <f aca="false">(F195-INDEX('Cohort Summary'!$H$5:$H$14,MATCH($A195,'Cohort Summary'!$A$5:$A$14,0)))/INDEX('Cohort Summary'!$I$5:$I$14,MATCH($A195,'Cohort Summary'!$A$5:$A$14,0))</f>
        <v>0.95686274509804</v>
      </c>
      <c r="L195" s="42" t="n">
        <f aca="false">(G195-INDEX('Cohort Summary'!$J$5:$J$14,MATCH($A195,'Cohort Summary'!$A$5:$A$14,0)))/INDEX('Cohort Summary'!$K$5:$K$14,MATCH($A195,'Cohort Summary'!$A$5:$A$14,0))</f>
        <v>1.20000000000001</v>
      </c>
      <c r="M195" s="42" t="n">
        <f aca="false">MAX(I195:K195)</f>
        <v>0.95686274509804</v>
      </c>
      <c r="N195" s="27" t="s">
        <v>197</v>
      </c>
      <c r="O195" s="27"/>
      <c r="P195" s="27" t="str">
        <f aca="false">A195&amp;"|"&amp;N195</f>
        <v>NURSE-01|normal</v>
      </c>
    </row>
    <row r="196" customFormat="false" ht="15" hidden="false" customHeight="true" outlineLevel="0" collapsed="false">
      <c r="A196" s="27" t="s">
        <v>66</v>
      </c>
      <c r="B196" s="41" t="n">
        <v>46303.3590277778</v>
      </c>
      <c r="C196" s="27" t="s">
        <v>200</v>
      </c>
      <c r="D196" s="27" t="n">
        <v>37</v>
      </c>
      <c r="E196" s="27" t="n">
        <v>20.1</v>
      </c>
      <c r="F196" s="27" t="n">
        <v>27</v>
      </c>
      <c r="G196" s="27" t="n">
        <v>32</v>
      </c>
      <c r="H196" s="27" t="s">
        <v>198</v>
      </c>
      <c r="I196" s="42" t="n">
        <f aca="false">(D196-INDEX('Cohort Summary'!$D$5:$D$14,MATCH($A196,'Cohort Summary'!$A$5:$A$14,0)))/INDEX('Cohort Summary'!$E$5:$E$14,MATCH($A196,'Cohort Summary'!$A$5:$A$14,0))</f>
        <v>-0.97427652733119</v>
      </c>
      <c r="J196" s="42" t="n">
        <f aca="false">(E196-INDEX('Cohort Summary'!$F$5:$F$14,MATCH($A196,'Cohort Summary'!$A$5:$A$14,0)))/INDEX('Cohort Summary'!$G$5:$G$14,MATCH($A196,'Cohort Summary'!$A$5:$A$14,0))</f>
        <v>0.809278350515464</v>
      </c>
      <c r="K196" s="42" t="n">
        <f aca="false">(F196-INDEX('Cohort Summary'!$H$5:$H$14,MATCH($A196,'Cohort Summary'!$A$5:$A$14,0)))/INDEX('Cohort Summary'!$I$5:$I$14,MATCH($A196,'Cohort Summary'!$A$5:$A$14,0))</f>
        <v>-1.27843137254902</v>
      </c>
      <c r="L196" s="42" t="n">
        <f aca="false">(G196-INDEX('Cohort Summary'!$J$5:$J$14,MATCH($A196,'Cohort Summary'!$A$5:$A$14,0)))/INDEX('Cohort Summary'!$K$5:$K$14,MATCH($A196,'Cohort Summary'!$A$5:$A$14,0))</f>
        <v>-1.7090909090909</v>
      </c>
      <c r="M196" s="42" t="n">
        <f aca="false">MAX(I196:K196)</f>
        <v>0.809278350515464</v>
      </c>
      <c r="N196" s="27" t="s">
        <v>197</v>
      </c>
      <c r="O196" s="27"/>
      <c r="P196" s="27" t="str">
        <f aca="false">A196&amp;"|"&amp;N196</f>
        <v>NURSE-01|normal</v>
      </c>
    </row>
    <row r="197" customFormat="false" ht="15" hidden="false" customHeight="true" outlineLevel="0" collapsed="false">
      <c r="A197" s="27" t="s">
        <v>66</v>
      </c>
      <c r="B197" s="41" t="n">
        <v>46303.359375</v>
      </c>
      <c r="C197" s="27" t="s">
        <v>200</v>
      </c>
      <c r="D197" s="27" t="n">
        <v>39.2</v>
      </c>
      <c r="E197" s="27" t="n">
        <v>20.7</v>
      </c>
      <c r="F197" s="27" t="n">
        <v>29.1</v>
      </c>
      <c r="G197" s="27" t="n">
        <v>33.8</v>
      </c>
      <c r="H197" s="27" t="s">
        <v>199</v>
      </c>
      <c r="I197" s="42" t="n">
        <f aca="false">(D197-INDEX('Cohort Summary'!$D$5:$D$14,MATCH($A197,'Cohort Summary'!$A$5:$A$14,0)))/INDEX('Cohort Summary'!$E$5:$E$14,MATCH($A197,'Cohort Summary'!$A$5:$A$14,0))</f>
        <v>-0.266881028938906</v>
      </c>
      <c r="J197" s="42" t="n">
        <f aca="false">(E197-INDEX('Cohort Summary'!$F$5:$F$14,MATCH($A197,'Cohort Summary'!$A$5:$A$14,0)))/INDEX('Cohort Summary'!$G$5:$G$14,MATCH($A197,'Cohort Summary'!$A$5:$A$14,0))</f>
        <v>1.11855670103093</v>
      </c>
      <c r="K197" s="42" t="n">
        <f aca="false">(F197-INDEX('Cohort Summary'!$H$5:$H$14,MATCH($A197,'Cohort Summary'!$A$5:$A$14,0)))/INDEX('Cohort Summary'!$I$5:$I$14,MATCH($A197,'Cohort Summary'!$A$5:$A$14,0))</f>
        <v>-0.454901960784314</v>
      </c>
      <c r="L197" s="42" t="n">
        <f aca="false">(G197-INDEX('Cohort Summary'!$J$5:$J$14,MATCH($A197,'Cohort Summary'!$A$5:$A$14,0)))/INDEX('Cohort Summary'!$K$5:$K$14,MATCH($A197,'Cohort Summary'!$A$5:$A$14,0))</f>
        <v>1.56363636363636</v>
      </c>
      <c r="M197" s="42" t="n">
        <f aca="false">MAX(I197:K197)</f>
        <v>1.11855670103093</v>
      </c>
      <c r="N197" s="27" t="s">
        <v>197</v>
      </c>
      <c r="O197" s="27"/>
      <c r="P197" s="27" t="str">
        <f aca="false">A197&amp;"|"&amp;N197</f>
        <v>NURSE-01|normal</v>
      </c>
    </row>
    <row r="198" customFormat="false" ht="15" hidden="false" customHeight="true" outlineLevel="0" collapsed="false">
      <c r="A198" s="27" t="s">
        <v>66</v>
      </c>
      <c r="B198" s="41" t="n">
        <v>46303.3597222222</v>
      </c>
      <c r="C198" s="27" t="s">
        <v>200</v>
      </c>
      <c r="D198" s="27" t="n">
        <v>42.7</v>
      </c>
      <c r="E198" s="27" t="n">
        <v>15.9</v>
      </c>
      <c r="F198" s="27" t="n">
        <v>25.5</v>
      </c>
      <c r="G198" s="27" t="n">
        <v>32.3</v>
      </c>
      <c r="H198" s="27" t="s">
        <v>199</v>
      </c>
      <c r="I198" s="42" t="n">
        <f aca="false">(D198-INDEX('Cohort Summary'!$D$5:$D$14,MATCH($A198,'Cohort Summary'!$A$5:$A$14,0)))/INDEX('Cohort Summary'!$E$5:$E$14,MATCH($A198,'Cohort Summary'!$A$5:$A$14,0))</f>
        <v>0.858520900321544</v>
      </c>
      <c r="J198" s="42" t="n">
        <f aca="false">(E198-INDEX('Cohort Summary'!$F$5:$F$14,MATCH($A198,'Cohort Summary'!$A$5:$A$14,0)))/INDEX('Cohort Summary'!$G$5:$G$14,MATCH($A198,'Cohort Summary'!$A$5:$A$14,0))</f>
        <v>-1.35567010309278</v>
      </c>
      <c r="K198" s="42" t="n">
        <f aca="false">(F198-INDEX('Cohort Summary'!$H$5:$H$14,MATCH($A198,'Cohort Summary'!$A$5:$A$14,0)))/INDEX('Cohort Summary'!$I$5:$I$14,MATCH($A198,'Cohort Summary'!$A$5:$A$14,0))</f>
        <v>-1.86666666666667</v>
      </c>
      <c r="L198" s="42" t="n">
        <f aca="false">(G198-INDEX('Cohort Summary'!$J$5:$J$14,MATCH($A198,'Cohort Summary'!$A$5:$A$14,0)))/INDEX('Cohort Summary'!$K$5:$K$14,MATCH($A198,'Cohort Summary'!$A$5:$A$14,0))</f>
        <v>-1.16363636363636</v>
      </c>
      <c r="M198" s="42" t="n">
        <f aca="false">MAX(I198:K198)</f>
        <v>0.858520900321544</v>
      </c>
      <c r="N198" s="27" t="s">
        <v>197</v>
      </c>
      <c r="O198" s="27"/>
      <c r="P198" s="27" t="str">
        <f aca="false">A198&amp;"|"&amp;N198</f>
        <v>NURSE-01|normal</v>
      </c>
    </row>
    <row r="199" customFormat="false" ht="15" hidden="false" customHeight="true" outlineLevel="0" collapsed="false">
      <c r="A199" s="27" t="s">
        <v>66</v>
      </c>
      <c r="B199" s="41" t="n">
        <v>46303.3600694445</v>
      </c>
      <c r="C199" s="27" t="s">
        <v>200</v>
      </c>
      <c r="D199" s="27" t="n">
        <v>35.9</v>
      </c>
      <c r="E199" s="27" t="n">
        <v>19.4</v>
      </c>
      <c r="F199" s="27" t="n">
        <v>28.7</v>
      </c>
      <c r="G199" s="27" t="n">
        <v>33</v>
      </c>
      <c r="H199" s="27" t="s">
        <v>198</v>
      </c>
      <c r="I199" s="42" t="n">
        <f aca="false">(D199-INDEX('Cohort Summary'!$D$5:$D$14,MATCH($A199,'Cohort Summary'!$A$5:$A$14,0)))/INDEX('Cohort Summary'!$E$5:$E$14,MATCH($A199,'Cohort Summary'!$A$5:$A$14,0))</f>
        <v>-1.32797427652733</v>
      </c>
      <c r="J199" s="42" t="n">
        <f aca="false">(E199-INDEX('Cohort Summary'!$F$5:$F$14,MATCH($A199,'Cohort Summary'!$A$5:$A$14,0)))/INDEX('Cohort Summary'!$G$5:$G$14,MATCH($A199,'Cohort Summary'!$A$5:$A$14,0))</f>
        <v>0.448453608247421</v>
      </c>
      <c r="K199" s="42" t="n">
        <f aca="false">(F199-INDEX('Cohort Summary'!$H$5:$H$14,MATCH($A199,'Cohort Summary'!$A$5:$A$14,0)))/INDEX('Cohort Summary'!$I$5:$I$14,MATCH($A199,'Cohort Summary'!$A$5:$A$14,0))</f>
        <v>-0.611764705882354</v>
      </c>
      <c r="L199" s="42" t="n">
        <f aca="false">(G199-INDEX('Cohort Summary'!$J$5:$J$14,MATCH($A199,'Cohort Summary'!$A$5:$A$14,0)))/INDEX('Cohort Summary'!$K$5:$K$14,MATCH($A199,'Cohort Summary'!$A$5:$A$14,0))</f>
        <v>0.109090909090913</v>
      </c>
      <c r="M199" s="42" t="n">
        <f aca="false">MAX(I199:K199)</f>
        <v>0.448453608247421</v>
      </c>
      <c r="N199" s="27" t="s">
        <v>197</v>
      </c>
      <c r="O199" s="27"/>
      <c r="P199" s="27" t="str">
        <f aca="false">A199&amp;"|"&amp;N199</f>
        <v>NURSE-01|normal</v>
      </c>
    </row>
    <row r="200" customFormat="false" ht="15" hidden="false" customHeight="true" outlineLevel="0" collapsed="false">
      <c r="A200" s="27" t="s">
        <v>66</v>
      </c>
      <c r="B200" s="41" t="n">
        <v>46303.3604166667</v>
      </c>
      <c r="C200" s="27" t="s">
        <v>200</v>
      </c>
      <c r="D200" s="27" t="n">
        <v>38.5</v>
      </c>
      <c r="E200" s="27" t="n">
        <v>16.1</v>
      </c>
      <c r="F200" s="27" t="n">
        <v>26.7</v>
      </c>
      <c r="G200" s="27" t="n">
        <v>32.1</v>
      </c>
      <c r="H200" s="27" t="s">
        <v>199</v>
      </c>
      <c r="I200" s="42" t="n">
        <f aca="false">(D200-INDEX('Cohort Summary'!$D$5:$D$14,MATCH($A200,'Cohort Summary'!$A$5:$A$14,0)))/INDEX('Cohort Summary'!$E$5:$E$14,MATCH($A200,'Cohort Summary'!$A$5:$A$14,0))</f>
        <v>-0.491961414790997</v>
      </c>
      <c r="J200" s="42" t="n">
        <f aca="false">(E200-INDEX('Cohort Summary'!$F$5:$F$14,MATCH($A200,'Cohort Summary'!$A$5:$A$14,0)))/INDEX('Cohort Summary'!$G$5:$G$14,MATCH($A200,'Cohort Summary'!$A$5:$A$14,0))</f>
        <v>-1.25257731958763</v>
      </c>
      <c r="K200" s="42" t="n">
        <f aca="false">(F200-INDEX('Cohort Summary'!$H$5:$H$14,MATCH($A200,'Cohort Summary'!$A$5:$A$14,0)))/INDEX('Cohort Summary'!$I$5:$I$14,MATCH($A200,'Cohort Summary'!$A$5:$A$14,0))</f>
        <v>-1.39607843137255</v>
      </c>
      <c r="L200" s="42" t="n">
        <f aca="false">(G200-INDEX('Cohort Summary'!$J$5:$J$14,MATCH($A200,'Cohort Summary'!$A$5:$A$14,0)))/INDEX('Cohort Summary'!$K$5:$K$14,MATCH($A200,'Cohort Summary'!$A$5:$A$14,0))</f>
        <v>-1.52727272727272</v>
      </c>
      <c r="M200" s="42" t="n">
        <f aca="false">MAX(I200:K200)</f>
        <v>-0.491961414790997</v>
      </c>
      <c r="N200" s="27" t="s">
        <v>197</v>
      </c>
      <c r="O200" s="27"/>
      <c r="P200" s="27" t="str">
        <f aca="false">A200&amp;"|"&amp;N200</f>
        <v>NURSE-01|normal</v>
      </c>
    </row>
    <row r="201" customFormat="false" ht="15" hidden="false" customHeight="true" outlineLevel="0" collapsed="false">
      <c r="A201" s="27" t="s">
        <v>66</v>
      </c>
      <c r="B201" s="41" t="n">
        <v>46303.3607638889</v>
      </c>
      <c r="C201" s="27" t="s">
        <v>200</v>
      </c>
      <c r="D201" s="27" t="n">
        <v>39.9</v>
      </c>
      <c r="E201" s="27" t="n">
        <v>20.6</v>
      </c>
      <c r="F201" s="27" t="n">
        <v>34.7</v>
      </c>
      <c r="G201" s="27" t="n">
        <v>32.4</v>
      </c>
      <c r="H201" s="27" t="s">
        <v>198</v>
      </c>
      <c r="I201" s="42" t="n">
        <f aca="false">(D201-INDEX('Cohort Summary'!$D$5:$D$14,MATCH($A201,'Cohort Summary'!$A$5:$A$14,0)))/INDEX('Cohort Summary'!$E$5:$E$14,MATCH($A201,'Cohort Summary'!$A$5:$A$14,0))</f>
        <v>-0.0418006430868175</v>
      </c>
      <c r="J201" s="42" t="n">
        <f aca="false">(E201-INDEX('Cohort Summary'!$F$5:$F$14,MATCH($A201,'Cohort Summary'!$A$5:$A$14,0)))/INDEX('Cohort Summary'!$G$5:$G$14,MATCH($A201,'Cohort Summary'!$A$5:$A$14,0))</f>
        <v>1.06701030927835</v>
      </c>
      <c r="K201" s="42" t="n">
        <f aca="false">(F201-INDEX('Cohort Summary'!$H$5:$H$14,MATCH($A201,'Cohort Summary'!$A$5:$A$14,0)))/INDEX('Cohort Summary'!$I$5:$I$14,MATCH($A201,'Cohort Summary'!$A$5:$A$14,0))</f>
        <v>1.74117647058824</v>
      </c>
      <c r="L201" s="42" t="n">
        <f aca="false">(G201-INDEX('Cohort Summary'!$J$5:$J$14,MATCH($A201,'Cohort Summary'!$A$5:$A$14,0)))/INDEX('Cohort Summary'!$K$5:$K$14,MATCH($A201,'Cohort Summary'!$A$5:$A$14,0))</f>
        <v>-0.98181818181818</v>
      </c>
      <c r="M201" s="42" t="n">
        <f aca="false">MAX(I201:K201)</f>
        <v>1.74117647058824</v>
      </c>
      <c r="N201" s="27" t="s">
        <v>197</v>
      </c>
      <c r="O201" s="27"/>
      <c r="P201" s="27" t="str">
        <f aca="false">A201&amp;"|"&amp;N201</f>
        <v>NURSE-01|normal</v>
      </c>
    </row>
    <row r="202" customFormat="false" ht="15" hidden="false" customHeight="true" outlineLevel="0" collapsed="false">
      <c r="A202" s="27" t="s">
        <v>73</v>
      </c>
      <c r="B202" s="41" t="n">
        <v>46303.2916666667</v>
      </c>
      <c r="C202" s="27" t="s">
        <v>195</v>
      </c>
      <c r="D202" s="27" t="n">
        <v>47.4</v>
      </c>
      <c r="E202" s="27" t="n">
        <v>16.3</v>
      </c>
      <c r="F202" s="27" t="n">
        <v>36.1</v>
      </c>
      <c r="G202" s="27" t="n">
        <v>32.4</v>
      </c>
      <c r="H202" s="27" t="s">
        <v>196</v>
      </c>
      <c r="I202" s="42" t="n">
        <f aca="false">(D202-INDEX('Cohort Summary'!$D$5:$D$14,MATCH($A202,'Cohort Summary'!$A$5:$A$14,0)))/INDEX('Cohort Summary'!$E$5:$E$14,MATCH($A202,'Cohort Summary'!$A$5:$A$14,0))</f>
        <v>1.10122699386503</v>
      </c>
      <c r="J202" s="42" t="n">
        <f aca="false">(E202-INDEX('Cohort Summary'!$F$5:$F$14,MATCH($A202,'Cohort Summary'!$A$5:$A$14,0)))/INDEX('Cohort Summary'!$G$5:$G$14,MATCH($A202,'Cohort Summary'!$A$5:$A$14,0))</f>
        <v>-1.29716981132075</v>
      </c>
      <c r="K202" s="42" t="n">
        <f aca="false">(F202-INDEX('Cohort Summary'!$H$5:$H$14,MATCH($A202,'Cohort Summary'!$A$5:$A$14,0)))/INDEX('Cohort Summary'!$I$5:$I$14,MATCH($A202,'Cohort Summary'!$A$5:$A$14,0))</f>
        <v>1.24149659863946</v>
      </c>
      <c r="L202" s="42" t="n">
        <f aca="false">(G202-INDEX('Cohort Summary'!$J$5:$J$14,MATCH($A202,'Cohort Summary'!$A$5:$A$14,0)))/INDEX('Cohort Summary'!$K$5:$K$14,MATCH($A202,'Cohort Summary'!$A$5:$A$14,0))</f>
        <v>-0.671875</v>
      </c>
      <c r="M202" s="42" t="n">
        <f aca="false">MAX(I202:K202)</f>
        <v>1.24149659863946</v>
      </c>
      <c r="N202" s="27" t="s">
        <v>197</v>
      </c>
      <c r="O202" s="27"/>
      <c r="P202" s="27" t="str">
        <f aca="false">A202&amp;"|"&amp;N202</f>
        <v>NURSE-02|normal</v>
      </c>
    </row>
    <row r="203" customFormat="false" ht="15" hidden="false" customHeight="true" outlineLevel="0" collapsed="false">
      <c r="A203" s="27" t="s">
        <v>73</v>
      </c>
      <c r="B203" s="41" t="n">
        <v>46303.2920138889</v>
      </c>
      <c r="C203" s="27" t="s">
        <v>195</v>
      </c>
      <c r="D203" s="27" t="n">
        <v>48.3</v>
      </c>
      <c r="E203" s="27" t="n">
        <v>18.7</v>
      </c>
      <c r="F203" s="27" t="n">
        <v>36</v>
      </c>
      <c r="G203" s="27" t="n">
        <v>33</v>
      </c>
      <c r="H203" s="27" t="s">
        <v>198</v>
      </c>
      <c r="I203" s="42" t="n">
        <f aca="false">(D203-INDEX('Cohort Summary'!$D$5:$D$14,MATCH($A203,'Cohort Summary'!$A$5:$A$14,0)))/INDEX('Cohort Summary'!$E$5:$E$14,MATCH($A203,'Cohort Summary'!$A$5:$A$14,0))</f>
        <v>1.37730061349693</v>
      </c>
      <c r="J203" s="42" t="n">
        <f aca="false">(E203-INDEX('Cohort Summary'!$F$5:$F$14,MATCH($A203,'Cohort Summary'!$A$5:$A$14,0)))/INDEX('Cohort Summary'!$G$5:$G$14,MATCH($A203,'Cohort Summary'!$A$5:$A$14,0))</f>
        <v>-0.165094339622642</v>
      </c>
      <c r="K203" s="42" t="n">
        <f aca="false">(F203-INDEX('Cohort Summary'!$H$5:$H$14,MATCH($A203,'Cohort Summary'!$A$5:$A$14,0)))/INDEX('Cohort Summary'!$I$5:$I$14,MATCH($A203,'Cohort Summary'!$A$5:$A$14,0))</f>
        <v>1.20748299319728</v>
      </c>
      <c r="L203" s="42" t="n">
        <f aca="false">(G203-INDEX('Cohort Summary'!$J$5:$J$14,MATCH($A203,'Cohort Summary'!$A$5:$A$14,0)))/INDEX('Cohort Summary'!$K$5:$K$14,MATCH($A203,'Cohort Summary'!$A$5:$A$14,0))</f>
        <v>0.265625000000003</v>
      </c>
      <c r="M203" s="42" t="n">
        <f aca="false">MAX(I203:K203)</f>
        <v>1.37730061349693</v>
      </c>
      <c r="N203" s="27" t="s">
        <v>197</v>
      </c>
      <c r="O203" s="27"/>
      <c r="P203" s="27" t="str">
        <f aca="false">A203&amp;"|"&amp;N203</f>
        <v>NURSE-02|normal</v>
      </c>
    </row>
    <row r="204" customFormat="false" ht="15" hidden="false" customHeight="true" outlineLevel="0" collapsed="false">
      <c r="A204" s="27" t="s">
        <v>73</v>
      </c>
      <c r="B204" s="41" t="n">
        <v>46303.2923611111</v>
      </c>
      <c r="C204" s="27" t="s">
        <v>195</v>
      </c>
      <c r="D204" s="27" t="n">
        <v>45.4</v>
      </c>
      <c r="E204" s="27" t="n">
        <v>22</v>
      </c>
      <c r="F204" s="27" t="n">
        <v>33.2</v>
      </c>
      <c r="G204" s="27" t="n">
        <v>33</v>
      </c>
      <c r="H204" s="27" t="s">
        <v>198</v>
      </c>
      <c r="I204" s="42" t="n">
        <f aca="false">(D204-INDEX('Cohort Summary'!$D$5:$D$14,MATCH($A204,'Cohort Summary'!$A$5:$A$14,0)))/INDEX('Cohort Summary'!$E$5:$E$14,MATCH($A204,'Cohort Summary'!$A$5:$A$14,0))</f>
        <v>0.487730061349692</v>
      </c>
      <c r="J204" s="42" t="n">
        <f aca="false">(E204-INDEX('Cohort Summary'!$F$5:$F$14,MATCH($A204,'Cohort Summary'!$A$5:$A$14,0)))/INDEX('Cohort Summary'!$G$5:$G$14,MATCH($A204,'Cohort Summary'!$A$5:$A$14,0))</f>
        <v>1.39150943396226</v>
      </c>
      <c r="K204" s="42" t="n">
        <f aca="false">(F204-INDEX('Cohort Summary'!$H$5:$H$14,MATCH($A204,'Cohort Summary'!$A$5:$A$14,0)))/INDEX('Cohort Summary'!$I$5:$I$14,MATCH($A204,'Cohort Summary'!$A$5:$A$14,0))</f>
        <v>0.255102040816327</v>
      </c>
      <c r="L204" s="42" t="n">
        <f aca="false">(G204-INDEX('Cohort Summary'!$J$5:$J$14,MATCH($A204,'Cohort Summary'!$A$5:$A$14,0)))/INDEX('Cohort Summary'!$K$5:$K$14,MATCH($A204,'Cohort Summary'!$A$5:$A$14,0))</f>
        <v>0.265625000000003</v>
      </c>
      <c r="M204" s="42" t="n">
        <f aca="false">MAX(I204:K204)</f>
        <v>1.39150943396226</v>
      </c>
      <c r="N204" s="27" t="s">
        <v>197</v>
      </c>
      <c r="O204" s="27"/>
      <c r="P204" s="27" t="str">
        <f aca="false">A204&amp;"|"&amp;N204</f>
        <v>NURSE-02|normal</v>
      </c>
    </row>
    <row r="205" customFormat="false" ht="15" hidden="false" customHeight="true" outlineLevel="0" collapsed="false">
      <c r="A205" s="27" t="s">
        <v>73</v>
      </c>
      <c r="B205" s="41" t="n">
        <v>46303.2927083333</v>
      </c>
      <c r="C205" s="27" t="s">
        <v>195</v>
      </c>
      <c r="D205" s="27" t="n">
        <v>47.3</v>
      </c>
      <c r="E205" s="27" t="n">
        <v>17.3</v>
      </c>
      <c r="F205" s="27" t="n">
        <v>29.2</v>
      </c>
      <c r="G205" s="27" t="n">
        <v>32.6</v>
      </c>
      <c r="H205" s="27" t="s">
        <v>196</v>
      </c>
      <c r="I205" s="42" t="n">
        <f aca="false">(D205-INDEX('Cohort Summary'!$D$5:$D$14,MATCH($A205,'Cohort Summary'!$A$5:$A$14,0)))/INDEX('Cohort Summary'!$E$5:$E$14,MATCH($A205,'Cohort Summary'!$A$5:$A$14,0))</f>
        <v>1.07055214723926</v>
      </c>
      <c r="J205" s="42" t="n">
        <f aca="false">(E205-INDEX('Cohort Summary'!$F$5:$F$14,MATCH($A205,'Cohort Summary'!$A$5:$A$14,0)))/INDEX('Cohort Summary'!$G$5:$G$14,MATCH($A205,'Cohort Summary'!$A$5:$A$14,0))</f>
        <v>-0.825471698113208</v>
      </c>
      <c r="K205" s="42" t="n">
        <f aca="false">(F205-INDEX('Cohort Summary'!$H$5:$H$14,MATCH($A205,'Cohort Summary'!$A$5:$A$14,0)))/INDEX('Cohort Summary'!$I$5:$I$14,MATCH($A205,'Cohort Summary'!$A$5:$A$14,0))</f>
        <v>-1.10544217687075</v>
      </c>
      <c r="L205" s="42" t="n">
        <f aca="false">(G205-INDEX('Cohort Summary'!$J$5:$J$14,MATCH($A205,'Cohort Summary'!$A$5:$A$14,0)))/INDEX('Cohort Summary'!$K$5:$K$14,MATCH($A205,'Cohort Summary'!$A$5:$A$14,0))</f>
        <v>-0.359374999999995</v>
      </c>
      <c r="M205" s="42" t="n">
        <f aca="false">MAX(I205:K205)</f>
        <v>1.07055214723926</v>
      </c>
      <c r="N205" s="27" t="s">
        <v>197</v>
      </c>
      <c r="O205" s="27"/>
      <c r="P205" s="27" t="str">
        <f aca="false">A205&amp;"|"&amp;N205</f>
        <v>NURSE-02|normal</v>
      </c>
    </row>
    <row r="206" customFormat="false" ht="15" hidden="false" customHeight="true" outlineLevel="0" collapsed="false">
      <c r="A206" s="27" t="s">
        <v>73</v>
      </c>
      <c r="B206" s="41" t="n">
        <v>46303.2930555556</v>
      </c>
      <c r="C206" s="27" t="s">
        <v>195</v>
      </c>
      <c r="D206" s="27" t="n">
        <v>40.6</v>
      </c>
      <c r="E206" s="27" t="n">
        <v>18.5</v>
      </c>
      <c r="F206" s="27" t="n">
        <v>28.5</v>
      </c>
      <c r="G206" s="27" t="n">
        <v>33.7</v>
      </c>
      <c r="H206" s="27" t="s">
        <v>198</v>
      </c>
      <c r="I206" s="42" t="n">
        <f aca="false">(D206-INDEX('Cohort Summary'!$D$5:$D$14,MATCH($A206,'Cohort Summary'!$A$5:$A$14,0)))/INDEX('Cohort Summary'!$E$5:$E$14,MATCH($A206,'Cohort Summary'!$A$5:$A$14,0))</f>
        <v>-0.984662576687117</v>
      </c>
      <c r="J206" s="42" t="n">
        <f aca="false">(E206-INDEX('Cohort Summary'!$F$5:$F$14,MATCH($A206,'Cohort Summary'!$A$5:$A$14,0)))/INDEX('Cohort Summary'!$G$5:$G$14,MATCH($A206,'Cohort Summary'!$A$5:$A$14,0))</f>
        <v>-0.259433962264151</v>
      </c>
      <c r="K206" s="42" t="n">
        <f aca="false">(F206-INDEX('Cohort Summary'!$H$5:$H$14,MATCH($A206,'Cohort Summary'!$A$5:$A$14,0)))/INDEX('Cohort Summary'!$I$5:$I$14,MATCH($A206,'Cohort Summary'!$A$5:$A$14,0))</f>
        <v>-1.34353741496599</v>
      </c>
      <c r="L206" s="42" t="n">
        <f aca="false">(G206-INDEX('Cohort Summary'!$J$5:$J$14,MATCH($A206,'Cohort Summary'!$A$5:$A$14,0)))/INDEX('Cohort Summary'!$K$5:$K$14,MATCH($A206,'Cohort Summary'!$A$5:$A$14,0))</f>
        <v>1.35937500000001</v>
      </c>
      <c r="M206" s="42" t="n">
        <f aca="false">MAX(I206:K206)</f>
        <v>-0.259433962264151</v>
      </c>
      <c r="N206" s="27" t="s">
        <v>197</v>
      </c>
      <c r="O206" s="27"/>
      <c r="P206" s="27" t="str">
        <f aca="false">A206&amp;"|"&amp;N206</f>
        <v>NURSE-02|normal</v>
      </c>
    </row>
    <row r="207" customFormat="false" ht="15" hidden="false" customHeight="true" outlineLevel="0" collapsed="false">
      <c r="A207" s="27" t="s">
        <v>73</v>
      </c>
      <c r="B207" s="41" t="n">
        <v>46303.2934027778</v>
      </c>
      <c r="C207" s="27" t="s">
        <v>195</v>
      </c>
      <c r="D207" s="27" t="n">
        <v>39.4</v>
      </c>
      <c r="E207" s="27" t="n">
        <v>19.9</v>
      </c>
      <c r="F207" s="27" t="n">
        <v>34.6</v>
      </c>
      <c r="G207" s="27" t="n">
        <v>31.9</v>
      </c>
      <c r="H207" s="27" t="s">
        <v>199</v>
      </c>
      <c r="I207" s="42" t="n">
        <f aca="false">(D207-INDEX('Cohort Summary'!$D$5:$D$14,MATCH($A207,'Cohort Summary'!$A$5:$A$14,0)))/INDEX('Cohort Summary'!$E$5:$E$14,MATCH($A207,'Cohort Summary'!$A$5:$A$14,0))</f>
        <v>-1.35276073619632</v>
      </c>
      <c r="J207" s="42" t="n">
        <f aca="false">(E207-INDEX('Cohort Summary'!$F$5:$F$14,MATCH($A207,'Cohort Summary'!$A$5:$A$14,0)))/INDEX('Cohort Summary'!$G$5:$G$14,MATCH($A207,'Cohort Summary'!$A$5:$A$14,0))</f>
        <v>0.400943396226414</v>
      </c>
      <c r="K207" s="42" t="n">
        <f aca="false">(F207-INDEX('Cohort Summary'!$H$5:$H$14,MATCH($A207,'Cohort Summary'!$A$5:$A$14,0)))/INDEX('Cohort Summary'!$I$5:$I$14,MATCH($A207,'Cohort Summary'!$A$5:$A$14,0))</f>
        <v>0.731292517006802</v>
      </c>
      <c r="L207" s="42" t="n">
        <f aca="false">(G207-INDEX('Cohort Summary'!$J$5:$J$14,MATCH($A207,'Cohort Summary'!$A$5:$A$14,0)))/INDEX('Cohort Summary'!$K$5:$K$14,MATCH($A207,'Cohort Summary'!$A$5:$A$14,0))</f>
        <v>-1.453125</v>
      </c>
      <c r="M207" s="42" t="n">
        <f aca="false">MAX(I207:K207)</f>
        <v>0.731292517006802</v>
      </c>
      <c r="N207" s="27" t="s">
        <v>197</v>
      </c>
      <c r="O207" s="27"/>
      <c r="P207" s="27" t="str">
        <f aca="false">A207&amp;"|"&amp;N207</f>
        <v>NURSE-02|normal</v>
      </c>
    </row>
    <row r="208" customFormat="false" ht="15" hidden="false" customHeight="true" outlineLevel="0" collapsed="false">
      <c r="A208" s="27" t="s">
        <v>73</v>
      </c>
      <c r="B208" s="41" t="n">
        <v>46303.29375</v>
      </c>
      <c r="C208" s="27" t="s">
        <v>195</v>
      </c>
      <c r="D208" s="27" t="n">
        <v>40.2</v>
      </c>
      <c r="E208" s="27" t="n">
        <v>20.2</v>
      </c>
      <c r="F208" s="27" t="n">
        <v>32.5</v>
      </c>
      <c r="G208" s="27" t="n">
        <v>33.1</v>
      </c>
      <c r="H208" s="27" t="s">
        <v>199</v>
      </c>
      <c r="I208" s="42" t="n">
        <f aca="false">(D208-INDEX('Cohort Summary'!$D$5:$D$14,MATCH($A208,'Cohort Summary'!$A$5:$A$14,0)))/INDEX('Cohort Summary'!$E$5:$E$14,MATCH($A208,'Cohort Summary'!$A$5:$A$14,0))</f>
        <v>-1.10736196319018</v>
      </c>
      <c r="J208" s="42" t="n">
        <f aca="false">(E208-INDEX('Cohort Summary'!$F$5:$F$14,MATCH($A208,'Cohort Summary'!$A$5:$A$14,0)))/INDEX('Cohort Summary'!$G$5:$G$14,MATCH($A208,'Cohort Summary'!$A$5:$A$14,0))</f>
        <v>0.542452830188679</v>
      </c>
      <c r="K208" s="42" t="n">
        <f aca="false">(F208-INDEX('Cohort Summary'!$H$5:$H$14,MATCH($A208,'Cohort Summary'!$A$5:$A$14,0)))/INDEX('Cohort Summary'!$I$5:$I$14,MATCH($A208,'Cohort Summary'!$A$5:$A$14,0))</f>
        <v>0.0170068027210875</v>
      </c>
      <c r="L208" s="42" t="n">
        <f aca="false">(G208-INDEX('Cohort Summary'!$J$5:$J$14,MATCH($A208,'Cohort Summary'!$A$5:$A$14,0)))/INDEX('Cohort Summary'!$K$5:$K$14,MATCH($A208,'Cohort Summary'!$A$5:$A$14,0))</f>
        <v>0.421875000000005</v>
      </c>
      <c r="M208" s="42" t="n">
        <f aca="false">MAX(I208:K208)</f>
        <v>0.542452830188679</v>
      </c>
      <c r="N208" s="27" t="s">
        <v>197</v>
      </c>
      <c r="O208" s="27"/>
      <c r="P208" s="27" t="str">
        <f aca="false">A208&amp;"|"&amp;N208</f>
        <v>NURSE-02|normal</v>
      </c>
    </row>
    <row r="209" customFormat="false" ht="15" hidden="false" customHeight="true" outlineLevel="0" collapsed="false">
      <c r="A209" s="27" t="s">
        <v>73</v>
      </c>
      <c r="B209" s="41" t="n">
        <v>46303.2940972222</v>
      </c>
      <c r="C209" s="27" t="s">
        <v>195</v>
      </c>
      <c r="D209" s="27" t="n">
        <v>45.5</v>
      </c>
      <c r="E209" s="27" t="n">
        <v>18.2</v>
      </c>
      <c r="F209" s="27" t="n">
        <v>29.5</v>
      </c>
      <c r="G209" s="27" t="n">
        <v>32.6</v>
      </c>
      <c r="H209" s="27" t="s">
        <v>199</v>
      </c>
      <c r="I209" s="42" t="n">
        <f aca="false">(D209-INDEX('Cohort Summary'!$D$5:$D$14,MATCH($A209,'Cohort Summary'!$A$5:$A$14,0)))/INDEX('Cohort Summary'!$E$5:$E$14,MATCH($A209,'Cohort Summary'!$A$5:$A$14,0))</f>
        <v>0.51840490797546</v>
      </c>
      <c r="J209" s="42" t="n">
        <f aca="false">(E209-INDEX('Cohort Summary'!$F$5:$F$14,MATCH($A209,'Cohort Summary'!$A$5:$A$14,0)))/INDEX('Cohort Summary'!$G$5:$G$14,MATCH($A209,'Cohort Summary'!$A$5:$A$14,0))</f>
        <v>-0.400943396226416</v>
      </c>
      <c r="K209" s="42" t="n">
        <f aca="false">(F209-INDEX('Cohort Summary'!$H$5:$H$14,MATCH($A209,'Cohort Summary'!$A$5:$A$14,0)))/INDEX('Cohort Summary'!$I$5:$I$14,MATCH($A209,'Cohort Summary'!$A$5:$A$14,0))</f>
        <v>-1.00340136054422</v>
      </c>
      <c r="L209" s="42" t="n">
        <f aca="false">(G209-INDEX('Cohort Summary'!$J$5:$J$14,MATCH($A209,'Cohort Summary'!$A$5:$A$14,0)))/INDEX('Cohort Summary'!$K$5:$K$14,MATCH($A209,'Cohort Summary'!$A$5:$A$14,0))</f>
        <v>-0.359374999999995</v>
      </c>
      <c r="M209" s="42" t="n">
        <f aca="false">MAX(I209:K209)</f>
        <v>0.51840490797546</v>
      </c>
      <c r="N209" s="27" t="s">
        <v>197</v>
      </c>
      <c r="O209" s="27"/>
      <c r="P209" s="27" t="str">
        <f aca="false">A209&amp;"|"&amp;N209</f>
        <v>NURSE-02|normal</v>
      </c>
    </row>
    <row r="210" customFormat="false" ht="15" hidden="false" customHeight="true" outlineLevel="0" collapsed="false">
      <c r="A210" s="27" t="s">
        <v>73</v>
      </c>
      <c r="B210" s="41" t="n">
        <v>46303.2944444444</v>
      </c>
      <c r="C210" s="27" t="s">
        <v>195</v>
      </c>
      <c r="D210" s="27" t="n">
        <v>43.5</v>
      </c>
      <c r="E210" s="27" t="n">
        <v>19.1</v>
      </c>
      <c r="F210" s="27" t="n">
        <v>27.2</v>
      </c>
      <c r="G210" s="27" t="n">
        <v>33</v>
      </c>
      <c r="H210" s="27" t="s">
        <v>199</v>
      </c>
      <c r="I210" s="42" t="n">
        <f aca="false">(D210-INDEX('Cohort Summary'!$D$5:$D$14,MATCH($A210,'Cohort Summary'!$A$5:$A$14,0)))/INDEX('Cohort Summary'!$E$5:$E$14,MATCH($A210,'Cohort Summary'!$A$5:$A$14,0))</f>
        <v>-0.095092024539878</v>
      </c>
      <c r="J210" s="42" t="n">
        <f aca="false">(E210-INDEX('Cohort Summary'!$F$5:$F$14,MATCH($A210,'Cohort Summary'!$A$5:$A$14,0)))/INDEX('Cohort Summary'!$G$5:$G$14,MATCH($A210,'Cohort Summary'!$A$5:$A$14,0))</f>
        <v>0.0235849056603777</v>
      </c>
      <c r="K210" s="42" t="n">
        <f aca="false">(F210-INDEX('Cohort Summary'!$H$5:$H$14,MATCH($A210,'Cohort Summary'!$A$5:$A$14,0)))/INDEX('Cohort Summary'!$I$5:$I$14,MATCH($A210,'Cohort Summary'!$A$5:$A$14,0))</f>
        <v>-1.78571428571429</v>
      </c>
      <c r="L210" s="42" t="n">
        <f aca="false">(G210-INDEX('Cohort Summary'!$J$5:$J$14,MATCH($A210,'Cohort Summary'!$A$5:$A$14,0)))/INDEX('Cohort Summary'!$K$5:$K$14,MATCH($A210,'Cohort Summary'!$A$5:$A$14,0))</f>
        <v>0.265625000000003</v>
      </c>
      <c r="M210" s="42" t="n">
        <f aca="false">MAX(I210:K210)</f>
        <v>0.0235849056603777</v>
      </c>
      <c r="N210" s="27" t="s">
        <v>197</v>
      </c>
      <c r="O210" s="27"/>
      <c r="P210" s="27" t="str">
        <f aca="false">A210&amp;"|"&amp;N210</f>
        <v>NURSE-02|normal</v>
      </c>
    </row>
    <row r="211" customFormat="false" ht="15" hidden="false" customHeight="true" outlineLevel="0" collapsed="false">
      <c r="A211" s="27" t="s">
        <v>73</v>
      </c>
      <c r="B211" s="41" t="n">
        <v>46303.2947916667</v>
      </c>
      <c r="C211" s="27" t="s">
        <v>195</v>
      </c>
      <c r="D211" s="27" t="n">
        <v>43.7</v>
      </c>
      <c r="E211" s="27" t="n">
        <v>19.1</v>
      </c>
      <c r="F211" s="27" t="n">
        <v>33.2</v>
      </c>
      <c r="G211" s="27" t="n">
        <v>33.4</v>
      </c>
      <c r="H211" s="27" t="s">
        <v>198</v>
      </c>
      <c r="I211" s="42" t="n">
        <f aca="false">(D211-INDEX('Cohort Summary'!$D$5:$D$14,MATCH($A211,'Cohort Summary'!$A$5:$A$14,0)))/INDEX('Cohort Summary'!$E$5:$E$14,MATCH($A211,'Cohort Summary'!$A$5:$A$14,0))</f>
        <v>-0.0337423312883434</v>
      </c>
      <c r="J211" s="42" t="n">
        <f aca="false">(E211-INDEX('Cohort Summary'!$F$5:$F$14,MATCH($A211,'Cohort Summary'!$A$5:$A$14,0)))/INDEX('Cohort Summary'!$G$5:$G$14,MATCH($A211,'Cohort Summary'!$A$5:$A$14,0))</f>
        <v>0.0235849056603777</v>
      </c>
      <c r="K211" s="42" t="n">
        <f aca="false">(F211-INDEX('Cohort Summary'!$H$5:$H$14,MATCH($A211,'Cohort Summary'!$A$5:$A$14,0)))/INDEX('Cohort Summary'!$I$5:$I$14,MATCH($A211,'Cohort Summary'!$A$5:$A$14,0))</f>
        <v>0.255102040816327</v>
      </c>
      <c r="L211" s="42" t="n">
        <f aca="false">(G211-INDEX('Cohort Summary'!$J$5:$J$14,MATCH($A211,'Cohort Summary'!$A$5:$A$14,0)))/INDEX('Cohort Summary'!$K$5:$K$14,MATCH($A211,'Cohort Summary'!$A$5:$A$14,0))</f>
        <v>0.890625</v>
      </c>
      <c r="M211" s="42" t="n">
        <f aca="false">MAX(I211:K211)</f>
        <v>0.255102040816327</v>
      </c>
      <c r="N211" s="27" t="s">
        <v>197</v>
      </c>
      <c r="O211" s="27"/>
      <c r="P211" s="27" t="str">
        <f aca="false">A211&amp;"|"&amp;N211</f>
        <v>NURSE-02|normal</v>
      </c>
    </row>
    <row r="212" customFormat="false" ht="15" hidden="false" customHeight="true" outlineLevel="0" collapsed="false">
      <c r="A212" s="27" t="s">
        <v>73</v>
      </c>
      <c r="B212" s="41" t="n">
        <v>46303.2951388889</v>
      </c>
      <c r="C212" s="27" t="s">
        <v>195</v>
      </c>
      <c r="D212" s="27" t="n">
        <v>47.1</v>
      </c>
      <c r="E212" s="27" t="n">
        <v>18.8</v>
      </c>
      <c r="F212" s="27" t="n">
        <v>27.7</v>
      </c>
      <c r="G212" s="27" t="n">
        <v>32.5</v>
      </c>
      <c r="H212" s="27" t="s">
        <v>199</v>
      </c>
      <c r="I212" s="42" t="n">
        <f aca="false">(D212-INDEX('Cohort Summary'!$D$5:$D$14,MATCH($A212,'Cohort Summary'!$A$5:$A$14,0)))/INDEX('Cohort Summary'!$E$5:$E$14,MATCH($A212,'Cohort Summary'!$A$5:$A$14,0))</f>
        <v>1.00920245398773</v>
      </c>
      <c r="J212" s="42" t="n">
        <f aca="false">(E212-INDEX('Cohort Summary'!$F$5:$F$14,MATCH($A212,'Cohort Summary'!$A$5:$A$14,0)))/INDEX('Cohort Summary'!$G$5:$G$14,MATCH($A212,'Cohort Summary'!$A$5:$A$14,0))</f>
        <v>-0.117924528301887</v>
      </c>
      <c r="K212" s="42" t="n">
        <f aca="false">(F212-INDEX('Cohort Summary'!$H$5:$H$14,MATCH($A212,'Cohort Summary'!$A$5:$A$14,0)))/INDEX('Cohort Summary'!$I$5:$I$14,MATCH($A212,'Cohort Summary'!$A$5:$A$14,0))</f>
        <v>-1.6156462585034</v>
      </c>
      <c r="L212" s="42" t="n">
        <f aca="false">(G212-INDEX('Cohort Summary'!$J$5:$J$14,MATCH($A212,'Cohort Summary'!$A$5:$A$14,0)))/INDEX('Cohort Summary'!$K$5:$K$14,MATCH($A212,'Cohort Summary'!$A$5:$A$14,0))</f>
        <v>-0.515624999999997</v>
      </c>
      <c r="M212" s="42" t="n">
        <f aca="false">MAX(I212:K212)</f>
        <v>1.00920245398773</v>
      </c>
      <c r="N212" s="27" t="s">
        <v>197</v>
      </c>
      <c r="O212" s="27"/>
      <c r="P212" s="27" t="str">
        <f aca="false">A212&amp;"|"&amp;N212</f>
        <v>NURSE-02|normal</v>
      </c>
    </row>
    <row r="213" customFormat="false" ht="15" hidden="false" customHeight="true" outlineLevel="0" collapsed="false">
      <c r="A213" s="27" t="s">
        <v>73</v>
      </c>
      <c r="B213" s="41" t="n">
        <v>46303.2954861111</v>
      </c>
      <c r="C213" s="27" t="s">
        <v>195</v>
      </c>
      <c r="D213" s="27" t="n">
        <v>39.9</v>
      </c>
      <c r="E213" s="27" t="n">
        <v>19.1</v>
      </c>
      <c r="F213" s="27" t="n">
        <v>32.1</v>
      </c>
      <c r="G213" s="27" t="n">
        <v>31.9</v>
      </c>
      <c r="H213" s="27" t="s">
        <v>196</v>
      </c>
      <c r="I213" s="42" t="n">
        <f aca="false">(D213-INDEX('Cohort Summary'!$D$5:$D$14,MATCH($A213,'Cohort Summary'!$A$5:$A$14,0)))/INDEX('Cohort Summary'!$E$5:$E$14,MATCH($A213,'Cohort Summary'!$A$5:$A$14,0))</f>
        <v>-1.19938650306749</v>
      </c>
      <c r="J213" s="42" t="n">
        <f aca="false">(E213-INDEX('Cohort Summary'!$F$5:$F$14,MATCH($A213,'Cohort Summary'!$A$5:$A$14,0)))/INDEX('Cohort Summary'!$G$5:$G$14,MATCH($A213,'Cohort Summary'!$A$5:$A$14,0))</f>
        <v>0.0235849056603777</v>
      </c>
      <c r="K213" s="42" t="n">
        <f aca="false">(F213-INDEX('Cohort Summary'!$H$5:$H$14,MATCH($A213,'Cohort Summary'!$A$5:$A$14,0)))/INDEX('Cohort Summary'!$I$5:$I$14,MATCH($A213,'Cohort Summary'!$A$5:$A$14,0))</f>
        <v>-0.11904761904762</v>
      </c>
      <c r="L213" s="42" t="n">
        <f aca="false">(G213-INDEX('Cohort Summary'!$J$5:$J$14,MATCH($A213,'Cohort Summary'!$A$5:$A$14,0)))/INDEX('Cohort Summary'!$K$5:$K$14,MATCH($A213,'Cohort Summary'!$A$5:$A$14,0))</f>
        <v>-1.453125</v>
      </c>
      <c r="M213" s="42" t="n">
        <f aca="false">MAX(I213:K213)</f>
        <v>0.0235849056603777</v>
      </c>
      <c r="N213" s="27" t="s">
        <v>197</v>
      </c>
      <c r="O213" s="27"/>
      <c r="P213" s="27" t="str">
        <f aca="false">A213&amp;"|"&amp;N213</f>
        <v>NURSE-02|normal</v>
      </c>
    </row>
    <row r="214" customFormat="false" ht="15" hidden="false" customHeight="true" outlineLevel="0" collapsed="false">
      <c r="A214" s="27" t="s">
        <v>73</v>
      </c>
      <c r="B214" s="41" t="n">
        <v>46303.2958333333</v>
      </c>
      <c r="C214" s="27" t="s">
        <v>195</v>
      </c>
      <c r="D214" s="27" t="n">
        <v>40.3</v>
      </c>
      <c r="E214" s="27" t="n">
        <v>22.5</v>
      </c>
      <c r="F214" s="27" t="n">
        <v>30.1</v>
      </c>
      <c r="G214" s="27" t="n">
        <v>33.2</v>
      </c>
      <c r="H214" s="27" t="s">
        <v>198</v>
      </c>
      <c r="I214" s="42" t="n">
        <f aca="false">(D214-INDEX('Cohort Summary'!$D$5:$D$14,MATCH($A214,'Cohort Summary'!$A$5:$A$14,0)))/INDEX('Cohort Summary'!$E$5:$E$14,MATCH($A214,'Cohort Summary'!$A$5:$A$14,0))</f>
        <v>-1.07668711656442</v>
      </c>
      <c r="J214" s="42" t="n">
        <f aca="false">(E214-INDEX('Cohort Summary'!$F$5:$F$14,MATCH($A214,'Cohort Summary'!$A$5:$A$14,0)))/INDEX('Cohort Summary'!$G$5:$G$14,MATCH($A214,'Cohort Summary'!$A$5:$A$14,0))</f>
        <v>1.62735849056604</v>
      </c>
      <c r="K214" s="42" t="n">
        <f aca="false">(F214-INDEX('Cohort Summary'!$H$5:$H$14,MATCH($A214,'Cohort Summary'!$A$5:$A$14,0)))/INDEX('Cohort Summary'!$I$5:$I$14,MATCH($A214,'Cohort Summary'!$A$5:$A$14,0))</f>
        <v>-0.799319727891157</v>
      </c>
      <c r="L214" s="42" t="n">
        <f aca="false">(G214-INDEX('Cohort Summary'!$J$5:$J$14,MATCH($A214,'Cohort Summary'!$A$5:$A$14,0)))/INDEX('Cohort Summary'!$K$5:$K$14,MATCH($A214,'Cohort Summary'!$A$5:$A$14,0))</f>
        <v>0.578125000000007</v>
      </c>
      <c r="M214" s="42" t="n">
        <f aca="false">MAX(I214:K214)</f>
        <v>1.62735849056604</v>
      </c>
      <c r="N214" s="27" t="s">
        <v>197</v>
      </c>
      <c r="O214" s="27"/>
      <c r="P214" s="27" t="str">
        <f aca="false">A214&amp;"|"&amp;N214</f>
        <v>NURSE-02|normal</v>
      </c>
    </row>
    <row r="215" customFormat="false" ht="15" hidden="false" customHeight="true" outlineLevel="0" collapsed="false">
      <c r="A215" s="27" t="s">
        <v>73</v>
      </c>
      <c r="B215" s="41" t="n">
        <v>46303.2961805556</v>
      </c>
      <c r="C215" s="27" t="s">
        <v>195</v>
      </c>
      <c r="D215" s="27" t="n">
        <v>39.5</v>
      </c>
      <c r="E215" s="27" t="n">
        <v>19.5</v>
      </c>
      <c r="F215" s="27" t="n">
        <v>30.8</v>
      </c>
      <c r="G215" s="27" t="n">
        <v>33.7</v>
      </c>
      <c r="H215" s="27" t="s">
        <v>198</v>
      </c>
      <c r="I215" s="42" t="n">
        <f aca="false">(D215-INDEX('Cohort Summary'!$D$5:$D$14,MATCH($A215,'Cohort Summary'!$A$5:$A$14,0)))/INDEX('Cohort Summary'!$E$5:$E$14,MATCH($A215,'Cohort Summary'!$A$5:$A$14,0))</f>
        <v>-1.32208588957055</v>
      </c>
      <c r="J215" s="42" t="n">
        <f aca="false">(E215-INDEX('Cohort Summary'!$F$5:$F$14,MATCH($A215,'Cohort Summary'!$A$5:$A$14,0)))/INDEX('Cohort Summary'!$G$5:$G$14,MATCH($A215,'Cohort Summary'!$A$5:$A$14,0))</f>
        <v>0.212264150943396</v>
      </c>
      <c r="K215" s="42" t="n">
        <f aca="false">(F215-INDEX('Cohort Summary'!$H$5:$H$14,MATCH($A215,'Cohort Summary'!$A$5:$A$14,0)))/INDEX('Cohort Summary'!$I$5:$I$14,MATCH($A215,'Cohort Summary'!$A$5:$A$14,0))</f>
        <v>-0.561224489795919</v>
      </c>
      <c r="L215" s="42" t="n">
        <f aca="false">(G215-INDEX('Cohort Summary'!$J$5:$J$14,MATCH($A215,'Cohort Summary'!$A$5:$A$14,0)))/INDEX('Cohort Summary'!$K$5:$K$14,MATCH($A215,'Cohort Summary'!$A$5:$A$14,0))</f>
        <v>1.35937500000001</v>
      </c>
      <c r="M215" s="42" t="n">
        <f aca="false">MAX(I215:K215)</f>
        <v>0.212264150943396</v>
      </c>
      <c r="N215" s="27" t="s">
        <v>197</v>
      </c>
      <c r="O215" s="27"/>
      <c r="P215" s="27" t="str">
        <f aca="false">A215&amp;"|"&amp;N215</f>
        <v>NURSE-02|normal</v>
      </c>
    </row>
    <row r="216" customFormat="false" ht="15" hidden="false" customHeight="true" outlineLevel="0" collapsed="false">
      <c r="A216" s="27" t="s">
        <v>73</v>
      </c>
      <c r="B216" s="41" t="n">
        <v>46303.2965277778</v>
      </c>
      <c r="C216" s="27" t="s">
        <v>195</v>
      </c>
      <c r="D216" s="27" t="n">
        <v>39.3</v>
      </c>
      <c r="E216" s="27" t="n">
        <v>16.5</v>
      </c>
      <c r="F216" s="27" t="n">
        <v>33.1</v>
      </c>
      <c r="G216" s="27" t="n">
        <v>33.2</v>
      </c>
      <c r="H216" s="27" t="s">
        <v>198</v>
      </c>
      <c r="I216" s="42" t="n">
        <f aca="false">(D216-INDEX('Cohort Summary'!$D$5:$D$14,MATCH($A216,'Cohort Summary'!$A$5:$A$14,0)))/INDEX('Cohort Summary'!$E$5:$E$14,MATCH($A216,'Cohort Summary'!$A$5:$A$14,0))</f>
        <v>-1.38343558282209</v>
      </c>
      <c r="J216" s="42" t="n">
        <f aca="false">(E216-INDEX('Cohort Summary'!$F$5:$F$14,MATCH($A216,'Cohort Summary'!$A$5:$A$14,0)))/INDEX('Cohort Summary'!$G$5:$G$14,MATCH($A216,'Cohort Summary'!$A$5:$A$14,0))</f>
        <v>-1.20283018867925</v>
      </c>
      <c r="K216" s="42" t="n">
        <f aca="false">(F216-INDEX('Cohort Summary'!$H$5:$H$14,MATCH($A216,'Cohort Summary'!$A$5:$A$14,0)))/INDEX('Cohort Summary'!$I$5:$I$14,MATCH($A216,'Cohort Summary'!$A$5:$A$14,0))</f>
        <v>0.221088435374149</v>
      </c>
      <c r="L216" s="42" t="n">
        <f aca="false">(G216-INDEX('Cohort Summary'!$J$5:$J$14,MATCH($A216,'Cohort Summary'!$A$5:$A$14,0)))/INDEX('Cohort Summary'!$K$5:$K$14,MATCH($A216,'Cohort Summary'!$A$5:$A$14,0))</f>
        <v>0.578125000000007</v>
      </c>
      <c r="M216" s="42" t="n">
        <f aca="false">MAX(I216:K216)</f>
        <v>0.221088435374149</v>
      </c>
      <c r="N216" s="27" t="s">
        <v>197</v>
      </c>
      <c r="O216" s="27"/>
      <c r="P216" s="27" t="str">
        <f aca="false">A216&amp;"|"&amp;N216</f>
        <v>NURSE-02|normal</v>
      </c>
    </row>
    <row r="217" customFormat="false" ht="15" hidden="false" customHeight="true" outlineLevel="0" collapsed="false">
      <c r="A217" s="27" t="s">
        <v>73</v>
      </c>
      <c r="B217" s="41" t="n">
        <v>46303.296875</v>
      </c>
      <c r="C217" s="27" t="s">
        <v>195</v>
      </c>
      <c r="D217" s="27" t="n">
        <v>40.9</v>
      </c>
      <c r="E217" s="27" t="n">
        <v>22.9</v>
      </c>
      <c r="F217" s="27" t="n">
        <v>31.9</v>
      </c>
      <c r="G217" s="27" t="n">
        <v>33.7</v>
      </c>
      <c r="H217" s="27" t="s">
        <v>198</v>
      </c>
      <c r="I217" s="42" t="n">
        <f aca="false">(D217-INDEX('Cohort Summary'!$D$5:$D$14,MATCH($A217,'Cohort Summary'!$A$5:$A$14,0)))/INDEX('Cohort Summary'!$E$5:$E$14,MATCH($A217,'Cohort Summary'!$A$5:$A$14,0))</f>
        <v>-0.892638036809817</v>
      </c>
      <c r="J217" s="42" t="n">
        <f aca="false">(E217-INDEX('Cohort Summary'!$F$5:$F$14,MATCH($A217,'Cohort Summary'!$A$5:$A$14,0)))/INDEX('Cohort Summary'!$G$5:$G$14,MATCH($A217,'Cohort Summary'!$A$5:$A$14,0))</f>
        <v>1.81603773584906</v>
      </c>
      <c r="K217" s="42" t="n">
        <f aca="false">(F217-INDEX('Cohort Summary'!$H$5:$H$14,MATCH($A217,'Cohort Summary'!$A$5:$A$14,0)))/INDEX('Cohort Summary'!$I$5:$I$14,MATCH($A217,'Cohort Summary'!$A$5:$A$14,0))</f>
        <v>-0.187074829931974</v>
      </c>
      <c r="L217" s="42" t="n">
        <f aca="false">(G217-INDEX('Cohort Summary'!$J$5:$J$14,MATCH($A217,'Cohort Summary'!$A$5:$A$14,0)))/INDEX('Cohort Summary'!$K$5:$K$14,MATCH($A217,'Cohort Summary'!$A$5:$A$14,0))</f>
        <v>1.35937500000001</v>
      </c>
      <c r="M217" s="42" t="n">
        <f aca="false">MAX(I217:K217)</f>
        <v>1.81603773584906</v>
      </c>
      <c r="N217" s="27" t="s">
        <v>197</v>
      </c>
      <c r="O217" s="27"/>
      <c r="P217" s="27" t="str">
        <f aca="false">A217&amp;"|"&amp;N217</f>
        <v>NURSE-02|normal</v>
      </c>
    </row>
    <row r="218" customFormat="false" ht="15" hidden="false" customHeight="true" outlineLevel="0" collapsed="false">
      <c r="A218" s="27" t="s">
        <v>73</v>
      </c>
      <c r="B218" s="41" t="n">
        <v>46303.2972222222</v>
      </c>
      <c r="C218" s="27" t="s">
        <v>195</v>
      </c>
      <c r="D218" s="27" t="n">
        <v>45.9</v>
      </c>
      <c r="E218" s="27" t="n">
        <v>21</v>
      </c>
      <c r="F218" s="27" t="n">
        <v>29.2</v>
      </c>
      <c r="G218" s="27" t="n">
        <v>33.5</v>
      </c>
      <c r="H218" s="27" t="s">
        <v>196</v>
      </c>
      <c r="I218" s="42" t="n">
        <f aca="false">(D218-INDEX('Cohort Summary'!$D$5:$D$14,MATCH($A218,'Cohort Summary'!$A$5:$A$14,0)))/INDEX('Cohort Summary'!$E$5:$E$14,MATCH($A218,'Cohort Summary'!$A$5:$A$14,0))</f>
        <v>0.641104294478527</v>
      </c>
      <c r="J218" s="42" t="n">
        <f aca="false">(E218-INDEX('Cohort Summary'!$F$5:$F$14,MATCH($A218,'Cohort Summary'!$A$5:$A$14,0)))/INDEX('Cohort Summary'!$G$5:$G$14,MATCH($A218,'Cohort Summary'!$A$5:$A$14,0))</f>
        <v>0.919811320754717</v>
      </c>
      <c r="K218" s="42" t="n">
        <f aca="false">(F218-INDEX('Cohort Summary'!$H$5:$H$14,MATCH($A218,'Cohort Summary'!$A$5:$A$14,0)))/INDEX('Cohort Summary'!$I$5:$I$14,MATCH($A218,'Cohort Summary'!$A$5:$A$14,0))</f>
        <v>-1.10544217687075</v>
      </c>
      <c r="L218" s="42" t="n">
        <f aca="false">(G218-INDEX('Cohort Summary'!$J$5:$J$14,MATCH($A218,'Cohort Summary'!$A$5:$A$14,0)))/INDEX('Cohort Summary'!$K$5:$K$14,MATCH($A218,'Cohort Summary'!$A$5:$A$14,0))</f>
        <v>1.046875</v>
      </c>
      <c r="M218" s="42" t="n">
        <f aca="false">MAX(I218:K218)</f>
        <v>0.919811320754717</v>
      </c>
      <c r="N218" s="27" t="s">
        <v>197</v>
      </c>
      <c r="O218" s="27"/>
      <c r="P218" s="27" t="str">
        <f aca="false">A218&amp;"|"&amp;N218</f>
        <v>NURSE-02|normal</v>
      </c>
    </row>
    <row r="219" customFormat="false" ht="15" hidden="false" customHeight="true" outlineLevel="0" collapsed="false">
      <c r="A219" s="27" t="s">
        <v>73</v>
      </c>
      <c r="B219" s="41" t="n">
        <v>46303.2975694445</v>
      </c>
      <c r="C219" s="27" t="s">
        <v>195</v>
      </c>
      <c r="D219" s="27" t="n">
        <v>46.6</v>
      </c>
      <c r="E219" s="27" t="n">
        <v>17.1</v>
      </c>
      <c r="F219" s="27" t="n">
        <v>36</v>
      </c>
      <c r="G219" s="27" t="n">
        <v>32.3</v>
      </c>
      <c r="H219" s="27" t="s">
        <v>199</v>
      </c>
      <c r="I219" s="42" t="n">
        <f aca="false">(D219-INDEX('Cohort Summary'!$D$5:$D$14,MATCH($A219,'Cohort Summary'!$A$5:$A$14,0)))/INDEX('Cohort Summary'!$E$5:$E$14,MATCH($A219,'Cohort Summary'!$A$5:$A$14,0))</f>
        <v>0.855828220858896</v>
      </c>
      <c r="J219" s="42" t="n">
        <f aca="false">(E219-INDEX('Cohort Summary'!$F$5:$F$14,MATCH($A219,'Cohort Summary'!$A$5:$A$14,0)))/INDEX('Cohort Summary'!$G$5:$G$14,MATCH($A219,'Cohort Summary'!$A$5:$A$14,0))</f>
        <v>-0.919811320754717</v>
      </c>
      <c r="K219" s="42" t="n">
        <f aca="false">(F219-INDEX('Cohort Summary'!$H$5:$H$14,MATCH($A219,'Cohort Summary'!$A$5:$A$14,0)))/INDEX('Cohort Summary'!$I$5:$I$14,MATCH($A219,'Cohort Summary'!$A$5:$A$14,0))</f>
        <v>1.20748299319728</v>
      </c>
      <c r="L219" s="42" t="n">
        <f aca="false">(G219-INDEX('Cohort Summary'!$J$5:$J$14,MATCH($A219,'Cohort Summary'!$A$5:$A$14,0)))/INDEX('Cohort Summary'!$K$5:$K$14,MATCH($A219,'Cohort Summary'!$A$5:$A$14,0))</f>
        <v>-0.828125000000002</v>
      </c>
      <c r="M219" s="42" t="n">
        <f aca="false">MAX(I219:K219)</f>
        <v>1.20748299319728</v>
      </c>
      <c r="N219" s="27" t="s">
        <v>197</v>
      </c>
      <c r="O219" s="27"/>
      <c r="P219" s="27" t="str">
        <f aca="false">A219&amp;"|"&amp;N219</f>
        <v>NURSE-02|normal</v>
      </c>
    </row>
    <row r="220" customFormat="false" ht="15" hidden="false" customHeight="true" outlineLevel="0" collapsed="false">
      <c r="A220" s="27" t="s">
        <v>73</v>
      </c>
      <c r="B220" s="41" t="n">
        <v>46303.2979166667</v>
      </c>
      <c r="C220" s="27" t="s">
        <v>195</v>
      </c>
      <c r="D220" s="27" t="n">
        <v>40.4</v>
      </c>
      <c r="E220" s="27" t="n">
        <v>19.5</v>
      </c>
      <c r="F220" s="27" t="n">
        <v>36.2</v>
      </c>
      <c r="G220" s="27" t="n">
        <v>32.2</v>
      </c>
      <c r="H220" s="27" t="s">
        <v>199</v>
      </c>
      <c r="I220" s="42" t="n">
        <f aca="false">(D220-INDEX('Cohort Summary'!$D$5:$D$14,MATCH($A220,'Cohort Summary'!$A$5:$A$14,0)))/INDEX('Cohort Summary'!$E$5:$E$14,MATCH($A220,'Cohort Summary'!$A$5:$A$14,0))</f>
        <v>-1.04601226993865</v>
      </c>
      <c r="J220" s="42" t="n">
        <f aca="false">(E220-INDEX('Cohort Summary'!$F$5:$F$14,MATCH($A220,'Cohort Summary'!$A$5:$A$14,0)))/INDEX('Cohort Summary'!$G$5:$G$14,MATCH($A220,'Cohort Summary'!$A$5:$A$14,0))</f>
        <v>0.212264150943396</v>
      </c>
      <c r="K220" s="42" t="n">
        <f aca="false">(F220-INDEX('Cohort Summary'!$H$5:$H$14,MATCH($A220,'Cohort Summary'!$A$5:$A$14,0)))/INDEX('Cohort Summary'!$I$5:$I$14,MATCH($A220,'Cohort Summary'!$A$5:$A$14,0))</f>
        <v>1.27551020408163</v>
      </c>
      <c r="L220" s="42" t="n">
        <f aca="false">(G220-INDEX('Cohort Summary'!$J$5:$J$14,MATCH($A220,'Cohort Summary'!$A$5:$A$14,0)))/INDEX('Cohort Summary'!$K$5:$K$14,MATCH($A220,'Cohort Summary'!$A$5:$A$14,0))</f>
        <v>-0.984374999999993</v>
      </c>
      <c r="M220" s="42" t="n">
        <f aca="false">MAX(I220:K220)</f>
        <v>1.27551020408163</v>
      </c>
      <c r="N220" s="27" t="s">
        <v>197</v>
      </c>
      <c r="O220" s="27"/>
      <c r="P220" s="27" t="str">
        <f aca="false">A220&amp;"|"&amp;N220</f>
        <v>NURSE-02|normal</v>
      </c>
    </row>
    <row r="221" customFormat="false" ht="15" hidden="false" customHeight="true" outlineLevel="0" collapsed="false">
      <c r="A221" s="27" t="s">
        <v>73</v>
      </c>
      <c r="B221" s="41" t="n">
        <v>46303.2982638889</v>
      </c>
      <c r="C221" s="27" t="s">
        <v>195</v>
      </c>
      <c r="D221" s="27" t="n">
        <v>45.2</v>
      </c>
      <c r="E221" s="27" t="n">
        <v>17.7</v>
      </c>
      <c r="F221" s="27" t="n">
        <v>30.7</v>
      </c>
      <c r="G221" s="27" t="n">
        <v>32.2</v>
      </c>
      <c r="H221" s="27" t="s">
        <v>199</v>
      </c>
      <c r="I221" s="42" t="n">
        <f aca="false">(D221-INDEX('Cohort Summary'!$D$5:$D$14,MATCH($A221,'Cohort Summary'!$A$5:$A$14,0)))/INDEX('Cohort Summary'!$E$5:$E$14,MATCH($A221,'Cohort Summary'!$A$5:$A$14,0))</f>
        <v>0.42638036809816</v>
      </c>
      <c r="J221" s="42" t="n">
        <f aca="false">(E221-INDEX('Cohort Summary'!$F$5:$F$14,MATCH($A221,'Cohort Summary'!$A$5:$A$14,0)))/INDEX('Cohort Summary'!$G$5:$G$14,MATCH($A221,'Cohort Summary'!$A$5:$A$14,0))</f>
        <v>-0.636792452830189</v>
      </c>
      <c r="K221" s="42" t="n">
        <f aca="false">(F221-INDEX('Cohort Summary'!$H$5:$H$14,MATCH($A221,'Cohort Summary'!$A$5:$A$14,0)))/INDEX('Cohort Summary'!$I$5:$I$14,MATCH($A221,'Cohort Summary'!$A$5:$A$14,0))</f>
        <v>-0.595238095238097</v>
      </c>
      <c r="L221" s="42" t="n">
        <f aca="false">(G221-INDEX('Cohort Summary'!$J$5:$J$14,MATCH($A221,'Cohort Summary'!$A$5:$A$14,0)))/INDEX('Cohort Summary'!$K$5:$K$14,MATCH($A221,'Cohort Summary'!$A$5:$A$14,0))</f>
        <v>-0.984374999999993</v>
      </c>
      <c r="M221" s="42" t="n">
        <f aca="false">MAX(I221:K221)</f>
        <v>0.42638036809816</v>
      </c>
      <c r="N221" s="27" t="s">
        <v>197</v>
      </c>
      <c r="O221" s="27"/>
      <c r="P221" s="27" t="str">
        <f aca="false">A221&amp;"|"&amp;N221</f>
        <v>NURSE-02|normal</v>
      </c>
    </row>
    <row r="222" customFormat="false" ht="15" hidden="false" customHeight="true" outlineLevel="0" collapsed="false">
      <c r="A222" s="27" t="s">
        <v>73</v>
      </c>
      <c r="B222" s="41" t="n">
        <v>46303.2986111111</v>
      </c>
      <c r="C222" s="27" t="s">
        <v>195</v>
      </c>
      <c r="D222" s="27" t="n">
        <v>40.6</v>
      </c>
      <c r="E222" s="27" t="n">
        <v>22.6</v>
      </c>
      <c r="F222" s="27" t="n">
        <v>33.8</v>
      </c>
      <c r="G222" s="27" t="n">
        <v>33.6</v>
      </c>
      <c r="H222" s="27" t="s">
        <v>198</v>
      </c>
      <c r="I222" s="42" t="n">
        <f aca="false">(D222-INDEX('Cohort Summary'!$D$5:$D$14,MATCH($A222,'Cohort Summary'!$A$5:$A$14,0)))/INDEX('Cohort Summary'!$E$5:$E$14,MATCH($A222,'Cohort Summary'!$A$5:$A$14,0))</f>
        <v>-0.984662576687117</v>
      </c>
      <c r="J222" s="42" t="n">
        <f aca="false">(E222-INDEX('Cohort Summary'!$F$5:$F$14,MATCH($A222,'Cohort Summary'!$A$5:$A$14,0)))/INDEX('Cohort Summary'!$G$5:$G$14,MATCH($A222,'Cohort Summary'!$A$5:$A$14,0))</f>
        <v>1.67452830188679</v>
      </c>
      <c r="K222" s="42" t="n">
        <f aca="false">(F222-INDEX('Cohort Summary'!$H$5:$H$14,MATCH($A222,'Cohort Summary'!$A$5:$A$14,0)))/INDEX('Cohort Summary'!$I$5:$I$14,MATCH($A222,'Cohort Summary'!$A$5:$A$14,0))</f>
        <v>0.459183673469386</v>
      </c>
      <c r="L222" s="42" t="n">
        <f aca="false">(G222-INDEX('Cohort Summary'!$J$5:$J$14,MATCH($A222,'Cohort Summary'!$A$5:$A$14,0)))/INDEX('Cohort Summary'!$K$5:$K$14,MATCH($A222,'Cohort Summary'!$A$5:$A$14,0))</f>
        <v>1.203125</v>
      </c>
      <c r="M222" s="42" t="n">
        <f aca="false">MAX(I222:K222)</f>
        <v>1.67452830188679</v>
      </c>
      <c r="N222" s="27" t="s">
        <v>197</v>
      </c>
      <c r="O222" s="27"/>
      <c r="P222" s="27" t="str">
        <f aca="false">A222&amp;"|"&amp;N222</f>
        <v>NURSE-02|normal</v>
      </c>
    </row>
    <row r="223" customFormat="false" ht="15" hidden="false" customHeight="true" outlineLevel="0" collapsed="false">
      <c r="A223" s="27" t="s">
        <v>73</v>
      </c>
      <c r="B223" s="41" t="n">
        <v>46303.2989583333</v>
      </c>
      <c r="C223" s="27" t="s">
        <v>195</v>
      </c>
      <c r="D223" s="27" t="n">
        <v>46.9</v>
      </c>
      <c r="E223" s="27" t="n">
        <v>17.9</v>
      </c>
      <c r="F223" s="27" t="n">
        <v>34.7</v>
      </c>
      <c r="G223" s="27" t="n">
        <v>31.9</v>
      </c>
      <c r="H223" s="27" t="s">
        <v>199</v>
      </c>
      <c r="I223" s="42" t="n">
        <f aca="false">(D223-INDEX('Cohort Summary'!$D$5:$D$14,MATCH($A223,'Cohort Summary'!$A$5:$A$14,0)))/INDEX('Cohort Summary'!$E$5:$E$14,MATCH($A223,'Cohort Summary'!$A$5:$A$14,0))</f>
        <v>0.947852760736195</v>
      </c>
      <c r="J223" s="42" t="n">
        <f aca="false">(E223-INDEX('Cohort Summary'!$F$5:$F$14,MATCH($A223,'Cohort Summary'!$A$5:$A$14,0)))/INDEX('Cohort Summary'!$G$5:$G$14,MATCH($A223,'Cohort Summary'!$A$5:$A$14,0))</f>
        <v>-0.54245283018868</v>
      </c>
      <c r="K223" s="42" t="n">
        <f aca="false">(F223-INDEX('Cohort Summary'!$H$5:$H$14,MATCH($A223,'Cohort Summary'!$A$5:$A$14,0)))/INDEX('Cohort Summary'!$I$5:$I$14,MATCH($A223,'Cohort Summary'!$A$5:$A$14,0))</f>
        <v>0.76530612244898</v>
      </c>
      <c r="L223" s="42" t="n">
        <f aca="false">(G223-INDEX('Cohort Summary'!$J$5:$J$14,MATCH($A223,'Cohort Summary'!$A$5:$A$14,0)))/INDEX('Cohort Summary'!$K$5:$K$14,MATCH($A223,'Cohort Summary'!$A$5:$A$14,0))</f>
        <v>-1.453125</v>
      </c>
      <c r="M223" s="42" t="n">
        <f aca="false">MAX(I223:K223)</f>
        <v>0.947852760736195</v>
      </c>
      <c r="N223" s="27" t="s">
        <v>197</v>
      </c>
      <c r="O223" s="27"/>
      <c r="P223" s="27" t="str">
        <f aca="false">A223&amp;"|"&amp;N223</f>
        <v>NURSE-02|normal</v>
      </c>
    </row>
    <row r="224" customFormat="false" ht="15" hidden="false" customHeight="true" outlineLevel="0" collapsed="false">
      <c r="A224" s="27" t="s">
        <v>73</v>
      </c>
      <c r="B224" s="41" t="n">
        <v>46303.2993055556</v>
      </c>
      <c r="C224" s="27" t="s">
        <v>195</v>
      </c>
      <c r="D224" s="27" t="n">
        <v>48.7</v>
      </c>
      <c r="E224" s="27" t="n">
        <v>19.2</v>
      </c>
      <c r="F224" s="27" t="n">
        <v>32.2</v>
      </c>
      <c r="G224" s="27" t="n">
        <v>33.2</v>
      </c>
      <c r="H224" s="27" t="s">
        <v>198</v>
      </c>
      <c r="I224" s="42" t="n">
        <f aca="false">(D224-INDEX('Cohort Summary'!$D$5:$D$14,MATCH($A224,'Cohort Summary'!$A$5:$A$14,0)))/INDEX('Cohort Summary'!$E$5:$E$14,MATCH($A224,'Cohort Summary'!$A$5:$A$14,0))</f>
        <v>1.5</v>
      </c>
      <c r="J224" s="42" t="n">
        <f aca="false">(E224-INDEX('Cohort Summary'!$F$5:$F$14,MATCH($A224,'Cohort Summary'!$A$5:$A$14,0)))/INDEX('Cohort Summary'!$G$5:$G$14,MATCH($A224,'Cohort Summary'!$A$5:$A$14,0))</f>
        <v>0.0707547169811314</v>
      </c>
      <c r="K224" s="42" t="n">
        <f aca="false">(F224-INDEX('Cohort Summary'!$H$5:$H$14,MATCH($A224,'Cohort Summary'!$A$5:$A$14,0)))/INDEX('Cohort Summary'!$I$5:$I$14,MATCH($A224,'Cohort Summary'!$A$5:$A$14,0))</f>
        <v>-0.0850340136054422</v>
      </c>
      <c r="L224" s="42" t="n">
        <f aca="false">(G224-INDEX('Cohort Summary'!$J$5:$J$14,MATCH($A224,'Cohort Summary'!$A$5:$A$14,0)))/INDEX('Cohort Summary'!$K$5:$K$14,MATCH($A224,'Cohort Summary'!$A$5:$A$14,0))</f>
        <v>0.578125000000007</v>
      </c>
      <c r="M224" s="42" t="n">
        <f aca="false">MAX(I224:K224)</f>
        <v>1.5</v>
      </c>
      <c r="N224" s="27" t="s">
        <v>197</v>
      </c>
      <c r="O224" s="27"/>
      <c r="P224" s="27" t="str">
        <f aca="false">A224&amp;"|"&amp;N224</f>
        <v>NURSE-02|normal</v>
      </c>
    </row>
    <row r="225" customFormat="false" ht="15" hidden="false" customHeight="true" outlineLevel="0" collapsed="false">
      <c r="A225" s="27" t="s">
        <v>73</v>
      </c>
      <c r="B225" s="41" t="n">
        <v>46303.2996527778</v>
      </c>
      <c r="C225" s="27" t="s">
        <v>195</v>
      </c>
      <c r="D225" s="27" t="n">
        <v>41.5</v>
      </c>
      <c r="E225" s="27" t="n">
        <v>19.7</v>
      </c>
      <c r="F225" s="27" t="n">
        <v>35.6</v>
      </c>
      <c r="G225" s="27" t="n">
        <v>33.3</v>
      </c>
      <c r="H225" s="27" t="s">
        <v>199</v>
      </c>
      <c r="I225" s="42" t="n">
        <f aca="false">(D225-INDEX('Cohort Summary'!$D$5:$D$14,MATCH($A225,'Cohort Summary'!$A$5:$A$14,0)))/INDEX('Cohort Summary'!$E$5:$E$14,MATCH($A225,'Cohort Summary'!$A$5:$A$14,0))</f>
        <v>-0.708588957055216</v>
      </c>
      <c r="J225" s="42" t="n">
        <f aca="false">(E225-INDEX('Cohort Summary'!$F$5:$F$14,MATCH($A225,'Cohort Summary'!$A$5:$A$14,0)))/INDEX('Cohort Summary'!$G$5:$G$14,MATCH($A225,'Cohort Summary'!$A$5:$A$14,0))</f>
        <v>0.306603773584905</v>
      </c>
      <c r="K225" s="42" t="n">
        <f aca="false">(F225-INDEX('Cohort Summary'!$H$5:$H$14,MATCH($A225,'Cohort Summary'!$A$5:$A$14,0)))/INDEX('Cohort Summary'!$I$5:$I$14,MATCH($A225,'Cohort Summary'!$A$5:$A$14,0))</f>
        <v>1.07142857142857</v>
      </c>
      <c r="L225" s="42" t="n">
        <f aca="false">(G225-INDEX('Cohort Summary'!$J$5:$J$14,MATCH($A225,'Cohort Summary'!$A$5:$A$14,0)))/INDEX('Cohort Summary'!$K$5:$K$14,MATCH($A225,'Cohort Summary'!$A$5:$A$14,0))</f>
        <v>0.734374999999998</v>
      </c>
      <c r="M225" s="42" t="n">
        <f aca="false">MAX(I225:K225)</f>
        <v>1.07142857142857</v>
      </c>
      <c r="N225" s="27" t="s">
        <v>197</v>
      </c>
      <c r="O225" s="27"/>
      <c r="P225" s="27" t="str">
        <f aca="false">A225&amp;"|"&amp;N225</f>
        <v>NURSE-02|normal</v>
      </c>
    </row>
    <row r="226" customFormat="false" ht="15" hidden="false" customHeight="true" outlineLevel="0" collapsed="false">
      <c r="A226" s="27" t="s">
        <v>73</v>
      </c>
      <c r="B226" s="41" t="n">
        <v>46303.3</v>
      </c>
      <c r="C226" s="27" t="s">
        <v>195</v>
      </c>
      <c r="D226" s="27" t="n">
        <v>41.6</v>
      </c>
      <c r="E226" s="27" t="n">
        <v>22.9</v>
      </c>
      <c r="F226" s="27" t="n">
        <v>32.8</v>
      </c>
      <c r="G226" s="27" t="n">
        <v>32.5</v>
      </c>
      <c r="H226" s="27" t="s">
        <v>198</v>
      </c>
      <c r="I226" s="42" t="n">
        <f aca="false">(D226-INDEX('Cohort Summary'!$D$5:$D$14,MATCH($A226,'Cohort Summary'!$A$5:$A$14,0)))/INDEX('Cohort Summary'!$E$5:$E$14,MATCH($A226,'Cohort Summary'!$A$5:$A$14,0))</f>
        <v>-0.677914110429448</v>
      </c>
      <c r="J226" s="42" t="n">
        <f aca="false">(E226-INDEX('Cohort Summary'!$F$5:$F$14,MATCH($A226,'Cohort Summary'!$A$5:$A$14,0)))/INDEX('Cohort Summary'!$G$5:$G$14,MATCH($A226,'Cohort Summary'!$A$5:$A$14,0))</f>
        <v>1.81603773584906</v>
      </c>
      <c r="K226" s="42" t="n">
        <f aca="false">(F226-INDEX('Cohort Summary'!$H$5:$H$14,MATCH($A226,'Cohort Summary'!$A$5:$A$14,0)))/INDEX('Cohort Summary'!$I$5:$I$14,MATCH($A226,'Cohort Summary'!$A$5:$A$14,0))</f>
        <v>0.119047619047617</v>
      </c>
      <c r="L226" s="42" t="n">
        <f aca="false">(G226-INDEX('Cohort Summary'!$J$5:$J$14,MATCH($A226,'Cohort Summary'!$A$5:$A$14,0)))/INDEX('Cohort Summary'!$K$5:$K$14,MATCH($A226,'Cohort Summary'!$A$5:$A$14,0))</f>
        <v>-0.515624999999997</v>
      </c>
      <c r="M226" s="42" t="n">
        <f aca="false">MAX(I226:K226)</f>
        <v>1.81603773584906</v>
      </c>
      <c r="N226" s="27" t="s">
        <v>197</v>
      </c>
      <c r="O226" s="27"/>
      <c r="P226" s="27" t="str">
        <f aca="false">A226&amp;"|"&amp;N226</f>
        <v>NURSE-02|normal</v>
      </c>
    </row>
    <row r="227" customFormat="false" ht="15" hidden="false" customHeight="true" outlineLevel="0" collapsed="false">
      <c r="A227" s="27" t="s">
        <v>73</v>
      </c>
      <c r="B227" s="41" t="n">
        <v>46303.3003472222</v>
      </c>
      <c r="C227" s="27" t="s">
        <v>195</v>
      </c>
      <c r="D227" s="27" t="n">
        <v>43.4</v>
      </c>
      <c r="E227" s="27" t="n">
        <v>17.2</v>
      </c>
      <c r="F227" s="27" t="n">
        <v>34.4</v>
      </c>
      <c r="G227" s="27" t="n">
        <v>31.9</v>
      </c>
      <c r="H227" s="27" t="s">
        <v>196</v>
      </c>
      <c r="I227" s="42" t="n">
        <f aca="false">(D227-INDEX('Cohort Summary'!$D$5:$D$14,MATCH($A227,'Cohort Summary'!$A$5:$A$14,0)))/INDEX('Cohort Summary'!$E$5:$E$14,MATCH($A227,'Cohort Summary'!$A$5:$A$14,0))</f>
        <v>-0.125766871165645</v>
      </c>
      <c r="J227" s="42" t="n">
        <f aca="false">(E227-INDEX('Cohort Summary'!$F$5:$F$14,MATCH($A227,'Cohort Summary'!$A$5:$A$14,0)))/INDEX('Cohort Summary'!$G$5:$G$14,MATCH($A227,'Cohort Summary'!$A$5:$A$14,0))</f>
        <v>-0.872641509433963</v>
      </c>
      <c r="K227" s="42" t="n">
        <f aca="false">(F227-INDEX('Cohort Summary'!$H$5:$H$14,MATCH($A227,'Cohort Summary'!$A$5:$A$14,0)))/INDEX('Cohort Summary'!$I$5:$I$14,MATCH($A227,'Cohort Summary'!$A$5:$A$14,0))</f>
        <v>0.663265306122448</v>
      </c>
      <c r="L227" s="42" t="n">
        <f aca="false">(G227-INDEX('Cohort Summary'!$J$5:$J$14,MATCH($A227,'Cohort Summary'!$A$5:$A$14,0)))/INDEX('Cohort Summary'!$K$5:$K$14,MATCH($A227,'Cohort Summary'!$A$5:$A$14,0))</f>
        <v>-1.453125</v>
      </c>
      <c r="M227" s="42" t="n">
        <f aca="false">MAX(I227:K227)</f>
        <v>0.663265306122448</v>
      </c>
      <c r="N227" s="27" t="s">
        <v>197</v>
      </c>
      <c r="O227" s="27"/>
      <c r="P227" s="27" t="str">
        <f aca="false">A227&amp;"|"&amp;N227</f>
        <v>NURSE-02|normal</v>
      </c>
    </row>
    <row r="228" customFormat="false" ht="15" hidden="false" customHeight="true" outlineLevel="0" collapsed="false">
      <c r="A228" s="27" t="s">
        <v>73</v>
      </c>
      <c r="B228" s="41" t="n">
        <v>46303.3006944444</v>
      </c>
      <c r="C228" s="27" t="s">
        <v>195</v>
      </c>
      <c r="D228" s="27" t="n">
        <v>41.5</v>
      </c>
      <c r="E228" s="27" t="n">
        <v>20.5</v>
      </c>
      <c r="F228" s="27" t="n">
        <v>36.8</v>
      </c>
      <c r="G228" s="27" t="n">
        <v>33</v>
      </c>
      <c r="H228" s="27" t="s">
        <v>196</v>
      </c>
      <c r="I228" s="42" t="n">
        <f aca="false">(D228-INDEX('Cohort Summary'!$D$5:$D$14,MATCH($A228,'Cohort Summary'!$A$5:$A$14,0)))/INDEX('Cohort Summary'!$E$5:$E$14,MATCH($A228,'Cohort Summary'!$A$5:$A$14,0))</f>
        <v>-0.708588957055216</v>
      </c>
      <c r="J228" s="42" t="n">
        <f aca="false">(E228-INDEX('Cohort Summary'!$F$5:$F$14,MATCH($A228,'Cohort Summary'!$A$5:$A$14,0)))/INDEX('Cohort Summary'!$G$5:$G$14,MATCH($A228,'Cohort Summary'!$A$5:$A$14,0))</f>
        <v>0.683962264150943</v>
      </c>
      <c r="K228" s="42" t="n">
        <f aca="false">(F228-INDEX('Cohort Summary'!$H$5:$H$14,MATCH($A228,'Cohort Summary'!$A$5:$A$14,0)))/INDEX('Cohort Summary'!$I$5:$I$14,MATCH($A228,'Cohort Summary'!$A$5:$A$14,0))</f>
        <v>1.47959183673469</v>
      </c>
      <c r="L228" s="42" t="n">
        <f aca="false">(G228-INDEX('Cohort Summary'!$J$5:$J$14,MATCH($A228,'Cohort Summary'!$A$5:$A$14,0)))/INDEX('Cohort Summary'!$K$5:$K$14,MATCH($A228,'Cohort Summary'!$A$5:$A$14,0))</f>
        <v>0.265625000000003</v>
      </c>
      <c r="M228" s="42" t="n">
        <f aca="false">MAX(I228:K228)</f>
        <v>1.47959183673469</v>
      </c>
      <c r="N228" s="27" t="s">
        <v>197</v>
      </c>
      <c r="O228" s="27"/>
      <c r="P228" s="27" t="str">
        <f aca="false">A228&amp;"|"&amp;N228</f>
        <v>NURSE-02|normal</v>
      </c>
    </row>
    <row r="229" customFormat="false" ht="15" hidden="false" customHeight="true" outlineLevel="0" collapsed="false">
      <c r="A229" s="27" t="s">
        <v>73</v>
      </c>
      <c r="B229" s="41" t="n">
        <v>46303.3010416667</v>
      </c>
      <c r="C229" s="27" t="s">
        <v>195</v>
      </c>
      <c r="D229" s="27" t="n">
        <v>48</v>
      </c>
      <c r="E229" s="27" t="n">
        <v>21.1</v>
      </c>
      <c r="F229" s="27" t="n">
        <v>34.5</v>
      </c>
      <c r="G229" s="27" t="n">
        <v>32.2</v>
      </c>
      <c r="H229" s="27" t="s">
        <v>199</v>
      </c>
      <c r="I229" s="42" t="n">
        <f aca="false">(D229-INDEX('Cohort Summary'!$D$5:$D$14,MATCH($A229,'Cohort Summary'!$A$5:$A$14,0)))/INDEX('Cohort Summary'!$E$5:$E$14,MATCH($A229,'Cohort Summary'!$A$5:$A$14,0))</f>
        <v>1.28527607361963</v>
      </c>
      <c r="J229" s="42" t="n">
        <f aca="false">(E229-INDEX('Cohort Summary'!$F$5:$F$14,MATCH($A229,'Cohort Summary'!$A$5:$A$14,0)))/INDEX('Cohort Summary'!$G$5:$G$14,MATCH($A229,'Cohort Summary'!$A$5:$A$14,0))</f>
        <v>0.966981132075472</v>
      </c>
      <c r="K229" s="42" t="n">
        <f aca="false">(F229-INDEX('Cohort Summary'!$H$5:$H$14,MATCH($A229,'Cohort Summary'!$A$5:$A$14,0)))/INDEX('Cohort Summary'!$I$5:$I$14,MATCH($A229,'Cohort Summary'!$A$5:$A$14,0))</f>
        <v>0.697278911564625</v>
      </c>
      <c r="L229" s="42" t="n">
        <f aca="false">(G229-INDEX('Cohort Summary'!$J$5:$J$14,MATCH($A229,'Cohort Summary'!$A$5:$A$14,0)))/INDEX('Cohort Summary'!$K$5:$K$14,MATCH($A229,'Cohort Summary'!$A$5:$A$14,0))</f>
        <v>-0.984374999999993</v>
      </c>
      <c r="M229" s="42" t="n">
        <f aca="false">MAX(I229:K229)</f>
        <v>1.28527607361963</v>
      </c>
      <c r="N229" s="27" t="s">
        <v>197</v>
      </c>
      <c r="O229" s="27"/>
      <c r="P229" s="27" t="str">
        <f aca="false">A229&amp;"|"&amp;N229</f>
        <v>NURSE-02|normal</v>
      </c>
    </row>
    <row r="230" customFormat="false" ht="15" hidden="false" customHeight="true" outlineLevel="0" collapsed="false">
      <c r="A230" s="27" t="s">
        <v>73</v>
      </c>
      <c r="B230" s="41" t="n">
        <v>46303.3013888889</v>
      </c>
      <c r="C230" s="27" t="s">
        <v>195</v>
      </c>
      <c r="D230" s="27" t="n">
        <v>45.2</v>
      </c>
      <c r="E230" s="27" t="n">
        <v>19</v>
      </c>
      <c r="F230" s="27" t="n">
        <v>32.1</v>
      </c>
      <c r="G230" s="27" t="n">
        <v>33.6</v>
      </c>
      <c r="H230" s="27" t="s">
        <v>198</v>
      </c>
      <c r="I230" s="42" t="n">
        <f aca="false">(D230-INDEX('Cohort Summary'!$D$5:$D$14,MATCH($A230,'Cohort Summary'!$A$5:$A$14,0)))/INDEX('Cohort Summary'!$E$5:$E$14,MATCH($A230,'Cohort Summary'!$A$5:$A$14,0))</f>
        <v>0.42638036809816</v>
      </c>
      <c r="J230" s="42" t="n">
        <f aca="false">(E230-INDEX('Cohort Summary'!$F$5:$F$14,MATCH($A230,'Cohort Summary'!$A$5:$A$14,0)))/INDEX('Cohort Summary'!$G$5:$G$14,MATCH($A230,'Cohort Summary'!$A$5:$A$14,0))</f>
        <v>-0.0235849056603777</v>
      </c>
      <c r="K230" s="42" t="n">
        <f aca="false">(F230-INDEX('Cohort Summary'!$H$5:$H$14,MATCH($A230,'Cohort Summary'!$A$5:$A$14,0)))/INDEX('Cohort Summary'!$I$5:$I$14,MATCH($A230,'Cohort Summary'!$A$5:$A$14,0))</f>
        <v>-0.11904761904762</v>
      </c>
      <c r="L230" s="42" t="n">
        <f aca="false">(G230-INDEX('Cohort Summary'!$J$5:$J$14,MATCH($A230,'Cohort Summary'!$A$5:$A$14,0)))/INDEX('Cohort Summary'!$K$5:$K$14,MATCH($A230,'Cohort Summary'!$A$5:$A$14,0))</f>
        <v>1.203125</v>
      </c>
      <c r="M230" s="42" t="n">
        <f aca="false">MAX(I230:K230)</f>
        <v>0.42638036809816</v>
      </c>
      <c r="N230" s="27" t="s">
        <v>197</v>
      </c>
      <c r="O230" s="27"/>
      <c r="P230" s="27" t="str">
        <f aca="false">A230&amp;"|"&amp;N230</f>
        <v>NURSE-02|normal</v>
      </c>
    </row>
    <row r="231" customFormat="false" ht="15" hidden="false" customHeight="true" outlineLevel="0" collapsed="false">
      <c r="A231" s="27" t="s">
        <v>73</v>
      </c>
      <c r="B231" s="41" t="n">
        <v>46303.3017361111</v>
      </c>
      <c r="C231" s="27" t="s">
        <v>195</v>
      </c>
      <c r="D231" s="27" t="n">
        <v>43.9</v>
      </c>
      <c r="E231" s="27" t="n">
        <v>20.3</v>
      </c>
      <c r="F231" s="27" t="n">
        <v>27.5</v>
      </c>
      <c r="G231" s="27" t="n">
        <v>31.9</v>
      </c>
      <c r="H231" s="27" t="s">
        <v>196</v>
      </c>
      <c r="I231" s="42" t="n">
        <f aca="false">(D231-INDEX('Cohort Summary'!$D$5:$D$14,MATCH($A231,'Cohort Summary'!$A$5:$A$14,0)))/INDEX('Cohort Summary'!$E$5:$E$14,MATCH($A231,'Cohort Summary'!$A$5:$A$14,0))</f>
        <v>0.0276073619631891</v>
      </c>
      <c r="J231" s="42" t="n">
        <f aca="false">(E231-INDEX('Cohort Summary'!$F$5:$F$14,MATCH($A231,'Cohort Summary'!$A$5:$A$14,0)))/INDEX('Cohort Summary'!$G$5:$G$14,MATCH($A231,'Cohort Summary'!$A$5:$A$14,0))</f>
        <v>0.589622641509434</v>
      </c>
      <c r="K231" s="42" t="n">
        <f aca="false">(F231-INDEX('Cohort Summary'!$H$5:$H$14,MATCH($A231,'Cohort Summary'!$A$5:$A$14,0)))/INDEX('Cohort Summary'!$I$5:$I$14,MATCH($A231,'Cohort Summary'!$A$5:$A$14,0))</f>
        <v>-1.68367346938776</v>
      </c>
      <c r="L231" s="42" t="n">
        <f aca="false">(G231-INDEX('Cohort Summary'!$J$5:$J$14,MATCH($A231,'Cohort Summary'!$A$5:$A$14,0)))/INDEX('Cohort Summary'!$K$5:$K$14,MATCH($A231,'Cohort Summary'!$A$5:$A$14,0))</f>
        <v>-1.453125</v>
      </c>
      <c r="M231" s="42" t="n">
        <f aca="false">MAX(I231:K231)</f>
        <v>0.589622641509434</v>
      </c>
      <c r="N231" s="27" t="s">
        <v>197</v>
      </c>
      <c r="O231" s="27"/>
      <c r="P231" s="27" t="str">
        <f aca="false">A231&amp;"|"&amp;N231</f>
        <v>NURSE-02|normal</v>
      </c>
    </row>
    <row r="232" customFormat="false" ht="15" hidden="false" customHeight="true" outlineLevel="0" collapsed="false">
      <c r="A232" s="27" t="s">
        <v>73</v>
      </c>
      <c r="B232" s="41" t="n">
        <v>46303.3020833333</v>
      </c>
      <c r="C232" s="27" t="s">
        <v>195</v>
      </c>
      <c r="D232" s="27" t="n">
        <v>42.5</v>
      </c>
      <c r="E232" s="27" t="n">
        <v>16.7</v>
      </c>
      <c r="F232" s="27" t="n">
        <v>30.6</v>
      </c>
      <c r="G232" s="27" t="n">
        <v>32.2</v>
      </c>
      <c r="H232" s="27" t="s">
        <v>196</v>
      </c>
      <c r="I232" s="42" t="n">
        <f aca="false">(D232-INDEX('Cohort Summary'!$D$5:$D$14,MATCH($A232,'Cohort Summary'!$A$5:$A$14,0)))/INDEX('Cohort Summary'!$E$5:$E$14,MATCH($A232,'Cohort Summary'!$A$5:$A$14,0))</f>
        <v>-0.401840490797547</v>
      </c>
      <c r="J232" s="42" t="n">
        <f aca="false">(E232-INDEX('Cohort Summary'!$F$5:$F$14,MATCH($A232,'Cohort Summary'!$A$5:$A$14,0)))/INDEX('Cohort Summary'!$G$5:$G$14,MATCH($A232,'Cohort Summary'!$A$5:$A$14,0))</f>
        <v>-1.10849056603774</v>
      </c>
      <c r="K232" s="42" t="n">
        <f aca="false">(F232-INDEX('Cohort Summary'!$H$5:$H$14,MATCH($A232,'Cohort Summary'!$A$5:$A$14,0)))/INDEX('Cohort Summary'!$I$5:$I$14,MATCH($A232,'Cohort Summary'!$A$5:$A$14,0))</f>
        <v>-0.629251700680273</v>
      </c>
      <c r="L232" s="42" t="n">
        <f aca="false">(G232-INDEX('Cohort Summary'!$J$5:$J$14,MATCH($A232,'Cohort Summary'!$A$5:$A$14,0)))/INDEX('Cohort Summary'!$K$5:$K$14,MATCH($A232,'Cohort Summary'!$A$5:$A$14,0))</f>
        <v>-0.984374999999993</v>
      </c>
      <c r="M232" s="42" t="n">
        <f aca="false">MAX(I232:K232)</f>
        <v>-0.401840490797547</v>
      </c>
      <c r="N232" s="27" t="s">
        <v>197</v>
      </c>
      <c r="O232" s="27"/>
      <c r="P232" s="27" t="str">
        <f aca="false">A232&amp;"|"&amp;N232</f>
        <v>NURSE-02|normal</v>
      </c>
    </row>
    <row r="233" customFormat="false" ht="15" hidden="false" customHeight="true" outlineLevel="0" collapsed="false">
      <c r="A233" s="27" t="s">
        <v>73</v>
      </c>
      <c r="B233" s="41" t="n">
        <v>46303.3024305556</v>
      </c>
      <c r="C233" s="27" t="s">
        <v>195</v>
      </c>
      <c r="D233" s="27" t="n">
        <v>42</v>
      </c>
      <c r="E233" s="27" t="n">
        <v>16.9</v>
      </c>
      <c r="F233" s="27" t="n">
        <v>30.7</v>
      </c>
      <c r="G233" s="27" t="n">
        <v>33.5</v>
      </c>
      <c r="H233" s="27" t="s">
        <v>198</v>
      </c>
      <c r="I233" s="42" t="n">
        <f aca="false">(D233-INDEX('Cohort Summary'!$D$5:$D$14,MATCH($A233,'Cohort Summary'!$A$5:$A$14,0)))/INDEX('Cohort Summary'!$E$5:$E$14,MATCH($A233,'Cohort Summary'!$A$5:$A$14,0))</f>
        <v>-0.555214723926381</v>
      </c>
      <c r="J233" s="42" t="n">
        <f aca="false">(E233-INDEX('Cohort Summary'!$F$5:$F$14,MATCH($A233,'Cohort Summary'!$A$5:$A$14,0)))/INDEX('Cohort Summary'!$G$5:$G$14,MATCH($A233,'Cohort Summary'!$A$5:$A$14,0))</f>
        <v>-1.01415094339623</v>
      </c>
      <c r="K233" s="42" t="n">
        <f aca="false">(F233-INDEX('Cohort Summary'!$H$5:$H$14,MATCH($A233,'Cohort Summary'!$A$5:$A$14,0)))/INDEX('Cohort Summary'!$I$5:$I$14,MATCH($A233,'Cohort Summary'!$A$5:$A$14,0))</f>
        <v>-0.595238095238097</v>
      </c>
      <c r="L233" s="42" t="n">
        <f aca="false">(G233-INDEX('Cohort Summary'!$J$5:$J$14,MATCH($A233,'Cohort Summary'!$A$5:$A$14,0)))/INDEX('Cohort Summary'!$K$5:$K$14,MATCH($A233,'Cohort Summary'!$A$5:$A$14,0))</f>
        <v>1.046875</v>
      </c>
      <c r="M233" s="42" t="n">
        <f aca="false">MAX(I233:K233)</f>
        <v>-0.555214723926381</v>
      </c>
      <c r="N233" s="27" t="s">
        <v>197</v>
      </c>
      <c r="O233" s="27"/>
      <c r="P233" s="27" t="str">
        <f aca="false">A233&amp;"|"&amp;N233</f>
        <v>NURSE-02|normal</v>
      </c>
    </row>
    <row r="234" customFormat="false" ht="15" hidden="false" customHeight="true" outlineLevel="0" collapsed="false">
      <c r="A234" s="27" t="s">
        <v>73</v>
      </c>
      <c r="B234" s="41" t="n">
        <v>46303.3027777778</v>
      </c>
      <c r="C234" s="27" t="s">
        <v>195</v>
      </c>
      <c r="D234" s="27" t="n">
        <v>40.3</v>
      </c>
      <c r="E234" s="27" t="n">
        <v>22.6</v>
      </c>
      <c r="F234" s="27" t="n">
        <v>29.4</v>
      </c>
      <c r="G234" s="27" t="n">
        <v>32.1</v>
      </c>
      <c r="H234" s="27" t="s">
        <v>198</v>
      </c>
      <c r="I234" s="42" t="n">
        <f aca="false">(D234-INDEX('Cohort Summary'!$D$5:$D$14,MATCH($A234,'Cohort Summary'!$A$5:$A$14,0)))/INDEX('Cohort Summary'!$E$5:$E$14,MATCH($A234,'Cohort Summary'!$A$5:$A$14,0))</f>
        <v>-1.07668711656442</v>
      </c>
      <c r="J234" s="42" t="n">
        <f aca="false">(E234-INDEX('Cohort Summary'!$F$5:$F$14,MATCH($A234,'Cohort Summary'!$A$5:$A$14,0)))/INDEX('Cohort Summary'!$G$5:$G$14,MATCH($A234,'Cohort Summary'!$A$5:$A$14,0))</f>
        <v>1.67452830188679</v>
      </c>
      <c r="K234" s="42" t="n">
        <f aca="false">(F234-INDEX('Cohort Summary'!$H$5:$H$14,MATCH($A234,'Cohort Summary'!$A$5:$A$14,0)))/INDEX('Cohort Summary'!$I$5:$I$14,MATCH($A234,'Cohort Summary'!$A$5:$A$14,0))</f>
        <v>-1.0374149659864</v>
      </c>
      <c r="L234" s="42" t="n">
        <f aca="false">(G234-INDEX('Cohort Summary'!$J$5:$J$14,MATCH($A234,'Cohort Summary'!$A$5:$A$14,0)))/INDEX('Cohort Summary'!$K$5:$K$14,MATCH($A234,'Cohort Summary'!$A$5:$A$14,0))</f>
        <v>-1.140625</v>
      </c>
      <c r="M234" s="42" t="n">
        <f aca="false">MAX(I234:K234)</f>
        <v>1.67452830188679</v>
      </c>
      <c r="N234" s="27" t="s">
        <v>197</v>
      </c>
      <c r="O234" s="27"/>
      <c r="P234" s="27" t="str">
        <f aca="false">A234&amp;"|"&amp;N234</f>
        <v>NURSE-02|normal</v>
      </c>
    </row>
    <row r="235" customFormat="false" ht="15" hidden="false" customHeight="true" outlineLevel="0" collapsed="false">
      <c r="A235" s="27" t="s">
        <v>73</v>
      </c>
      <c r="B235" s="41" t="n">
        <v>46303.303125</v>
      </c>
      <c r="C235" s="27" t="s">
        <v>195</v>
      </c>
      <c r="D235" s="27" t="n">
        <v>39.6</v>
      </c>
      <c r="E235" s="27" t="n">
        <v>17</v>
      </c>
      <c r="F235" s="27" t="n">
        <v>33.7</v>
      </c>
      <c r="G235" s="27" t="n">
        <v>32.3</v>
      </c>
      <c r="H235" s="27" t="s">
        <v>199</v>
      </c>
      <c r="I235" s="42" t="n">
        <f aca="false">(D235-INDEX('Cohort Summary'!$D$5:$D$14,MATCH($A235,'Cohort Summary'!$A$5:$A$14,0)))/INDEX('Cohort Summary'!$E$5:$E$14,MATCH($A235,'Cohort Summary'!$A$5:$A$14,0))</f>
        <v>-1.29141104294479</v>
      </c>
      <c r="J235" s="42" t="n">
        <f aca="false">(E235-INDEX('Cohort Summary'!$F$5:$F$14,MATCH($A235,'Cohort Summary'!$A$5:$A$14,0)))/INDEX('Cohort Summary'!$G$5:$G$14,MATCH($A235,'Cohort Summary'!$A$5:$A$14,0))</f>
        <v>-0.966981132075472</v>
      </c>
      <c r="K235" s="42" t="n">
        <f aca="false">(F235-INDEX('Cohort Summary'!$H$5:$H$14,MATCH($A235,'Cohort Summary'!$A$5:$A$14,0)))/INDEX('Cohort Summary'!$I$5:$I$14,MATCH($A235,'Cohort Summary'!$A$5:$A$14,0))</f>
        <v>0.425170068027211</v>
      </c>
      <c r="L235" s="42" t="n">
        <f aca="false">(G235-INDEX('Cohort Summary'!$J$5:$J$14,MATCH($A235,'Cohort Summary'!$A$5:$A$14,0)))/INDEX('Cohort Summary'!$K$5:$K$14,MATCH($A235,'Cohort Summary'!$A$5:$A$14,0))</f>
        <v>-0.828125000000002</v>
      </c>
      <c r="M235" s="42" t="n">
        <f aca="false">MAX(I235:K235)</f>
        <v>0.425170068027211</v>
      </c>
      <c r="N235" s="27" t="s">
        <v>197</v>
      </c>
      <c r="O235" s="27"/>
      <c r="P235" s="27" t="str">
        <f aca="false">A235&amp;"|"&amp;N235</f>
        <v>NURSE-02|normal</v>
      </c>
    </row>
    <row r="236" customFormat="false" ht="15" hidden="false" customHeight="true" outlineLevel="0" collapsed="false">
      <c r="A236" s="27" t="s">
        <v>73</v>
      </c>
      <c r="B236" s="41" t="n">
        <v>46303.3034722222</v>
      </c>
      <c r="C236" s="27" t="s">
        <v>195</v>
      </c>
      <c r="D236" s="27" t="n">
        <v>48.7</v>
      </c>
      <c r="E236" s="27" t="n">
        <v>16.4</v>
      </c>
      <c r="F236" s="27" t="n">
        <v>35.2</v>
      </c>
      <c r="G236" s="27" t="n">
        <v>33.6</v>
      </c>
      <c r="H236" s="27" t="s">
        <v>196</v>
      </c>
      <c r="I236" s="42" t="n">
        <f aca="false">(D236-INDEX('Cohort Summary'!$D$5:$D$14,MATCH($A236,'Cohort Summary'!$A$5:$A$14,0)))/INDEX('Cohort Summary'!$E$5:$E$14,MATCH($A236,'Cohort Summary'!$A$5:$A$14,0))</f>
        <v>1.5</v>
      </c>
      <c r="J236" s="42" t="n">
        <f aca="false">(E236-INDEX('Cohort Summary'!$F$5:$F$14,MATCH($A236,'Cohort Summary'!$A$5:$A$14,0)))/INDEX('Cohort Summary'!$G$5:$G$14,MATCH($A236,'Cohort Summary'!$A$5:$A$14,0))</f>
        <v>-1.25</v>
      </c>
      <c r="K236" s="42" t="n">
        <f aca="false">(F236-INDEX('Cohort Summary'!$H$5:$H$14,MATCH($A236,'Cohort Summary'!$A$5:$A$14,0)))/INDEX('Cohort Summary'!$I$5:$I$14,MATCH($A236,'Cohort Summary'!$A$5:$A$14,0))</f>
        <v>0.935374149659864</v>
      </c>
      <c r="L236" s="42" t="n">
        <f aca="false">(G236-INDEX('Cohort Summary'!$J$5:$J$14,MATCH($A236,'Cohort Summary'!$A$5:$A$14,0)))/INDEX('Cohort Summary'!$K$5:$K$14,MATCH($A236,'Cohort Summary'!$A$5:$A$14,0))</f>
        <v>1.203125</v>
      </c>
      <c r="M236" s="42" t="n">
        <f aca="false">MAX(I236:K236)</f>
        <v>1.5</v>
      </c>
      <c r="N236" s="27" t="s">
        <v>197</v>
      </c>
      <c r="O236" s="27"/>
      <c r="P236" s="27" t="str">
        <f aca="false">A236&amp;"|"&amp;N236</f>
        <v>NURSE-02|normal</v>
      </c>
    </row>
    <row r="237" customFormat="false" ht="15" hidden="false" customHeight="true" outlineLevel="0" collapsed="false">
      <c r="A237" s="27" t="s">
        <v>73</v>
      </c>
      <c r="B237" s="41" t="n">
        <v>46303.3038194445</v>
      </c>
      <c r="C237" s="27" t="s">
        <v>195</v>
      </c>
      <c r="D237" s="27" t="n">
        <v>45.5</v>
      </c>
      <c r="E237" s="27" t="n">
        <v>19.1</v>
      </c>
      <c r="F237" s="27" t="n">
        <v>36.4</v>
      </c>
      <c r="G237" s="27" t="n">
        <v>33.3</v>
      </c>
      <c r="H237" s="27" t="s">
        <v>198</v>
      </c>
      <c r="I237" s="42" t="n">
        <f aca="false">(D237-INDEX('Cohort Summary'!$D$5:$D$14,MATCH($A237,'Cohort Summary'!$A$5:$A$14,0)))/INDEX('Cohort Summary'!$E$5:$E$14,MATCH($A237,'Cohort Summary'!$A$5:$A$14,0))</f>
        <v>0.51840490797546</v>
      </c>
      <c r="J237" s="42" t="n">
        <f aca="false">(E237-INDEX('Cohort Summary'!$F$5:$F$14,MATCH($A237,'Cohort Summary'!$A$5:$A$14,0)))/INDEX('Cohort Summary'!$G$5:$G$14,MATCH($A237,'Cohort Summary'!$A$5:$A$14,0))</f>
        <v>0.0235849056603777</v>
      </c>
      <c r="K237" s="42" t="n">
        <f aca="false">(F237-INDEX('Cohort Summary'!$H$5:$H$14,MATCH($A237,'Cohort Summary'!$A$5:$A$14,0)))/INDEX('Cohort Summary'!$I$5:$I$14,MATCH($A237,'Cohort Summary'!$A$5:$A$14,0))</f>
        <v>1.34353741496598</v>
      </c>
      <c r="L237" s="42" t="n">
        <f aca="false">(G237-INDEX('Cohort Summary'!$J$5:$J$14,MATCH($A237,'Cohort Summary'!$A$5:$A$14,0)))/INDEX('Cohort Summary'!$K$5:$K$14,MATCH($A237,'Cohort Summary'!$A$5:$A$14,0))</f>
        <v>0.734374999999998</v>
      </c>
      <c r="M237" s="42" t="n">
        <f aca="false">MAX(I237:K237)</f>
        <v>1.34353741496598</v>
      </c>
      <c r="N237" s="27" t="s">
        <v>197</v>
      </c>
      <c r="O237" s="27"/>
      <c r="P237" s="27" t="str">
        <f aca="false">A237&amp;"|"&amp;N237</f>
        <v>NURSE-02|normal</v>
      </c>
    </row>
    <row r="238" customFormat="false" ht="15" hidden="false" customHeight="true" outlineLevel="0" collapsed="false">
      <c r="A238" s="27" t="s">
        <v>73</v>
      </c>
      <c r="B238" s="41" t="n">
        <v>46303.3041666667</v>
      </c>
      <c r="C238" s="27" t="s">
        <v>195</v>
      </c>
      <c r="D238" s="27" t="n">
        <v>40.7</v>
      </c>
      <c r="E238" s="27" t="n">
        <v>16</v>
      </c>
      <c r="F238" s="27" t="n">
        <v>27.6</v>
      </c>
      <c r="G238" s="27" t="n">
        <v>31.9</v>
      </c>
      <c r="H238" s="27" t="s">
        <v>198</v>
      </c>
      <c r="I238" s="42" t="n">
        <f aca="false">(D238-INDEX('Cohort Summary'!$D$5:$D$14,MATCH($A238,'Cohort Summary'!$A$5:$A$14,0)))/INDEX('Cohort Summary'!$E$5:$E$14,MATCH($A238,'Cohort Summary'!$A$5:$A$14,0))</f>
        <v>-0.95398773006135</v>
      </c>
      <c r="J238" s="42" t="n">
        <f aca="false">(E238-INDEX('Cohort Summary'!$F$5:$F$14,MATCH($A238,'Cohort Summary'!$A$5:$A$14,0)))/INDEX('Cohort Summary'!$G$5:$G$14,MATCH($A238,'Cohort Summary'!$A$5:$A$14,0))</f>
        <v>-1.43867924528302</v>
      </c>
      <c r="K238" s="42" t="n">
        <f aca="false">(F238-INDEX('Cohort Summary'!$H$5:$H$14,MATCH($A238,'Cohort Summary'!$A$5:$A$14,0)))/INDEX('Cohort Summary'!$I$5:$I$14,MATCH($A238,'Cohort Summary'!$A$5:$A$14,0))</f>
        <v>-1.64965986394558</v>
      </c>
      <c r="L238" s="42" t="n">
        <f aca="false">(G238-INDEX('Cohort Summary'!$J$5:$J$14,MATCH($A238,'Cohort Summary'!$A$5:$A$14,0)))/INDEX('Cohort Summary'!$K$5:$K$14,MATCH($A238,'Cohort Summary'!$A$5:$A$14,0))</f>
        <v>-1.453125</v>
      </c>
      <c r="M238" s="42" t="n">
        <f aca="false">MAX(I238:K238)</f>
        <v>-0.95398773006135</v>
      </c>
      <c r="N238" s="27" t="s">
        <v>197</v>
      </c>
      <c r="O238" s="27"/>
      <c r="P238" s="27" t="str">
        <f aca="false">A238&amp;"|"&amp;N238</f>
        <v>NURSE-02|normal</v>
      </c>
    </row>
    <row r="239" customFormat="false" ht="15" hidden="false" customHeight="true" outlineLevel="0" collapsed="false">
      <c r="A239" s="27" t="s">
        <v>73</v>
      </c>
      <c r="B239" s="41" t="n">
        <v>46303.3045138889</v>
      </c>
      <c r="C239" s="27" t="s">
        <v>195</v>
      </c>
      <c r="D239" s="27" t="n">
        <v>41.4</v>
      </c>
      <c r="E239" s="27" t="n">
        <v>16.4</v>
      </c>
      <c r="F239" s="27" t="n">
        <v>34.8</v>
      </c>
      <c r="G239" s="27" t="n">
        <v>31.8</v>
      </c>
      <c r="H239" s="27" t="s">
        <v>196</v>
      </c>
      <c r="I239" s="42" t="n">
        <f aca="false">(D239-INDEX('Cohort Summary'!$D$5:$D$14,MATCH($A239,'Cohort Summary'!$A$5:$A$14,0)))/INDEX('Cohort Summary'!$E$5:$E$14,MATCH($A239,'Cohort Summary'!$A$5:$A$14,0))</f>
        <v>-0.739263803680983</v>
      </c>
      <c r="J239" s="42" t="n">
        <f aca="false">(E239-INDEX('Cohort Summary'!$F$5:$F$14,MATCH($A239,'Cohort Summary'!$A$5:$A$14,0)))/INDEX('Cohort Summary'!$G$5:$G$14,MATCH($A239,'Cohort Summary'!$A$5:$A$14,0))</f>
        <v>-1.25</v>
      </c>
      <c r="K239" s="42" t="n">
        <f aca="false">(F239-INDEX('Cohort Summary'!$H$5:$H$14,MATCH($A239,'Cohort Summary'!$A$5:$A$14,0)))/INDEX('Cohort Summary'!$I$5:$I$14,MATCH($A239,'Cohort Summary'!$A$5:$A$14,0))</f>
        <v>0.799319727891155</v>
      </c>
      <c r="L239" s="42" t="n">
        <f aca="false">(G239-INDEX('Cohort Summary'!$J$5:$J$14,MATCH($A239,'Cohort Summary'!$A$5:$A$14,0)))/INDEX('Cohort Summary'!$K$5:$K$14,MATCH($A239,'Cohort Summary'!$A$5:$A$14,0))</f>
        <v>-1.609375</v>
      </c>
      <c r="M239" s="42" t="n">
        <f aca="false">MAX(I239:K239)</f>
        <v>0.799319727891155</v>
      </c>
      <c r="N239" s="27" t="s">
        <v>197</v>
      </c>
      <c r="O239" s="27"/>
      <c r="P239" s="27" t="str">
        <f aca="false">A239&amp;"|"&amp;N239</f>
        <v>NURSE-02|normal</v>
      </c>
    </row>
    <row r="240" customFormat="false" ht="15" hidden="false" customHeight="true" outlineLevel="0" collapsed="false">
      <c r="A240" s="27" t="s">
        <v>73</v>
      </c>
      <c r="B240" s="41" t="n">
        <v>46303.3048611111</v>
      </c>
      <c r="C240" s="27" t="s">
        <v>195</v>
      </c>
      <c r="D240" s="27" t="n">
        <v>45.6</v>
      </c>
      <c r="E240" s="27" t="n">
        <v>17.4</v>
      </c>
      <c r="F240" s="27" t="n">
        <v>31.1</v>
      </c>
      <c r="G240" s="27" t="n">
        <v>32.8</v>
      </c>
      <c r="H240" s="27" t="s">
        <v>196</v>
      </c>
      <c r="I240" s="42" t="n">
        <f aca="false">(D240-INDEX('Cohort Summary'!$D$5:$D$14,MATCH($A240,'Cohort Summary'!$A$5:$A$14,0)))/INDEX('Cohort Summary'!$E$5:$E$14,MATCH($A240,'Cohort Summary'!$A$5:$A$14,0))</f>
        <v>0.549079754601227</v>
      </c>
      <c r="J240" s="42" t="n">
        <f aca="false">(E240-INDEX('Cohort Summary'!$F$5:$F$14,MATCH($A240,'Cohort Summary'!$A$5:$A$14,0)))/INDEX('Cohort Summary'!$G$5:$G$14,MATCH($A240,'Cohort Summary'!$A$5:$A$14,0))</f>
        <v>-0.778301886792454</v>
      </c>
      <c r="K240" s="42" t="n">
        <f aca="false">(F240-INDEX('Cohort Summary'!$H$5:$H$14,MATCH($A240,'Cohort Summary'!$A$5:$A$14,0)))/INDEX('Cohort Summary'!$I$5:$I$14,MATCH($A240,'Cohort Summary'!$A$5:$A$14,0))</f>
        <v>-0.459183673469388</v>
      </c>
      <c r="L240" s="42" t="n">
        <f aca="false">(G240-INDEX('Cohort Summary'!$J$5:$J$14,MATCH($A240,'Cohort Summary'!$A$5:$A$14,0)))/INDEX('Cohort Summary'!$K$5:$K$14,MATCH($A240,'Cohort Summary'!$A$5:$A$14,0))</f>
        <v>-0.0468750000000018</v>
      </c>
      <c r="M240" s="42" t="n">
        <f aca="false">MAX(I240:K240)</f>
        <v>0.549079754601227</v>
      </c>
      <c r="N240" s="27" t="s">
        <v>197</v>
      </c>
      <c r="O240" s="27"/>
      <c r="P240" s="27" t="str">
        <f aca="false">A240&amp;"|"&amp;N240</f>
        <v>NURSE-02|normal</v>
      </c>
    </row>
    <row r="241" customFormat="false" ht="15" hidden="false" customHeight="true" outlineLevel="0" collapsed="false">
      <c r="A241" s="27" t="s">
        <v>73</v>
      </c>
      <c r="B241" s="41" t="n">
        <v>46303.3052083333</v>
      </c>
      <c r="C241" s="27" t="s">
        <v>195</v>
      </c>
      <c r="D241" s="27" t="n">
        <v>44.1</v>
      </c>
      <c r="E241" s="27" t="n">
        <v>20.5</v>
      </c>
      <c r="F241" s="27" t="n">
        <v>35.1</v>
      </c>
      <c r="G241" s="27" t="n">
        <v>32.1</v>
      </c>
      <c r="H241" s="27" t="s">
        <v>199</v>
      </c>
      <c r="I241" s="42" t="n">
        <f aca="false">(D241-INDEX('Cohort Summary'!$D$5:$D$14,MATCH($A241,'Cohort Summary'!$A$5:$A$14,0)))/INDEX('Cohort Summary'!$E$5:$E$14,MATCH($A241,'Cohort Summary'!$A$5:$A$14,0))</f>
        <v>0.0889570552147237</v>
      </c>
      <c r="J241" s="42" t="n">
        <f aca="false">(E241-INDEX('Cohort Summary'!$F$5:$F$14,MATCH($A241,'Cohort Summary'!$A$5:$A$14,0)))/INDEX('Cohort Summary'!$G$5:$G$14,MATCH($A241,'Cohort Summary'!$A$5:$A$14,0))</f>
        <v>0.683962264150943</v>
      </c>
      <c r="K241" s="42" t="n">
        <f aca="false">(F241-INDEX('Cohort Summary'!$H$5:$H$14,MATCH($A241,'Cohort Summary'!$A$5:$A$14,0)))/INDEX('Cohort Summary'!$I$5:$I$14,MATCH($A241,'Cohort Summary'!$A$5:$A$14,0))</f>
        <v>0.901360544217687</v>
      </c>
      <c r="L241" s="42" t="n">
        <f aca="false">(G241-INDEX('Cohort Summary'!$J$5:$J$14,MATCH($A241,'Cohort Summary'!$A$5:$A$14,0)))/INDEX('Cohort Summary'!$K$5:$K$14,MATCH($A241,'Cohort Summary'!$A$5:$A$14,0))</f>
        <v>-1.140625</v>
      </c>
      <c r="M241" s="42" t="n">
        <f aca="false">MAX(I241:K241)</f>
        <v>0.901360544217687</v>
      </c>
      <c r="N241" s="27" t="s">
        <v>197</v>
      </c>
      <c r="O241" s="27"/>
      <c r="P241" s="27" t="str">
        <f aca="false">A241&amp;"|"&amp;N241</f>
        <v>NURSE-02|normal</v>
      </c>
    </row>
    <row r="242" customFormat="false" ht="15" hidden="false" customHeight="true" outlineLevel="0" collapsed="false">
      <c r="A242" s="27" t="s">
        <v>73</v>
      </c>
      <c r="B242" s="41" t="n">
        <v>46303.3055555556</v>
      </c>
      <c r="C242" s="27" t="s">
        <v>195</v>
      </c>
      <c r="D242" s="27" t="n">
        <v>39.6</v>
      </c>
      <c r="E242" s="27" t="n">
        <v>20.4</v>
      </c>
      <c r="F242" s="27" t="n">
        <v>36.9</v>
      </c>
      <c r="G242" s="27" t="n">
        <v>33.2</v>
      </c>
      <c r="H242" s="27" t="s">
        <v>199</v>
      </c>
      <c r="I242" s="42" t="n">
        <f aca="false">(D242-INDEX('Cohort Summary'!$D$5:$D$14,MATCH($A242,'Cohort Summary'!$A$5:$A$14,0)))/INDEX('Cohort Summary'!$E$5:$E$14,MATCH($A242,'Cohort Summary'!$A$5:$A$14,0))</f>
        <v>-1.29141104294479</v>
      </c>
      <c r="J242" s="42" t="n">
        <f aca="false">(E242-INDEX('Cohort Summary'!$F$5:$F$14,MATCH($A242,'Cohort Summary'!$A$5:$A$14,0)))/INDEX('Cohort Summary'!$G$5:$G$14,MATCH($A242,'Cohort Summary'!$A$5:$A$14,0))</f>
        <v>0.636792452830188</v>
      </c>
      <c r="K242" s="42" t="n">
        <f aca="false">(F242-INDEX('Cohort Summary'!$H$5:$H$14,MATCH($A242,'Cohort Summary'!$A$5:$A$14,0)))/INDEX('Cohort Summary'!$I$5:$I$14,MATCH($A242,'Cohort Summary'!$A$5:$A$14,0))</f>
        <v>1.51360544217687</v>
      </c>
      <c r="L242" s="42" t="n">
        <f aca="false">(G242-INDEX('Cohort Summary'!$J$5:$J$14,MATCH($A242,'Cohort Summary'!$A$5:$A$14,0)))/INDEX('Cohort Summary'!$K$5:$K$14,MATCH($A242,'Cohort Summary'!$A$5:$A$14,0))</f>
        <v>0.578125000000007</v>
      </c>
      <c r="M242" s="42" t="n">
        <f aca="false">MAX(I242:K242)</f>
        <v>1.51360544217687</v>
      </c>
      <c r="N242" s="27" t="s">
        <v>197</v>
      </c>
      <c r="O242" s="27"/>
      <c r="P242" s="27" t="str">
        <f aca="false">A242&amp;"|"&amp;N242</f>
        <v>NURSE-02|normal</v>
      </c>
    </row>
    <row r="243" customFormat="false" ht="15" hidden="false" customHeight="true" outlineLevel="0" collapsed="false">
      <c r="A243" s="27" t="s">
        <v>73</v>
      </c>
      <c r="B243" s="41" t="n">
        <v>46303.3059027778</v>
      </c>
      <c r="C243" s="27" t="s">
        <v>195</v>
      </c>
      <c r="D243" s="27" t="n">
        <v>46.2</v>
      </c>
      <c r="E243" s="27" t="n">
        <v>16</v>
      </c>
      <c r="F243" s="27" t="n">
        <v>35.4</v>
      </c>
      <c r="G243" s="27" t="n">
        <v>33.3</v>
      </c>
      <c r="H243" s="27" t="s">
        <v>199</v>
      </c>
      <c r="I243" s="42" t="n">
        <f aca="false">(D243-INDEX('Cohort Summary'!$D$5:$D$14,MATCH($A243,'Cohort Summary'!$A$5:$A$14,0)))/INDEX('Cohort Summary'!$E$5:$E$14,MATCH($A243,'Cohort Summary'!$A$5:$A$14,0))</f>
        <v>0.733128834355828</v>
      </c>
      <c r="J243" s="42" t="n">
        <f aca="false">(E243-INDEX('Cohort Summary'!$F$5:$F$14,MATCH($A243,'Cohort Summary'!$A$5:$A$14,0)))/INDEX('Cohort Summary'!$G$5:$G$14,MATCH($A243,'Cohort Summary'!$A$5:$A$14,0))</f>
        <v>-1.43867924528302</v>
      </c>
      <c r="K243" s="42" t="n">
        <f aca="false">(F243-INDEX('Cohort Summary'!$H$5:$H$14,MATCH($A243,'Cohort Summary'!$A$5:$A$14,0)))/INDEX('Cohort Summary'!$I$5:$I$14,MATCH($A243,'Cohort Summary'!$A$5:$A$14,0))</f>
        <v>1.00340136054422</v>
      </c>
      <c r="L243" s="42" t="n">
        <f aca="false">(G243-INDEX('Cohort Summary'!$J$5:$J$14,MATCH($A243,'Cohort Summary'!$A$5:$A$14,0)))/INDEX('Cohort Summary'!$K$5:$K$14,MATCH($A243,'Cohort Summary'!$A$5:$A$14,0))</f>
        <v>0.734374999999998</v>
      </c>
      <c r="M243" s="42" t="n">
        <f aca="false">MAX(I243:K243)</f>
        <v>1.00340136054422</v>
      </c>
      <c r="N243" s="27" t="s">
        <v>197</v>
      </c>
      <c r="O243" s="27"/>
      <c r="P243" s="27" t="str">
        <f aca="false">A243&amp;"|"&amp;N243</f>
        <v>NURSE-02|normal</v>
      </c>
    </row>
    <row r="244" customFormat="false" ht="15" hidden="false" customHeight="true" outlineLevel="0" collapsed="false">
      <c r="A244" s="27" t="s">
        <v>73</v>
      </c>
      <c r="B244" s="41" t="n">
        <v>46303.30625</v>
      </c>
      <c r="C244" s="27" t="s">
        <v>195</v>
      </c>
      <c r="D244" s="27" t="n">
        <v>39.8</v>
      </c>
      <c r="E244" s="27" t="n">
        <v>20.6</v>
      </c>
      <c r="F244" s="27" t="n">
        <v>28.8</v>
      </c>
      <c r="G244" s="27" t="n">
        <v>33.8</v>
      </c>
      <c r="H244" s="27" t="s">
        <v>199</v>
      </c>
      <c r="I244" s="42" t="n">
        <f aca="false">(D244-INDEX('Cohort Summary'!$D$5:$D$14,MATCH($A244,'Cohort Summary'!$A$5:$A$14,0)))/INDEX('Cohort Summary'!$E$5:$E$14,MATCH($A244,'Cohort Summary'!$A$5:$A$14,0))</f>
        <v>-1.23006134969325</v>
      </c>
      <c r="J244" s="42" t="n">
        <f aca="false">(E244-INDEX('Cohort Summary'!$F$5:$F$14,MATCH($A244,'Cohort Summary'!$A$5:$A$14,0)))/INDEX('Cohort Summary'!$G$5:$G$14,MATCH($A244,'Cohort Summary'!$A$5:$A$14,0))</f>
        <v>0.731132075471699</v>
      </c>
      <c r="K244" s="42" t="n">
        <f aca="false">(F244-INDEX('Cohort Summary'!$H$5:$H$14,MATCH($A244,'Cohort Summary'!$A$5:$A$14,0)))/INDEX('Cohort Summary'!$I$5:$I$14,MATCH($A244,'Cohort Summary'!$A$5:$A$14,0))</f>
        <v>-1.24149659863946</v>
      </c>
      <c r="L244" s="42" t="n">
        <f aca="false">(G244-INDEX('Cohort Summary'!$J$5:$J$14,MATCH($A244,'Cohort Summary'!$A$5:$A$14,0)))/INDEX('Cohort Summary'!$K$5:$K$14,MATCH($A244,'Cohort Summary'!$A$5:$A$14,0))</f>
        <v>1.515625</v>
      </c>
      <c r="M244" s="42" t="n">
        <f aca="false">MAX(I244:K244)</f>
        <v>0.731132075471699</v>
      </c>
      <c r="N244" s="27" t="s">
        <v>197</v>
      </c>
      <c r="O244" s="27"/>
      <c r="P244" s="27" t="str">
        <f aca="false">A244&amp;"|"&amp;N244</f>
        <v>NURSE-02|normal</v>
      </c>
    </row>
    <row r="245" customFormat="false" ht="15" hidden="false" customHeight="true" outlineLevel="0" collapsed="false">
      <c r="A245" s="27" t="s">
        <v>73</v>
      </c>
      <c r="B245" s="41" t="n">
        <v>46303.3065972222</v>
      </c>
      <c r="C245" s="27" t="s">
        <v>195</v>
      </c>
      <c r="D245" s="27" t="n">
        <v>41.3</v>
      </c>
      <c r="E245" s="27" t="n">
        <v>16.3</v>
      </c>
      <c r="F245" s="27" t="n">
        <v>30.4</v>
      </c>
      <c r="G245" s="27" t="n">
        <v>33.3</v>
      </c>
      <c r="H245" s="27" t="s">
        <v>196</v>
      </c>
      <c r="I245" s="42" t="n">
        <f aca="false">(D245-INDEX('Cohort Summary'!$D$5:$D$14,MATCH($A245,'Cohort Summary'!$A$5:$A$14,0)))/INDEX('Cohort Summary'!$E$5:$E$14,MATCH($A245,'Cohort Summary'!$A$5:$A$14,0))</f>
        <v>-0.76993865030675</v>
      </c>
      <c r="J245" s="42" t="n">
        <f aca="false">(E245-INDEX('Cohort Summary'!$F$5:$F$14,MATCH($A245,'Cohort Summary'!$A$5:$A$14,0)))/INDEX('Cohort Summary'!$G$5:$G$14,MATCH($A245,'Cohort Summary'!$A$5:$A$14,0))</f>
        <v>-1.29716981132075</v>
      </c>
      <c r="K245" s="42" t="n">
        <f aca="false">(F245-INDEX('Cohort Summary'!$H$5:$H$14,MATCH($A245,'Cohort Summary'!$A$5:$A$14,0)))/INDEX('Cohort Summary'!$I$5:$I$14,MATCH($A245,'Cohort Summary'!$A$5:$A$14,0))</f>
        <v>-0.697278911564627</v>
      </c>
      <c r="L245" s="42" t="n">
        <f aca="false">(G245-INDEX('Cohort Summary'!$J$5:$J$14,MATCH($A245,'Cohort Summary'!$A$5:$A$14,0)))/INDEX('Cohort Summary'!$K$5:$K$14,MATCH($A245,'Cohort Summary'!$A$5:$A$14,0))</f>
        <v>0.734374999999998</v>
      </c>
      <c r="M245" s="42" t="n">
        <f aca="false">MAX(I245:K245)</f>
        <v>-0.697278911564627</v>
      </c>
      <c r="N245" s="27" t="s">
        <v>197</v>
      </c>
      <c r="O245" s="27"/>
      <c r="P245" s="27" t="str">
        <f aca="false">A245&amp;"|"&amp;N245</f>
        <v>NURSE-02|normal</v>
      </c>
    </row>
    <row r="246" customFormat="false" ht="15" hidden="false" customHeight="true" outlineLevel="0" collapsed="false">
      <c r="A246" s="27" t="s">
        <v>73</v>
      </c>
      <c r="B246" s="41" t="n">
        <v>46303.3069444444</v>
      </c>
      <c r="C246" s="27" t="s">
        <v>195</v>
      </c>
      <c r="D246" s="27" t="n">
        <v>48.4</v>
      </c>
      <c r="E246" s="27" t="n">
        <v>17.8</v>
      </c>
      <c r="F246" s="27" t="n">
        <v>27.5</v>
      </c>
      <c r="G246" s="27" t="n">
        <v>33.1</v>
      </c>
      <c r="H246" s="27" t="s">
        <v>196</v>
      </c>
      <c r="I246" s="42" t="n">
        <f aca="false">(D246-INDEX('Cohort Summary'!$D$5:$D$14,MATCH($A246,'Cohort Summary'!$A$5:$A$14,0)))/INDEX('Cohort Summary'!$E$5:$E$14,MATCH($A246,'Cohort Summary'!$A$5:$A$14,0))</f>
        <v>1.4079754601227</v>
      </c>
      <c r="J246" s="42" t="n">
        <f aca="false">(E246-INDEX('Cohort Summary'!$F$5:$F$14,MATCH($A246,'Cohort Summary'!$A$5:$A$14,0)))/INDEX('Cohort Summary'!$G$5:$G$14,MATCH($A246,'Cohort Summary'!$A$5:$A$14,0))</f>
        <v>-0.589622641509434</v>
      </c>
      <c r="K246" s="42" t="n">
        <f aca="false">(F246-INDEX('Cohort Summary'!$H$5:$H$14,MATCH($A246,'Cohort Summary'!$A$5:$A$14,0)))/INDEX('Cohort Summary'!$I$5:$I$14,MATCH($A246,'Cohort Summary'!$A$5:$A$14,0))</f>
        <v>-1.68367346938776</v>
      </c>
      <c r="L246" s="42" t="n">
        <f aca="false">(G246-INDEX('Cohort Summary'!$J$5:$J$14,MATCH($A246,'Cohort Summary'!$A$5:$A$14,0)))/INDEX('Cohort Summary'!$K$5:$K$14,MATCH($A246,'Cohort Summary'!$A$5:$A$14,0))</f>
        <v>0.421875000000005</v>
      </c>
      <c r="M246" s="42" t="n">
        <f aca="false">MAX(I246:K246)</f>
        <v>1.4079754601227</v>
      </c>
      <c r="N246" s="27" t="s">
        <v>197</v>
      </c>
      <c r="O246" s="27"/>
      <c r="P246" s="27" t="str">
        <f aca="false">A246&amp;"|"&amp;N246</f>
        <v>NURSE-02|normal</v>
      </c>
    </row>
    <row r="247" customFormat="false" ht="15" hidden="false" customHeight="true" outlineLevel="0" collapsed="false">
      <c r="A247" s="27" t="s">
        <v>73</v>
      </c>
      <c r="B247" s="41" t="n">
        <v>46303.3072916667</v>
      </c>
      <c r="C247" s="27" t="s">
        <v>195</v>
      </c>
      <c r="D247" s="27" t="n">
        <v>43.4</v>
      </c>
      <c r="E247" s="27" t="n">
        <v>21.5</v>
      </c>
      <c r="F247" s="27" t="n">
        <v>32.2</v>
      </c>
      <c r="G247" s="27" t="n">
        <v>32.3</v>
      </c>
      <c r="H247" s="27" t="s">
        <v>196</v>
      </c>
      <c r="I247" s="42" t="n">
        <f aca="false">(D247-INDEX('Cohort Summary'!$D$5:$D$14,MATCH($A247,'Cohort Summary'!$A$5:$A$14,0)))/INDEX('Cohort Summary'!$E$5:$E$14,MATCH($A247,'Cohort Summary'!$A$5:$A$14,0))</f>
        <v>-0.125766871165645</v>
      </c>
      <c r="J247" s="42" t="n">
        <f aca="false">(E247-INDEX('Cohort Summary'!$F$5:$F$14,MATCH($A247,'Cohort Summary'!$A$5:$A$14,0)))/INDEX('Cohort Summary'!$G$5:$G$14,MATCH($A247,'Cohort Summary'!$A$5:$A$14,0))</f>
        <v>1.15566037735849</v>
      </c>
      <c r="K247" s="42" t="n">
        <f aca="false">(F247-INDEX('Cohort Summary'!$H$5:$H$14,MATCH($A247,'Cohort Summary'!$A$5:$A$14,0)))/INDEX('Cohort Summary'!$I$5:$I$14,MATCH($A247,'Cohort Summary'!$A$5:$A$14,0))</f>
        <v>-0.0850340136054422</v>
      </c>
      <c r="L247" s="42" t="n">
        <f aca="false">(G247-INDEX('Cohort Summary'!$J$5:$J$14,MATCH($A247,'Cohort Summary'!$A$5:$A$14,0)))/INDEX('Cohort Summary'!$K$5:$K$14,MATCH($A247,'Cohort Summary'!$A$5:$A$14,0))</f>
        <v>-0.828125000000002</v>
      </c>
      <c r="M247" s="42" t="n">
        <f aca="false">MAX(I247:K247)</f>
        <v>1.15566037735849</v>
      </c>
      <c r="N247" s="27" t="s">
        <v>197</v>
      </c>
      <c r="O247" s="27"/>
      <c r="P247" s="27" t="str">
        <f aca="false">A247&amp;"|"&amp;N247</f>
        <v>NURSE-02|normal</v>
      </c>
    </row>
    <row r="248" customFormat="false" ht="15" hidden="false" customHeight="true" outlineLevel="0" collapsed="false">
      <c r="A248" s="27" t="s">
        <v>73</v>
      </c>
      <c r="B248" s="41" t="n">
        <v>46303.3076388889</v>
      </c>
      <c r="C248" s="27" t="s">
        <v>195</v>
      </c>
      <c r="D248" s="27" t="n">
        <v>48.3</v>
      </c>
      <c r="E248" s="27" t="n">
        <v>22.3</v>
      </c>
      <c r="F248" s="27" t="n">
        <v>27.9</v>
      </c>
      <c r="G248" s="27" t="n">
        <v>32.8</v>
      </c>
      <c r="H248" s="27" t="s">
        <v>198</v>
      </c>
      <c r="I248" s="42" t="n">
        <f aca="false">(D248-INDEX('Cohort Summary'!$D$5:$D$14,MATCH($A248,'Cohort Summary'!$A$5:$A$14,0)))/INDEX('Cohort Summary'!$E$5:$E$14,MATCH($A248,'Cohort Summary'!$A$5:$A$14,0))</f>
        <v>1.37730061349693</v>
      </c>
      <c r="J248" s="42" t="n">
        <f aca="false">(E248-INDEX('Cohort Summary'!$F$5:$F$14,MATCH($A248,'Cohort Summary'!$A$5:$A$14,0)))/INDEX('Cohort Summary'!$G$5:$G$14,MATCH($A248,'Cohort Summary'!$A$5:$A$14,0))</f>
        <v>1.53301886792453</v>
      </c>
      <c r="K248" s="42" t="n">
        <f aca="false">(F248-INDEX('Cohort Summary'!$H$5:$H$14,MATCH($A248,'Cohort Summary'!$A$5:$A$14,0)))/INDEX('Cohort Summary'!$I$5:$I$14,MATCH($A248,'Cohort Summary'!$A$5:$A$14,0))</f>
        <v>-1.54761904761905</v>
      </c>
      <c r="L248" s="42" t="n">
        <f aca="false">(G248-INDEX('Cohort Summary'!$J$5:$J$14,MATCH($A248,'Cohort Summary'!$A$5:$A$14,0)))/INDEX('Cohort Summary'!$K$5:$K$14,MATCH($A248,'Cohort Summary'!$A$5:$A$14,0))</f>
        <v>-0.0468750000000018</v>
      </c>
      <c r="M248" s="42" t="n">
        <f aca="false">MAX(I248:K248)</f>
        <v>1.53301886792453</v>
      </c>
      <c r="N248" s="27" t="s">
        <v>197</v>
      </c>
      <c r="O248" s="27"/>
      <c r="P248" s="27" t="str">
        <f aca="false">A248&amp;"|"&amp;N248</f>
        <v>NURSE-02|normal</v>
      </c>
    </row>
    <row r="249" customFormat="false" ht="15" hidden="false" customHeight="true" outlineLevel="0" collapsed="false">
      <c r="A249" s="27" t="s">
        <v>73</v>
      </c>
      <c r="B249" s="41" t="n">
        <v>46303.3079861111</v>
      </c>
      <c r="C249" s="27" t="s">
        <v>195</v>
      </c>
      <c r="D249" s="27" t="n">
        <v>41.6</v>
      </c>
      <c r="E249" s="27" t="n">
        <v>17.7</v>
      </c>
      <c r="F249" s="27" t="n">
        <v>34.4</v>
      </c>
      <c r="G249" s="27" t="n">
        <v>33.7</v>
      </c>
      <c r="H249" s="27" t="s">
        <v>196</v>
      </c>
      <c r="I249" s="42" t="n">
        <f aca="false">(D249-INDEX('Cohort Summary'!$D$5:$D$14,MATCH($A249,'Cohort Summary'!$A$5:$A$14,0)))/INDEX('Cohort Summary'!$E$5:$E$14,MATCH($A249,'Cohort Summary'!$A$5:$A$14,0))</f>
        <v>-0.677914110429448</v>
      </c>
      <c r="J249" s="42" t="n">
        <f aca="false">(E249-INDEX('Cohort Summary'!$F$5:$F$14,MATCH($A249,'Cohort Summary'!$A$5:$A$14,0)))/INDEX('Cohort Summary'!$G$5:$G$14,MATCH($A249,'Cohort Summary'!$A$5:$A$14,0))</f>
        <v>-0.636792452830189</v>
      </c>
      <c r="K249" s="42" t="n">
        <f aca="false">(F249-INDEX('Cohort Summary'!$H$5:$H$14,MATCH($A249,'Cohort Summary'!$A$5:$A$14,0)))/INDEX('Cohort Summary'!$I$5:$I$14,MATCH($A249,'Cohort Summary'!$A$5:$A$14,0))</f>
        <v>0.663265306122448</v>
      </c>
      <c r="L249" s="42" t="n">
        <f aca="false">(G249-INDEX('Cohort Summary'!$J$5:$J$14,MATCH($A249,'Cohort Summary'!$A$5:$A$14,0)))/INDEX('Cohort Summary'!$K$5:$K$14,MATCH($A249,'Cohort Summary'!$A$5:$A$14,0))</f>
        <v>1.35937500000001</v>
      </c>
      <c r="M249" s="42" t="n">
        <f aca="false">MAX(I249:K249)</f>
        <v>0.663265306122448</v>
      </c>
      <c r="N249" s="27" t="s">
        <v>197</v>
      </c>
      <c r="O249" s="27"/>
      <c r="P249" s="27" t="str">
        <f aca="false">A249&amp;"|"&amp;N249</f>
        <v>NURSE-02|normal</v>
      </c>
    </row>
    <row r="250" customFormat="false" ht="15" hidden="false" customHeight="true" outlineLevel="0" collapsed="false">
      <c r="A250" s="27" t="s">
        <v>73</v>
      </c>
      <c r="B250" s="41" t="n">
        <v>46303.3083333333</v>
      </c>
      <c r="C250" s="27" t="s">
        <v>195</v>
      </c>
      <c r="D250" s="27" t="n">
        <v>48.1</v>
      </c>
      <c r="E250" s="27" t="n">
        <v>17.3</v>
      </c>
      <c r="F250" s="27" t="n">
        <v>30.9</v>
      </c>
      <c r="G250" s="27" t="n">
        <v>33</v>
      </c>
      <c r="H250" s="27" t="s">
        <v>199</v>
      </c>
      <c r="I250" s="42" t="n">
        <f aca="false">(D250-INDEX('Cohort Summary'!$D$5:$D$14,MATCH($A250,'Cohort Summary'!$A$5:$A$14,0)))/INDEX('Cohort Summary'!$E$5:$E$14,MATCH($A250,'Cohort Summary'!$A$5:$A$14,0))</f>
        <v>1.3159509202454</v>
      </c>
      <c r="J250" s="42" t="n">
        <f aca="false">(E250-INDEX('Cohort Summary'!$F$5:$F$14,MATCH($A250,'Cohort Summary'!$A$5:$A$14,0)))/INDEX('Cohort Summary'!$G$5:$G$14,MATCH($A250,'Cohort Summary'!$A$5:$A$14,0))</f>
        <v>-0.825471698113208</v>
      </c>
      <c r="K250" s="42" t="n">
        <f aca="false">(F250-INDEX('Cohort Summary'!$H$5:$H$14,MATCH($A250,'Cohort Summary'!$A$5:$A$14,0)))/INDEX('Cohort Summary'!$I$5:$I$14,MATCH($A250,'Cohort Summary'!$A$5:$A$14,0))</f>
        <v>-0.527210884353743</v>
      </c>
      <c r="L250" s="42" t="n">
        <f aca="false">(G250-INDEX('Cohort Summary'!$J$5:$J$14,MATCH($A250,'Cohort Summary'!$A$5:$A$14,0)))/INDEX('Cohort Summary'!$K$5:$K$14,MATCH($A250,'Cohort Summary'!$A$5:$A$14,0))</f>
        <v>0.265625000000003</v>
      </c>
      <c r="M250" s="42" t="n">
        <f aca="false">MAX(I250:K250)</f>
        <v>1.3159509202454</v>
      </c>
      <c r="N250" s="27" t="s">
        <v>197</v>
      </c>
      <c r="O250" s="27"/>
      <c r="P250" s="27" t="str">
        <f aca="false">A250&amp;"|"&amp;N250</f>
        <v>NURSE-02|normal</v>
      </c>
    </row>
    <row r="251" customFormat="false" ht="15" hidden="false" customHeight="true" outlineLevel="0" collapsed="false">
      <c r="A251" s="27" t="s">
        <v>73</v>
      </c>
      <c r="B251" s="41" t="n">
        <v>46303.3086805556</v>
      </c>
      <c r="C251" s="27" t="s">
        <v>195</v>
      </c>
      <c r="D251" s="27" t="n">
        <v>48.1</v>
      </c>
      <c r="E251" s="27" t="n">
        <v>20.4</v>
      </c>
      <c r="F251" s="27" t="n">
        <v>33.9</v>
      </c>
      <c r="G251" s="27" t="n">
        <v>33.1</v>
      </c>
      <c r="H251" s="27" t="s">
        <v>196</v>
      </c>
      <c r="I251" s="42" t="n">
        <f aca="false">(D251-INDEX('Cohort Summary'!$D$5:$D$14,MATCH($A251,'Cohort Summary'!$A$5:$A$14,0)))/INDEX('Cohort Summary'!$E$5:$E$14,MATCH($A251,'Cohort Summary'!$A$5:$A$14,0))</f>
        <v>1.3159509202454</v>
      </c>
      <c r="J251" s="42" t="n">
        <f aca="false">(E251-INDEX('Cohort Summary'!$F$5:$F$14,MATCH($A251,'Cohort Summary'!$A$5:$A$14,0)))/INDEX('Cohort Summary'!$G$5:$G$14,MATCH($A251,'Cohort Summary'!$A$5:$A$14,0))</f>
        <v>0.636792452830188</v>
      </c>
      <c r="K251" s="42" t="n">
        <f aca="false">(F251-INDEX('Cohort Summary'!$H$5:$H$14,MATCH($A251,'Cohort Summary'!$A$5:$A$14,0)))/INDEX('Cohort Summary'!$I$5:$I$14,MATCH($A251,'Cohort Summary'!$A$5:$A$14,0))</f>
        <v>0.493197278911563</v>
      </c>
      <c r="L251" s="42" t="n">
        <f aca="false">(G251-INDEX('Cohort Summary'!$J$5:$J$14,MATCH($A251,'Cohort Summary'!$A$5:$A$14,0)))/INDEX('Cohort Summary'!$K$5:$K$14,MATCH($A251,'Cohort Summary'!$A$5:$A$14,0))</f>
        <v>0.421875000000005</v>
      </c>
      <c r="M251" s="42" t="n">
        <f aca="false">MAX(I251:K251)</f>
        <v>1.3159509202454</v>
      </c>
      <c r="N251" s="27" t="s">
        <v>197</v>
      </c>
      <c r="O251" s="27"/>
      <c r="P251" s="27" t="str">
        <f aca="false">A251&amp;"|"&amp;N251</f>
        <v>NURSE-02|normal</v>
      </c>
    </row>
    <row r="252" customFormat="false" ht="15" hidden="false" customHeight="true" outlineLevel="0" collapsed="false">
      <c r="A252" s="27" t="s">
        <v>73</v>
      </c>
      <c r="B252" s="41" t="n">
        <v>46303.3090277778</v>
      </c>
      <c r="C252" s="27" t="s">
        <v>195</v>
      </c>
      <c r="D252" s="27" t="n">
        <v>43.7</v>
      </c>
      <c r="E252" s="27" t="n">
        <v>21.9</v>
      </c>
      <c r="F252" s="27" t="n">
        <v>34</v>
      </c>
      <c r="G252" s="27" t="n">
        <v>33.5</v>
      </c>
      <c r="H252" s="27" t="s">
        <v>199</v>
      </c>
      <c r="I252" s="42" t="n">
        <f aca="false">(D252-INDEX('Cohort Summary'!$D$5:$D$14,MATCH($A252,'Cohort Summary'!$A$5:$A$14,0)))/INDEX('Cohort Summary'!$E$5:$E$14,MATCH($A252,'Cohort Summary'!$A$5:$A$14,0))</f>
        <v>-0.0337423312883434</v>
      </c>
      <c r="J252" s="42" t="n">
        <f aca="false">(E252-INDEX('Cohort Summary'!$F$5:$F$14,MATCH($A252,'Cohort Summary'!$A$5:$A$14,0)))/INDEX('Cohort Summary'!$G$5:$G$14,MATCH($A252,'Cohort Summary'!$A$5:$A$14,0))</f>
        <v>1.34433962264151</v>
      </c>
      <c r="K252" s="42" t="n">
        <f aca="false">(F252-INDEX('Cohort Summary'!$H$5:$H$14,MATCH($A252,'Cohort Summary'!$A$5:$A$14,0)))/INDEX('Cohort Summary'!$I$5:$I$14,MATCH($A252,'Cohort Summary'!$A$5:$A$14,0))</f>
        <v>0.527210884353741</v>
      </c>
      <c r="L252" s="42" t="n">
        <f aca="false">(G252-INDEX('Cohort Summary'!$J$5:$J$14,MATCH($A252,'Cohort Summary'!$A$5:$A$14,0)))/INDEX('Cohort Summary'!$K$5:$K$14,MATCH($A252,'Cohort Summary'!$A$5:$A$14,0))</f>
        <v>1.046875</v>
      </c>
      <c r="M252" s="42" t="n">
        <f aca="false">MAX(I252:K252)</f>
        <v>1.34433962264151</v>
      </c>
      <c r="N252" s="27" t="s">
        <v>197</v>
      </c>
      <c r="O252" s="27"/>
      <c r="P252" s="27" t="str">
        <f aca="false">A252&amp;"|"&amp;N252</f>
        <v>NURSE-02|normal</v>
      </c>
    </row>
    <row r="253" customFormat="false" ht="15" hidden="false" customHeight="true" outlineLevel="0" collapsed="false">
      <c r="A253" s="27" t="s">
        <v>73</v>
      </c>
      <c r="B253" s="41" t="n">
        <v>46303.309375</v>
      </c>
      <c r="C253" s="27" t="s">
        <v>195</v>
      </c>
      <c r="D253" s="27" t="n">
        <v>48.6</v>
      </c>
      <c r="E253" s="27" t="n">
        <v>17.6</v>
      </c>
      <c r="F253" s="27" t="n">
        <v>35.8</v>
      </c>
      <c r="G253" s="27" t="n">
        <v>33.4</v>
      </c>
      <c r="H253" s="27" t="s">
        <v>199</v>
      </c>
      <c r="I253" s="42" t="n">
        <f aca="false">(D253-INDEX('Cohort Summary'!$D$5:$D$14,MATCH($A253,'Cohort Summary'!$A$5:$A$14,0)))/INDEX('Cohort Summary'!$E$5:$E$14,MATCH($A253,'Cohort Summary'!$A$5:$A$14,0))</f>
        <v>1.46932515337423</v>
      </c>
      <c r="J253" s="42" t="n">
        <f aca="false">(E253-INDEX('Cohort Summary'!$F$5:$F$14,MATCH($A253,'Cohort Summary'!$A$5:$A$14,0)))/INDEX('Cohort Summary'!$G$5:$G$14,MATCH($A253,'Cohort Summary'!$A$5:$A$14,0))</f>
        <v>-0.683962264150943</v>
      </c>
      <c r="K253" s="42" t="n">
        <f aca="false">(F253-INDEX('Cohort Summary'!$H$5:$H$14,MATCH($A253,'Cohort Summary'!$A$5:$A$14,0)))/INDEX('Cohort Summary'!$I$5:$I$14,MATCH($A253,'Cohort Summary'!$A$5:$A$14,0))</f>
        <v>1.13945578231292</v>
      </c>
      <c r="L253" s="42" t="n">
        <f aca="false">(G253-INDEX('Cohort Summary'!$J$5:$J$14,MATCH($A253,'Cohort Summary'!$A$5:$A$14,0)))/INDEX('Cohort Summary'!$K$5:$K$14,MATCH($A253,'Cohort Summary'!$A$5:$A$14,0))</f>
        <v>0.890625</v>
      </c>
      <c r="M253" s="42" t="n">
        <f aca="false">MAX(I253:K253)</f>
        <v>1.46932515337423</v>
      </c>
      <c r="N253" s="27" t="s">
        <v>197</v>
      </c>
      <c r="O253" s="27"/>
      <c r="P253" s="27" t="str">
        <f aca="false">A253&amp;"|"&amp;N253</f>
        <v>NURSE-02|normal</v>
      </c>
    </row>
    <row r="254" customFormat="false" ht="15" hidden="false" customHeight="true" outlineLevel="0" collapsed="false">
      <c r="A254" s="27" t="s">
        <v>73</v>
      </c>
      <c r="B254" s="41" t="n">
        <v>46303.3097222222</v>
      </c>
      <c r="C254" s="27" t="s">
        <v>195</v>
      </c>
      <c r="D254" s="27" t="n">
        <v>45.2</v>
      </c>
      <c r="E254" s="27" t="n">
        <v>16.5</v>
      </c>
      <c r="F254" s="27" t="n">
        <v>36.1</v>
      </c>
      <c r="G254" s="27" t="n">
        <v>32.1</v>
      </c>
      <c r="H254" s="27" t="s">
        <v>198</v>
      </c>
      <c r="I254" s="42" t="n">
        <f aca="false">(D254-INDEX('Cohort Summary'!$D$5:$D$14,MATCH($A254,'Cohort Summary'!$A$5:$A$14,0)))/INDEX('Cohort Summary'!$E$5:$E$14,MATCH($A254,'Cohort Summary'!$A$5:$A$14,0))</f>
        <v>0.42638036809816</v>
      </c>
      <c r="J254" s="42" t="n">
        <f aca="false">(E254-INDEX('Cohort Summary'!$F$5:$F$14,MATCH($A254,'Cohort Summary'!$A$5:$A$14,0)))/INDEX('Cohort Summary'!$G$5:$G$14,MATCH($A254,'Cohort Summary'!$A$5:$A$14,0))</f>
        <v>-1.20283018867925</v>
      </c>
      <c r="K254" s="42" t="n">
        <f aca="false">(F254-INDEX('Cohort Summary'!$H$5:$H$14,MATCH($A254,'Cohort Summary'!$A$5:$A$14,0)))/INDEX('Cohort Summary'!$I$5:$I$14,MATCH($A254,'Cohort Summary'!$A$5:$A$14,0))</f>
        <v>1.24149659863946</v>
      </c>
      <c r="L254" s="42" t="n">
        <f aca="false">(G254-INDEX('Cohort Summary'!$J$5:$J$14,MATCH($A254,'Cohort Summary'!$A$5:$A$14,0)))/INDEX('Cohort Summary'!$K$5:$K$14,MATCH($A254,'Cohort Summary'!$A$5:$A$14,0))</f>
        <v>-1.140625</v>
      </c>
      <c r="M254" s="42" t="n">
        <f aca="false">MAX(I254:K254)</f>
        <v>1.24149659863946</v>
      </c>
      <c r="N254" s="27" t="s">
        <v>197</v>
      </c>
      <c r="O254" s="27"/>
      <c r="P254" s="27" t="str">
        <f aca="false">A254&amp;"|"&amp;N254</f>
        <v>NURSE-02|normal</v>
      </c>
    </row>
    <row r="255" customFormat="false" ht="15" hidden="false" customHeight="true" outlineLevel="0" collapsed="false">
      <c r="A255" s="27" t="s">
        <v>73</v>
      </c>
      <c r="B255" s="41" t="n">
        <v>46303.3100694444</v>
      </c>
      <c r="C255" s="27" t="s">
        <v>195</v>
      </c>
      <c r="D255" s="27" t="n">
        <v>40.1</v>
      </c>
      <c r="E255" s="27" t="n">
        <v>20.4</v>
      </c>
      <c r="F255" s="27" t="n">
        <v>28.6</v>
      </c>
      <c r="G255" s="27" t="n">
        <v>33.8</v>
      </c>
      <c r="H255" s="27" t="s">
        <v>196</v>
      </c>
      <c r="I255" s="42" t="n">
        <f aca="false">(D255-INDEX('Cohort Summary'!$D$5:$D$14,MATCH($A255,'Cohort Summary'!$A$5:$A$14,0)))/INDEX('Cohort Summary'!$E$5:$E$14,MATCH($A255,'Cohort Summary'!$A$5:$A$14,0))</f>
        <v>-1.13803680981595</v>
      </c>
      <c r="J255" s="42" t="n">
        <f aca="false">(E255-INDEX('Cohort Summary'!$F$5:$F$14,MATCH($A255,'Cohort Summary'!$A$5:$A$14,0)))/INDEX('Cohort Summary'!$G$5:$G$14,MATCH($A255,'Cohort Summary'!$A$5:$A$14,0))</f>
        <v>0.636792452830188</v>
      </c>
      <c r="K255" s="42" t="n">
        <f aca="false">(F255-INDEX('Cohort Summary'!$H$5:$H$14,MATCH($A255,'Cohort Summary'!$A$5:$A$14,0)))/INDEX('Cohort Summary'!$I$5:$I$14,MATCH($A255,'Cohort Summary'!$A$5:$A$14,0))</f>
        <v>-1.30952380952381</v>
      </c>
      <c r="L255" s="42" t="n">
        <f aca="false">(G255-INDEX('Cohort Summary'!$J$5:$J$14,MATCH($A255,'Cohort Summary'!$A$5:$A$14,0)))/INDEX('Cohort Summary'!$K$5:$K$14,MATCH($A255,'Cohort Summary'!$A$5:$A$14,0))</f>
        <v>1.515625</v>
      </c>
      <c r="M255" s="42" t="n">
        <f aca="false">MAX(I255:K255)</f>
        <v>0.636792452830188</v>
      </c>
      <c r="N255" s="27" t="s">
        <v>197</v>
      </c>
      <c r="O255" s="27"/>
      <c r="P255" s="27" t="str">
        <f aca="false">A255&amp;"|"&amp;N255</f>
        <v>NURSE-02|normal</v>
      </c>
    </row>
    <row r="256" customFormat="false" ht="15" hidden="false" customHeight="true" outlineLevel="0" collapsed="false">
      <c r="A256" s="27" t="s">
        <v>73</v>
      </c>
      <c r="B256" s="41" t="n">
        <v>46303.3104166667</v>
      </c>
      <c r="C256" s="27" t="s">
        <v>195</v>
      </c>
      <c r="D256" s="27" t="n">
        <v>39.3</v>
      </c>
      <c r="E256" s="27" t="n">
        <v>16.3</v>
      </c>
      <c r="F256" s="27" t="n">
        <v>33.9</v>
      </c>
      <c r="G256" s="27" t="n">
        <v>33.1</v>
      </c>
      <c r="H256" s="27" t="s">
        <v>196</v>
      </c>
      <c r="I256" s="42" t="n">
        <f aca="false">(D256-INDEX('Cohort Summary'!$D$5:$D$14,MATCH($A256,'Cohort Summary'!$A$5:$A$14,0)))/INDEX('Cohort Summary'!$E$5:$E$14,MATCH($A256,'Cohort Summary'!$A$5:$A$14,0))</f>
        <v>-1.38343558282209</v>
      </c>
      <c r="J256" s="42" t="n">
        <f aca="false">(E256-INDEX('Cohort Summary'!$F$5:$F$14,MATCH($A256,'Cohort Summary'!$A$5:$A$14,0)))/INDEX('Cohort Summary'!$G$5:$G$14,MATCH($A256,'Cohort Summary'!$A$5:$A$14,0))</f>
        <v>-1.29716981132075</v>
      </c>
      <c r="K256" s="42" t="n">
        <f aca="false">(F256-INDEX('Cohort Summary'!$H$5:$H$14,MATCH($A256,'Cohort Summary'!$A$5:$A$14,0)))/INDEX('Cohort Summary'!$I$5:$I$14,MATCH($A256,'Cohort Summary'!$A$5:$A$14,0))</f>
        <v>0.493197278911563</v>
      </c>
      <c r="L256" s="42" t="n">
        <f aca="false">(G256-INDEX('Cohort Summary'!$J$5:$J$14,MATCH($A256,'Cohort Summary'!$A$5:$A$14,0)))/INDEX('Cohort Summary'!$K$5:$K$14,MATCH($A256,'Cohort Summary'!$A$5:$A$14,0))</f>
        <v>0.421875000000005</v>
      </c>
      <c r="M256" s="42" t="n">
        <f aca="false">MAX(I256:K256)</f>
        <v>0.493197278911563</v>
      </c>
      <c r="N256" s="27" t="s">
        <v>197</v>
      </c>
      <c r="O256" s="27"/>
      <c r="P256" s="27" t="str">
        <f aca="false">A256&amp;"|"&amp;N256</f>
        <v>NURSE-02|normal</v>
      </c>
    </row>
    <row r="257" customFormat="false" ht="15" hidden="false" customHeight="true" outlineLevel="0" collapsed="false">
      <c r="A257" s="27" t="s">
        <v>73</v>
      </c>
      <c r="B257" s="41" t="n">
        <v>46303.3107638889</v>
      </c>
      <c r="C257" s="27" t="s">
        <v>195</v>
      </c>
      <c r="D257" s="27" t="n">
        <v>39.7</v>
      </c>
      <c r="E257" s="27" t="n">
        <v>16.3</v>
      </c>
      <c r="F257" s="27" t="n">
        <v>35.6</v>
      </c>
      <c r="G257" s="27" t="n">
        <v>33.3</v>
      </c>
      <c r="H257" s="27" t="s">
        <v>198</v>
      </c>
      <c r="I257" s="42" t="n">
        <f aca="false">(D257-INDEX('Cohort Summary'!$D$5:$D$14,MATCH($A257,'Cohort Summary'!$A$5:$A$14,0)))/INDEX('Cohort Summary'!$E$5:$E$14,MATCH($A257,'Cohort Summary'!$A$5:$A$14,0))</f>
        <v>-1.26073619631902</v>
      </c>
      <c r="J257" s="42" t="n">
        <f aca="false">(E257-INDEX('Cohort Summary'!$F$5:$F$14,MATCH($A257,'Cohort Summary'!$A$5:$A$14,0)))/INDEX('Cohort Summary'!$G$5:$G$14,MATCH($A257,'Cohort Summary'!$A$5:$A$14,0))</f>
        <v>-1.29716981132075</v>
      </c>
      <c r="K257" s="42" t="n">
        <f aca="false">(F257-INDEX('Cohort Summary'!$H$5:$H$14,MATCH($A257,'Cohort Summary'!$A$5:$A$14,0)))/INDEX('Cohort Summary'!$I$5:$I$14,MATCH($A257,'Cohort Summary'!$A$5:$A$14,0))</f>
        <v>1.07142857142857</v>
      </c>
      <c r="L257" s="42" t="n">
        <f aca="false">(G257-INDEX('Cohort Summary'!$J$5:$J$14,MATCH($A257,'Cohort Summary'!$A$5:$A$14,0)))/INDEX('Cohort Summary'!$K$5:$K$14,MATCH($A257,'Cohort Summary'!$A$5:$A$14,0))</f>
        <v>0.734374999999998</v>
      </c>
      <c r="M257" s="42" t="n">
        <f aca="false">MAX(I257:K257)</f>
        <v>1.07142857142857</v>
      </c>
      <c r="N257" s="27" t="s">
        <v>197</v>
      </c>
      <c r="O257" s="27"/>
      <c r="P257" s="27" t="str">
        <f aca="false">A257&amp;"|"&amp;N257</f>
        <v>NURSE-02|normal</v>
      </c>
    </row>
    <row r="258" customFormat="false" ht="15" hidden="false" customHeight="true" outlineLevel="0" collapsed="false">
      <c r="A258" s="27" t="s">
        <v>73</v>
      </c>
      <c r="B258" s="41" t="n">
        <v>46303.3111111111</v>
      </c>
      <c r="C258" s="27" t="s">
        <v>195</v>
      </c>
      <c r="D258" s="27" t="n">
        <v>47.2</v>
      </c>
      <c r="E258" s="27" t="n">
        <v>21.7</v>
      </c>
      <c r="F258" s="27" t="n">
        <v>35.9</v>
      </c>
      <c r="G258" s="27" t="n">
        <v>31.9</v>
      </c>
      <c r="H258" s="27" t="s">
        <v>196</v>
      </c>
      <c r="I258" s="42" t="n">
        <f aca="false">(D258-INDEX('Cohort Summary'!$D$5:$D$14,MATCH($A258,'Cohort Summary'!$A$5:$A$14,0)))/INDEX('Cohort Summary'!$E$5:$E$14,MATCH($A258,'Cohort Summary'!$A$5:$A$14,0))</f>
        <v>1.0398773006135</v>
      </c>
      <c r="J258" s="42" t="n">
        <f aca="false">(E258-INDEX('Cohort Summary'!$F$5:$F$14,MATCH($A258,'Cohort Summary'!$A$5:$A$14,0)))/INDEX('Cohort Summary'!$G$5:$G$14,MATCH($A258,'Cohort Summary'!$A$5:$A$14,0))</f>
        <v>1.25</v>
      </c>
      <c r="K258" s="42" t="n">
        <f aca="false">(F258-INDEX('Cohort Summary'!$H$5:$H$14,MATCH($A258,'Cohort Summary'!$A$5:$A$14,0)))/INDEX('Cohort Summary'!$I$5:$I$14,MATCH($A258,'Cohort Summary'!$A$5:$A$14,0))</f>
        <v>1.1734693877551</v>
      </c>
      <c r="L258" s="42" t="n">
        <f aca="false">(G258-INDEX('Cohort Summary'!$J$5:$J$14,MATCH($A258,'Cohort Summary'!$A$5:$A$14,0)))/INDEX('Cohort Summary'!$K$5:$K$14,MATCH($A258,'Cohort Summary'!$A$5:$A$14,0))</f>
        <v>-1.453125</v>
      </c>
      <c r="M258" s="42" t="n">
        <f aca="false">MAX(I258:K258)</f>
        <v>1.25</v>
      </c>
      <c r="N258" s="27" t="s">
        <v>197</v>
      </c>
      <c r="O258" s="27"/>
      <c r="P258" s="27" t="str">
        <f aca="false">A258&amp;"|"&amp;N258</f>
        <v>NURSE-02|normal</v>
      </c>
    </row>
    <row r="259" customFormat="false" ht="15" hidden="false" customHeight="true" outlineLevel="0" collapsed="false">
      <c r="A259" s="27" t="s">
        <v>73</v>
      </c>
      <c r="B259" s="41" t="n">
        <v>46303.3114583333</v>
      </c>
      <c r="C259" s="27" t="s">
        <v>195</v>
      </c>
      <c r="D259" s="27" t="n">
        <v>48.4</v>
      </c>
      <c r="E259" s="27" t="n">
        <v>16.7</v>
      </c>
      <c r="F259" s="27" t="n">
        <v>29.1</v>
      </c>
      <c r="G259" s="27" t="n">
        <v>32</v>
      </c>
      <c r="H259" s="27" t="s">
        <v>198</v>
      </c>
      <c r="I259" s="42" t="n">
        <f aca="false">(D259-INDEX('Cohort Summary'!$D$5:$D$14,MATCH($A259,'Cohort Summary'!$A$5:$A$14,0)))/INDEX('Cohort Summary'!$E$5:$E$14,MATCH($A259,'Cohort Summary'!$A$5:$A$14,0))</f>
        <v>1.4079754601227</v>
      </c>
      <c r="J259" s="42" t="n">
        <f aca="false">(E259-INDEX('Cohort Summary'!$F$5:$F$14,MATCH($A259,'Cohort Summary'!$A$5:$A$14,0)))/INDEX('Cohort Summary'!$G$5:$G$14,MATCH($A259,'Cohort Summary'!$A$5:$A$14,0))</f>
        <v>-1.10849056603774</v>
      </c>
      <c r="K259" s="42" t="n">
        <f aca="false">(F259-INDEX('Cohort Summary'!$H$5:$H$14,MATCH($A259,'Cohort Summary'!$A$5:$A$14,0)))/INDEX('Cohort Summary'!$I$5:$I$14,MATCH($A259,'Cohort Summary'!$A$5:$A$14,0))</f>
        <v>-1.13945578231293</v>
      </c>
      <c r="L259" s="42" t="n">
        <f aca="false">(G259-INDEX('Cohort Summary'!$J$5:$J$14,MATCH($A259,'Cohort Summary'!$A$5:$A$14,0)))/INDEX('Cohort Summary'!$K$5:$K$14,MATCH($A259,'Cohort Summary'!$A$5:$A$14,0))</f>
        <v>-1.296875</v>
      </c>
      <c r="M259" s="42" t="n">
        <f aca="false">MAX(I259:K259)</f>
        <v>1.4079754601227</v>
      </c>
      <c r="N259" s="27" t="s">
        <v>197</v>
      </c>
      <c r="O259" s="27"/>
      <c r="P259" s="27" t="str">
        <f aca="false">A259&amp;"|"&amp;N259</f>
        <v>NURSE-02|normal</v>
      </c>
    </row>
    <row r="260" customFormat="false" ht="15" hidden="false" customHeight="true" outlineLevel="0" collapsed="false">
      <c r="A260" s="27" t="s">
        <v>73</v>
      </c>
      <c r="B260" s="41" t="n">
        <v>46303.3118055556</v>
      </c>
      <c r="C260" s="27" t="s">
        <v>195</v>
      </c>
      <c r="D260" s="27" t="n">
        <v>48.5</v>
      </c>
      <c r="E260" s="27" t="n">
        <v>22.4</v>
      </c>
      <c r="F260" s="27" t="n">
        <v>34.5</v>
      </c>
      <c r="G260" s="27" t="n">
        <v>32</v>
      </c>
      <c r="H260" s="27" t="s">
        <v>196</v>
      </c>
      <c r="I260" s="42" t="n">
        <f aca="false">(D260-INDEX('Cohort Summary'!$D$5:$D$14,MATCH($A260,'Cohort Summary'!$A$5:$A$14,0)))/INDEX('Cohort Summary'!$E$5:$E$14,MATCH($A260,'Cohort Summary'!$A$5:$A$14,0))</f>
        <v>1.43865030674847</v>
      </c>
      <c r="J260" s="42" t="n">
        <f aca="false">(E260-INDEX('Cohort Summary'!$F$5:$F$14,MATCH($A260,'Cohort Summary'!$A$5:$A$14,0)))/INDEX('Cohort Summary'!$G$5:$G$14,MATCH($A260,'Cohort Summary'!$A$5:$A$14,0))</f>
        <v>1.58018867924528</v>
      </c>
      <c r="K260" s="42" t="n">
        <f aca="false">(F260-INDEX('Cohort Summary'!$H$5:$H$14,MATCH($A260,'Cohort Summary'!$A$5:$A$14,0)))/INDEX('Cohort Summary'!$I$5:$I$14,MATCH($A260,'Cohort Summary'!$A$5:$A$14,0))</f>
        <v>0.697278911564625</v>
      </c>
      <c r="L260" s="42" t="n">
        <f aca="false">(G260-INDEX('Cohort Summary'!$J$5:$J$14,MATCH($A260,'Cohort Summary'!$A$5:$A$14,0)))/INDEX('Cohort Summary'!$K$5:$K$14,MATCH($A260,'Cohort Summary'!$A$5:$A$14,0))</f>
        <v>-1.296875</v>
      </c>
      <c r="M260" s="42" t="n">
        <f aca="false">MAX(I260:K260)</f>
        <v>1.58018867924528</v>
      </c>
      <c r="N260" s="27" t="s">
        <v>197</v>
      </c>
      <c r="O260" s="27"/>
      <c r="P260" s="27" t="str">
        <f aca="false">A260&amp;"|"&amp;N260</f>
        <v>NURSE-02|normal</v>
      </c>
    </row>
    <row r="261" customFormat="false" ht="15" hidden="false" customHeight="true" outlineLevel="0" collapsed="false">
      <c r="A261" s="27" t="s">
        <v>73</v>
      </c>
      <c r="B261" s="41" t="n">
        <v>46303.3121527778</v>
      </c>
      <c r="C261" s="27" t="s">
        <v>195</v>
      </c>
      <c r="D261" s="27" t="n">
        <v>45.3</v>
      </c>
      <c r="E261" s="27" t="n">
        <v>19.3</v>
      </c>
      <c r="F261" s="27" t="n">
        <v>28.3</v>
      </c>
      <c r="G261" s="27" t="n">
        <v>33.4</v>
      </c>
      <c r="H261" s="27" t="s">
        <v>196</v>
      </c>
      <c r="I261" s="42" t="n">
        <f aca="false">(D261-INDEX('Cohort Summary'!$D$5:$D$14,MATCH($A261,'Cohort Summary'!$A$5:$A$14,0)))/INDEX('Cohort Summary'!$E$5:$E$14,MATCH($A261,'Cohort Summary'!$A$5:$A$14,0))</f>
        <v>0.457055214723925</v>
      </c>
      <c r="J261" s="42" t="n">
        <f aca="false">(E261-INDEX('Cohort Summary'!$F$5:$F$14,MATCH($A261,'Cohort Summary'!$A$5:$A$14,0)))/INDEX('Cohort Summary'!$G$5:$G$14,MATCH($A261,'Cohort Summary'!$A$5:$A$14,0))</f>
        <v>0.117924528301887</v>
      </c>
      <c r="K261" s="42" t="n">
        <f aca="false">(F261-INDEX('Cohort Summary'!$H$5:$H$14,MATCH($A261,'Cohort Summary'!$A$5:$A$14,0)))/INDEX('Cohort Summary'!$I$5:$I$14,MATCH($A261,'Cohort Summary'!$A$5:$A$14,0))</f>
        <v>-1.41156462585034</v>
      </c>
      <c r="L261" s="42" t="n">
        <f aca="false">(G261-INDEX('Cohort Summary'!$J$5:$J$14,MATCH($A261,'Cohort Summary'!$A$5:$A$14,0)))/INDEX('Cohort Summary'!$K$5:$K$14,MATCH($A261,'Cohort Summary'!$A$5:$A$14,0))</f>
        <v>0.890625</v>
      </c>
      <c r="M261" s="42" t="n">
        <f aca="false">MAX(I261:K261)</f>
        <v>0.457055214723925</v>
      </c>
      <c r="N261" s="27" t="s">
        <v>197</v>
      </c>
      <c r="O261" s="27"/>
      <c r="P261" s="27" t="str">
        <f aca="false">A261&amp;"|"&amp;N261</f>
        <v>NURSE-02|normal</v>
      </c>
    </row>
    <row r="262" customFormat="false" ht="15" hidden="false" customHeight="true" outlineLevel="0" collapsed="false">
      <c r="A262" s="27" t="s">
        <v>73</v>
      </c>
      <c r="B262" s="41" t="n">
        <v>46303.3125</v>
      </c>
      <c r="C262" s="27" t="s">
        <v>200</v>
      </c>
      <c r="D262" s="27" t="n">
        <v>41</v>
      </c>
      <c r="E262" s="27" t="n">
        <v>18.2</v>
      </c>
      <c r="F262" s="27" t="n">
        <v>31.2</v>
      </c>
      <c r="G262" s="27" t="n">
        <v>31.8</v>
      </c>
      <c r="H262" s="27" t="s">
        <v>199</v>
      </c>
      <c r="I262" s="42" t="n">
        <f aca="false">(D262-INDEX('Cohort Summary'!$D$5:$D$14,MATCH($A262,'Cohort Summary'!$A$5:$A$14,0)))/INDEX('Cohort Summary'!$E$5:$E$14,MATCH($A262,'Cohort Summary'!$A$5:$A$14,0))</f>
        <v>-0.86196319018405</v>
      </c>
      <c r="J262" s="42" t="n">
        <f aca="false">(E262-INDEX('Cohort Summary'!$F$5:$F$14,MATCH($A262,'Cohort Summary'!$A$5:$A$14,0)))/INDEX('Cohort Summary'!$G$5:$G$14,MATCH($A262,'Cohort Summary'!$A$5:$A$14,0))</f>
        <v>-0.400943396226416</v>
      </c>
      <c r="K262" s="42" t="n">
        <f aca="false">(F262-INDEX('Cohort Summary'!$H$5:$H$14,MATCH($A262,'Cohort Summary'!$A$5:$A$14,0)))/INDEX('Cohort Summary'!$I$5:$I$14,MATCH($A262,'Cohort Summary'!$A$5:$A$14,0))</f>
        <v>-0.425170068027212</v>
      </c>
      <c r="L262" s="42" t="n">
        <f aca="false">(G262-INDEX('Cohort Summary'!$J$5:$J$14,MATCH($A262,'Cohort Summary'!$A$5:$A$14,0)))/INDEX('Cohort Summary'!$K$5:$K$14,MATCH($A262,'Cohort Summary'!$A$5:$A$14,0))</f>
        <v>-1.609375</v>
      </c>
      <c r="M262" s="42" t="n">
        <f aca="false">MAX(I262:K262)</f>
        <v>-0.400943396226416</v>
      </c>
      <c r="N262" s="27" t="s">
        <v>197</v>
      </c>
      <c r="O262" s="27"/>
      <c r="P262" s="27" t="str">
        <f aca="false">A262&amp;"|"&amp;N262</f>
        <v>NURSE-02|normal</v>
      </c>
    </row>
    <row r="263" customFormat="false" ht="15" hidden="false" customHeight="true" outlineLevel="0" collapsed="false">
      <c r="A263" s="27" t="s">
        <v>73</v>
      </c>
      <c r="B263" s="41" t="n">
        <v>46303.3128472222</v>
      </c>
      <c r="C263" s="27" t="s">
        <v>200</v>
      </c>
      <c r="D263" s="27" t="n">
        <v>48.3</v>
      </c>
      <c r="E263" s="27" t="n">
        <v>16.3</v>
      </c>
      <c r="F263" s="27" t="n">
        <v>34.6</v>
      </c>
      <c r="G263" s="27" t="n">
        <v>33.6</v>
      </c>
      <c r="H263" s="27" t="s">
        <v>196</v>
      </c>
      <c r="I263" s="42" t="n">
        <f aca="false">(D263-INDEX('Cohort Summary'!$D$5:$D$14,MATCH($A263,'Cohort Summary'!$A$5:$A$14,0)))/INDEX('Cohort Summary'!$E$5:$E$14,MATCH($A263,'Cohort Summary'!$A$5:$A$14,0))</f>
        <v>1.37730061349693</v>
      </c>
      <c r="J263" s="42" t="n">
        <f aca="false">(E263-INDEX('Cohort Summary'!$F$5:$F$14,MATCH($A263,'Cohort Summary'!$A$5:$A$14,0)))/INDEX('Cohort Summary'!$G$5:$G$14,MATCH($A263,'Cohort Summary'!$A$5:$A$14,0))</f>
        <v>-1.29716981132075</v>
      </c>
      <c r="K263" s="42" t="n">
        <f aca="false">(F263-INDEX('Cohort Summary'!$H$5:$H$14,MATCH($A263,'Cohort Summary'!$A$5:$A$14,0)))/INDEX('Cohort Summary'!$I$5:$I$14,MATCH($A263,'Cohort Summary'!$A$5:$A$14,0))</f>
        <v>0.731292517006802</v>
      </c>
      <c r="L263" s="42" t="n">
        <f aca="false">(G263-INDEX('Cohort Summary'!$J$5:$J$14,MATCH($A263,'Cohort Summary'!$A$5:$A$14,0)))/INDEX('Cohort Summary'!$K$5:$K$14,MATCH($A263,'Cohort Summary'!$A$5:$A$14,0))</f>
        <v>1.203125</v>
      </c>
      <c r="M263" s="42" t="n">
        <f aca="false">MAX(I263:K263)</f>
        <v>1.37730061349693</v>
      </c>
      <c r="N263" s="27" t="s">
        <v>197</v>
      </c>
      <c r="O263" s="27"/>
      <c r="P263" s="27" t="str">
        <f aca="false">A263&amp;"|"&amp;N263</f>
        <v>NURSE-02|normal</v>
      </c>
    </row>
    <row r="264" customFormat="false" ht="15" hidden="false" customHeight="true" outlineLevel="0" collapsed="false">
      <c r="A264" s="27" t="s">
        <v>73</v>
      </c>
      <c r="B264" s="41" t="n">
        <v>46303.3131944445</v>
      </c>
      <c r="C264" s="27" t="s">
        <v>200</v>
      </c>
      <c r="D264" s="27" t="n">
        <v>44</v>
      </c>
      <c r="E264" s="27" t="n">
        <v>22</v>
      </c>
      <c r="F264" s="27" t="n">
        <v>33.2</v>
      </c>
      <c r="G264" s="27" t="n">
        <v>31.9</v>
      </c>
      <c r="H264" s="27" t="s">
        <v>199</v>
      </c>
      <c r="I264" s="42" t="n">
        <f aca="false">(D264-INDEX('Cohort Summary'!$D$5:$D$14,MATCH($A264,'Cohort Summary'!$A$5:$A$14,0)))/INDEX('Cohort Summary'!$E$5:$E$14,MATCH($A264,'Cohort Summary'!$A$5:$A$14,0))</f>
        <v>0.0582822085889564</v>
      </c>
      <c r="J264" s="42" t="n">
        <f aca="false">(E264-INDEX('Cohort Summary'!$F$5:$F$14,MATCH($A264,'Cohort Summary'!$A$5:$A$14,0)))/INDEX('Cohort Summary'!$G$5:$G$14,MATCH($A264,'Cohort Summary'!$A$5:$A$14,0))</f>
        <v>1.39150943396226</v>
      </c>
      <c r="K264" s="42" t="n">
        <f aca="false">(F264-INDEX('Cohort Summary'!$H$5:$H$14,MATCH($A264,'Cohort Summary'!$A$5:$A$14,0)))/INDEX('Cohort Summary'!$I$5:$I$14,MATCH($A264,'Cohort Summary'!$A$5:$A$14,0))</f>
        <v>0.255102040816327</v>
      </c>
      <c r="L264" s="42" t="n">
        <f aca="false">(G264-INDEX('Cohort Summary'!$J$5:$J$14,MATCH($A264,'Cohort Summary'!$A$5:$A$14,0)))/INDEX('Cohort Summary'!$K$5:$K$14,MATCH($A264,'Cohort Summary'!$A$5:$A$14,0))</f>
        <v>-1.453125</v>
      </c>
      <c r="M264" s="42" t="n">
        <f aca="false">MAX(I264:K264)</f>
        <v>1.39150943396226</v>
      </c>
      <c r="N264" s="27" t="s">
        <v>197</v>
      </c>
      <c r="O264" s="27"/>
      <c r="P264" s="27" t="str">
        <f aca="false">A264&amp;"|"&amp;N264</f>
        <v>NURSE-02|normal</v>
      </c>
    </row>
    <row r="265" customFormat="false" ht="15" hidden="false" customHeight="true" outlineLevel="0" collapsed="false">
      <c r="A265" s="27" t="s">
        <v>73</v>
      </c>
      <c r="B265" s="41" t="n">
        <v>46303.3135416667</v>
      </c>
      <c r="C265" s="27" t="s">
        <v>200</v>
      </c>
      <c r="D265" s="27" t="n">
        <v>39.3</v>
      </c>
      <c r="E265" s="27" t="n">
        <v>19.6</v>
      </c>
      <c r="F265" s="27" t="n">
        <v>28</v>
      </c>
      <c r="G265" s="27" t="n">
        <v>32.7</v>
      </c>
      <c r="H265" s="27" t="s">
        <v>198</v>
      </c>
      <c r="I265" s="42" t="n">
        <f aca="false">(D265-INDEX('Cohort Summary'!$D$5:$D$14,MATCH($A265,'Cohort Summary'!$A$5:$A$14,0)))/INDEX('Cohort Summary'!$E$5:$E$14,MATCH($A265,'Cohort Summary'!$A$5:$A$14,0))</f>
        <v>-1.38343558282209</v>
      </c>
      <c r="J265" s="42" t="n">
        <f aca="false">(E265-INDEX('Cohort Summary'!$F$5:$F$14,MATCH($A265,'Cohort Summary'!$A$5:$A$14,0)))/INDEX('Cohort Summary'!$G$5:$G$14,MATCH($A265,'Cohort Summary'!$A$5:$A$14,0))</f>
        <v>0.259433962264151</v>
      </c>
      <c r="K265" s="42" t="n">
        <f aca="false">(F265-INDEX('Cohort Summary'!$H$5:$H$14,MATCH($A265,'Cohort Summary'!$A$5:$A$14,0)))/INDEX('Cohort Summary'!$I$5:$I$14,MATCH($A265,'Cohort Summary'!$A$5:$A$14,0))</f>
        <v>-1.51360544217687</v>
      </c>
      <c r="L265" s="42" t="n">
        <f aca="false">(G265-INDEX('Cohort Summary'!$J$5:$J$14,MATCH($A265,'Cohort Summary'!$A$5:$A$14,0)))/INDEX('Cohort Summary'!$K$5:$K$14,MATCH($A265,'Cohort Summary'!$A$5:$A$14,0))</f>
        <v>-0.203124999999993</v>
      </c>
      <c r="M265" s="42" t="n">
        <f aca="false">MAX(I265:K265)</f>
        <v>0.259433962264151</v>
      </c>
      <c r="N265" s="27" t="s">
        <v>197</v>
      </c>
      <c r="O265" s="27"/>
      <c r="P265" s="27" t="str">
        <f aca="false">A265&amp;"|"&amp;N265</f>
        <v>NURSE-02|normal</v>
      </c>
    </row>
    <row r="266" customFormat="false" ht="15" hidden="false" customHeight="true" outlineLevel="0" collapsed="false">
      <c r="A266" s="27" t="s">
        <v>73</v>
      </c>
      <c r="B266" s="41" t="n">
        <v>46303.3138888889</v>
      </c>
      <c r="C266" s="27" t="s">
        <v>200</v>
      </c>
      <c r="D266" s="27" t="n">
        <v>44.4</v>
      </c>
      <c r="E266" s="27" t="n">
        <v>17.5</v>
      </c>
      <c r="F266" s="27" t="n">
        <v>35.6</v>
      </c>
      <c r="G266" s="27" t="n">
        <v>32</v>
      </c>
      <c r="H266" s="27" t="s">
        <v>199</v>
      </c>
      <c r="I266" s="42" t="n">
        <f aca="false">(D266-INDEX('Cohort Summary'!$D$5:$D$14,MATCH($A266,'Cohort Summary'!$A$5:$A$14,0)))/INDEX('Cohort Summary'!$E$5:$E$14,MATCH($A266,'Cohort Summary'!$A$5:$A$14,0))</f>
        <v>0.180981595092023</v>
      </c>
      <c r="J266" s="42" t="n">
        <f aca="false">(E266-INDEX('Cohort Summary'!$F$5:$F$14,MATCH($A266,'Cohort Summary'!$A$5:$A$14,0)))/INDEX('Cohort Summary'!$G$5:$G$14,MATCH($A266,'Cohort Summary'!$A$5:$A$14,0))</f>
        <v>-0.731132075471699</v>
      </c>
      <c r="K266" s="42" t="n">
        <f aca="false">(F266-INDEX('Cohort Summary'!$H$5:$H$14,MATCH($A266,'Cohort Summary'!$A$5:$A$14,0)))/INDEX('Cohort Summary'!$I$5:$I$14,MATCH($A266,'Cohort Summary'!$A$5:$A$14,0))</f>
        <v>1.07142857142857</v>
      </c>
      <c r="L266" s="42" t="n">
        <f aca="false">(G266-INDEX('Cohort Summary'!$J$5:$J$14,MATCH($A266,'Cohort Summary'!$A$5:$A$14,0)))/INDEX('Cohort Summary'!$K$5:$K$14,MATCH($A266,'Cohort Summary'!$A$5:$A$14,0))</f>
        <v>-1.296875</v>
      </c>
      <c r="M266" s="42" t="n">
        <f aca="false">MAX(I266:K266)</f>
        <v>1.07142857142857</v>
      </c>
      <c r="N266" s="27" t="s">
        <v>197</v>
      </c>
      <c r="O266" s="27"/>
      <c r="P266" s="27" t="str">
        <f aca="false">A266&amp;"|"&amp;N266</f>
        <v>NURSE-02|normal</v>
      </c>
    </row>
    <row r="267" customFormat="false" ht="15" hidden="false" customHeight="true" outlineLevel="0" collapsed="false">
      <c r="A267" s="27" t="s">
        <v>73</v>
      </c>
      <c r="B267" s="41" t="n">
        <v>46303.3142361111</v>
      </c>
      <c r="C267" s="27" t="s">
        <v>200</v>
      </c>
      <c r="D267" s="27" t="n">
        <v>40.7</v>
      </c>
      <c r="E267" s="27" t="n">
        <v>16</v>
      </c>
      <c r="F267" s="27" t="n">
        <v>29</v>
      </c>
      <c r="G267" s="27" t="n">
        <v>33.3</v>
      </c>
      <c r="H267" s="27" t="s">
        <v>198</v>
      </c>
      <c r="I267" s="42" t="n">
        <f aca="false">(D267-INDEX('Cohort Summary'!$D$5:$D$14,MATCH($A267,'Cohort Summary'!$A$5:$A$14,0)))/INDEX('Cohort Summary'!$E$5:$E$14,MATCH($A267,'Cohort Summary'!$A$5:$A$14,0))</f>
        <v>-0.95398773006135</v>
      </c>
      <c r="J267" s="42" t="n">
        <f aca="false">(E267-INDEX('Cohort Summary'!$F$5:$F$14,MATCH($A267,'Cohort Summary'!$A$5:$A$14,0)))/INDEX('Cohort Summary'!$G$5:$G$14,MATCH($A267,'Cohort Summary'!$A$5:$A$14,0))</f>
        <v>-1.43867924528302</v>
      </c>
      <c r="K267" s="42" t="n">
        <f aca="false">(F267-INDEX('Cohort Summary'!$H$5:$H$14,MATCH($A267,'Cohort Summary'!$A$5:$A$14,0)))/INDEX('Cohort Summary'!$I$5:$I$14,MATCH($A267,'Cohort Summary'!$A$5:$A$14,0))</f>
        <v>-1.1734693877551</v>
      </c>
      <c r="L267" s="42" t="n">
        <f aca="false">(G267-INDEX('Cohort Summary'!$J$5:$J$14,MATCH($A267,'Cohort Summary'!$A$5:$A$14,0)))/INDEX('Cohort Summary'!$K$5:$K$14,MATCH($A267,'Cohort Summary'!$A$5:$A$14,0))</f>
        <v>0.734374999999998</v>
      </c>
      <c r="M267" s="42" t="n">
        <f aca="false">MAX(I267:K267)</f>
        <v>-0.95398773006135</v>
      </c>
      <c r="N267" s="27" t="s">
        <v>197</v>
      </c>
      <c r="O267" s="27"/>
      <c r="P267" s="27" t="str">
        <f aca="false">A267&amp;"|"&amp;N267</f>
        <v>NURSE-02|normal</v>
      </c>
    </row>
    <row r="268" customFormat="false" ht="15" hidden="false" customHeight="true" outlineLevel="0" collapsed="false">
      <c r="A268" s="27" t="s">
        <v>73</v>
      </c>
      <c r="B268" s="41" t="n">
        <v>46303.3145833333</v>
      </c>
      <c r="C268" s="27" t="s">
        <v>200</v>
      </c>
      <c r="D268" s="27" t="n">
        <v>39</v>
      </c>
      <c r="E268" s="27" t="n">
        <v>19.4</v>
      </c>
      <c r="F268" s="27" t="n">
        <v>31.9</v>
      </c>
      <c r="G268" s="27" t="n">
        <v>33.4</v>
      </c>
      <c r="H268" s="27" t="s">
        <v>198</v>
      </c>
      <c r="I268" s="42" t="n">
        <f aca="false">(D268-INDEX('Cohort Summary'!$D$5:$D$14,MATCH($A268,'Cohort Summary'!$A$5:$A$14,0)))/INDEX('Cohort Summary'!$E$5:$E$14,MATCH($A268,'Cohort Summary'!$A$5:$A$14,0))</f>
        <v>-1.47546012269939</v>
      </c>
      <c r="J268" s="42" t="n">
        <f aca="false">(E268-INDEX('Cohort Summary'!$F$5:$F$14,MATCH($A268,'Cohort Summary'!$A$5:$A$14,0)))/INDEX('Cohort Summary'!$G$5:$G$14,MATCH($A268,'Cohort Summary'!$A$5:$A$14,0))</f>
        <v>0.165094339622641</v>
      </c>
      <c r="K268" s="42" t="n">
        <f aca="false">(F268-INDEX('Cohort Summary'!$H$5:$H$14,MATCH($A268,'Cohort Summary'!$A$5:$A$14,0)))/INDEX('Cohort Summary'!$I$5:$I$14,MATCH($A268,'Cohort Summary'!$A$5:$A$14,0))</f>
        <v>-0.187074829931974</v>
      </c>
      <c r="L268" s="42" t="n">
        <f aca="false">(G268-INDEX('Cohort Summary'!$J$5:$J$14,MATCH($A268,'Cohort Summary'!$A$5:$A$14,0)))/INDEX('Cohort Summary'!$K$5:$K$14,MATCH($A268,'Cohort Summary'!$A$5:$A$14,0))</f>
        <v>0.890625</v>
      </c>
      <c r="M268" s="42" t="n">
        <f aca="false">MAX(I268:K268)</f>
        <v>0.165094339622641</v>
      </c>
      <c r="N268" s="27" t="s">
        <v>197</v>
      </c>
      <c r="O268" s="27"/>
      <c r="P268" s="27" t="str">
        <f aca="false">A268&amp;"|"&amp;N268</f>
        <v>NURSE-02|normal</v>
      </c>
    </row>
    <row r="269" customFormat="false" ht="15" hidden="false" customHeight="true" outlineLevel="0" collapsed="false">
      <c r="A269" s="27" t="s">
        <v>73</v>
      </c>
      <c r="B269" s="41" t="n">
        <v>46303.3149305556</v>
      </c>
      <c r="C269" s="27" t="s">
        <v>200</v>
      </c>
      <c r="D269" s="27" t="n">
        <v>48.7</v>
      </c>
      <c r="E269" s="27" t="n">
        <v>20.1</v>
      </c>
      <c r="F269" s="27" t="n">
        <v>36.6</v>
      </c>
      <c r="G269" s="27" t="n">
        <v>32.8</v>
      </c>
      <c r="H269" s="27" t="s">
        <v>196</v>
      </c>
      <c r="I269" s="42" t="n">
        <f aca="false">(D269-INDEX('Cohort Summary'!$D$5:$D$14,MATCH($A269,'Cohort Summary'!$A$5:$A$14,0)))/INDEX('Cohort Summary'!$E$5:$E$14,MATCH($A269,'Cohort Summary'!$A$5:$A$14,0))</f>
        <v>1.5</v>
      </c>
      <c r="J269" s="42" t="n">
        <f aca="false">(E269-INDEX('Cohort Summary'!$F$5:$F$14,MATCH($A269,'Cohort Summary'!$A$5:$A$14,0)))/INDEX('Cohort Summary'!$G$5:$G$14,MATCH($A269,'Cohort Summary'!$A$5:$A$14,0))</f>
        <v>0.495283018867925</v>
      </c>
      <c r="K269" s="42" t="n">
        <f aca="false">(F269-INDEX('Cohort Summary'!$H$5:$H$14,MATCH($A269,'Cohort Summary'!$A$5:$A$14,0)))/INDEX('Cohort Summary'!$I$5:$I$14,MATCH($A269,'Cohort Summary'!$A$5:$A$14,0))</f>
        <v>1.41156462585034</v>
      </c>
      <c r="L269" s="42" t="n">
        <f aca="false">(G269-INDEX('Cohort Summary'!$J$5:$J$14,MATCH($A269,'Cohort Summary'!$A$5:$A$14,0)))/INDEX('Cohort Summary'!$K$5:$K$14,MATCH($A269,'Cohort Summary'!$A$5:$A$14,0))</f>
        <v>-0.0468750000000018</v>
      </c>
      <c r="M269" s="42" t="n">
        <f aca="false">MAX(I269:K269)</f>
        <v>1.5</v>
      </c>
      <c r="N269" s="27" t="s">
        <v>197</v>
      </c>
      <c r="O269" s="27"/>
      <c r="P269" s="27" t="str">
        <f aca="false">A269&amp;"|"&amp;N269</f>
        <v>NURSE-02|normal</v>
      </c>
    </row>
    <row r="270" customFormat="false" ht="15" hidden="false" customHeight="true" outlineLevel="0" collapsed="false">
      <c r="A270" s="27" t="s">
        <v>73</v>
      </c>
      <c r="B270" s="41" t="n">
        <v>46303.3152777778</v>
      </c>
      <c r="C270" s="27" t="s">
        <v>200</v>
      </c>
      <c r="D270" s="27" t="n">
        <v>48.4</v>
      </c>
      <c r="E270" s="27" t="n">
        <v>18</v>
      </c>
      <c r="F270" s="27" t="n">
        <v>29.1</v>
      </c>
      <c r="G270" s="27" t="n">
        <v>33.2</v>
      </c>
      <c r="H270" s="27" t="s">
        <v>199</v>
      </c>
      <c r="I270" s="42" t="n">
        <f aca="false">(D270-INDEX('Cohort Summary'!$D$5:$D$14,MATCH($A270,'Cohort Summary'!$A$5:$A$14,0)))/INDEX('Cohort Summary'!$E$5:$E$14,MATCH($A270,'Cohort Summary'!$A$5:$A$14,0))</f>
        <v>1.4079754601227</v>
      </c>
      <c r="J270" s="42" t="n">
        <f aca="false">(E270-INDEX('Cohort Summary'!$F$5:$F$14,MATCH($A270,'Cohort Summary'!$A$5:$A$14,0)))/INDEX('Cohort Summary'!$G$5:$G$14,MATCH($A270,'Cohort Summary'!$A$5:$A$14,0))</f>
        <v>-0.495283018867925</v>
      </c>
      <c r="K270" s="42" t="n">
        <f aca="false">(F270-INDEX('Cohort Summary'!$H$5:$H$14,MATCH($A270,'Cohort Summary'!$A$5:$A$14,0)))/INDEX('Cohort Summary'!$I$5:$I$14,MATCH($A270,'Cohort Summary'!$A$5:$A$14,0))</f>
        <v>-1.13945578231293</v>
      </c>
      <c r="L270" s="42" t="n">
        <f aca="false">(G270-INDEX('Cohort Summary'!$J$5:$J$14,MATCH($A270,'Cohort Summary'!$A$5:$A$14,0)))/INDEX('Cohort Summary'!$K$5:$K$14,MATCH($A270,'Cohort Summary'!$A$5:$A$14,0))</f>
        <v>0.578125000000007</v>
      </c>
      <c r="M270" s="42" t="n">
        <f aca="false">MAX(I270:K270)</f>
        <v>1.4079754601227</v>
      </c>
      <c r="N270" s="27" t="s">
        <v>197</v>
      </c>
      <c r="O270" s="27"/>
      <c r="P270" s="27" t="str">
        <f aca="false">A270&amp;"|"&amp;N270</f>
        <v>NURSE-02|normal</v>
      </c>
    </row>
    <row r="271" customFormat="false" ht="15" hidden="false" customHeight="true" outlineLevel="0" collapsed="false">
      <c r="A271" s="27" t="s">
        <v>73</v>
      </c>
      <c r="B271" s="41" t="n">
        <v>46303.315625</v>
      </c>
      <c r="C271" s="27" t="s">
        <v>200</v>
      </c>
      <c r="D271" s="27" t="n">
        <v>40.7</v>
      </c>
      <c r="E271" s="27" t="n">
        <v>22.6</v>
      </c>
      <c r="F271" s="27" t="n">
        <v>34.7</v>
      </c>
      <c r="G271" s="27" t="n">
        <v>32.8</v>
      </c>
      <c r="H271" s="27" t="s">
        <v>196</v>
      </c>
      <c r="I271" s="42" t="n">
        <f aca="false">(D271-INDEX('Cohort Summary'!$D$5:$D$14,MATCH($A271,'Cohort Summary'!$A$5:$A$14,0)))/INDEX('Cohort Summary'!$E$5:$E$14,MATCH($A271,'Cohort Summary'!$A$5:$A$14,0))</f>
        <v>-0.95398773006135</v>
      </c>
      <c r="J271" s="42" t="n">
        <f aca="false">(E271-INDEX('Cohort Summary'!$F$5:$F$14,MATCH($A271,'Cohort Summary'!$A$5:$A$14,0)))/INDEX('Cohort Summary'!$G$5:$G$14,MATCH($A271,'Cohort Summary'!$A$5:$A$14,0))</f>
        <v>1.67452830188679</v>
      </c>
      <c r="K271" s="42" t="n">
        <f aca="false">(F271-INDEX('Cohort Summary'!$H$5:$H$14,MATCH($A271,'Cohort Summary'!$A$5:$A$14,0)))/INDEX('Cohort Summary'!$I$5:$I$14,MATCH($A271,'Cohort Summary'!$A$5:$A$14,0))</f>
        <v>0.76530612244898</v>
      </c>
      <c r="L271" s="42" t="n">
        <f aca="false">(G271-INDEX('Cohort Summary'!$J$5:$J$14,MATCH($A271,'Cohort Summary'!$A$5:$A$14,0)))/INDEX('Cohort Summary'!$K$5:$K$14,MATCH($A271,'Cohort Summary'!$A$5:$A$14,0))</f>
        <v>-0.0468750000000018</v>
      </c>
      <c r="M271" s="42" t="n">
        <f aca="false">MAX(I271:K271)</f>
        <v>1.67452830188679</v>
      </c>
      <c r="N271" s="27" t="s">
        <v>197</v>
      </c>
      <c r="O271" s="27"/>
      <c r="P271" s="27" t="str">
        <f aca="false">A271&amp;"|"&amp;N271</f>
        <v>NURSE-02|normal</v>
      </c>
    </row>
    <row r="272" customFormat="false" ht="15" hidden="false" customHeight="true" outlineLevel="0" collapsed="false">
      <c r="A272" s="27" t="s">
        <v>73</v>
      </c>
      <c r="B272" s="41" t="n">
        <v>46303.3159722222</v>
      </c>
      <c r="C272" s="27" t="s">
        <v>200</v>
      </c>
      <c r="D272" s="27" t="n">
        <v>44.6</v>
      </c>
      <c r="E272" s="27" t="n">
        <v>16.7</v>
      </c>
      <c r="F272" s="27" t="n">
        <v>30.3</v>
      </c>
      <c r="G272" s="27" t="n">
        <v>32</v>
      </c>
      <c r="H272" s="27" t="s">
        <v>199</v>
      </c>
      <c r="I272" s="42" t="n">
        <f aca="false">(D272-INDEX('Cohort Summary'!$D$5:$D$14,MATCH($A272,'Cohort Summary'!$A$5:$A$14,0)))/INDEX('Cohort Summary'!$E$5:$E$14,MATCH($A272,'Cohort Summary'!$A$5:$A$14,0))</f>
        <v>0.242331288343558</v>
      </c>
      <c r="J272" s="42" t="n">
        <f aca="false">(E272-INDEX('Cohort Summary'!$F$5:$F$14,MATCH($A272,'Cohort Summary'!$A$5:$A$14,0)))/INDEX('Cohort Summary'!$G$5:$G$14,MATCH($A272,'Cohort Summary'!$A$5:$A$14,0))</f>
        <v>-1.10849056603774</v>
      </c>
      <c r="K272" s="42" t="n">
        <f aca="false">(F272-INDEX('Cohort Summary'!$H$5:$H$14,MATCH($A272,'Cohort Summary'!$A$5:$A$14,0)))/INDEX('Cohort Summary'!$I$5:$I$14,MATCH($A272,'Cohort Summary'!$A$5:$A$14,0))</f>
        <v>-0.731292517006803</v>
      </c>
      <c r="L272" s="42" t="n">
        <f aca="false">(G272-INDEX('Cohort Summary'!$J$5:$J$14,MATCH($A272,'Cohort Summary'!$A$5:$A$14,0)))/INDEX('Cohort Summary'!$K$5:$K$14,MATCH($A272,'Cohort Summary'!$A$5:$A$14,0))</f>
        <v>-1.296875</v>
      </c>
      <c r="M272" s="42" t="n">
        <f aca="false">MAX(I272:K272)</f>
        <v>0.242331288343558</v>
      </c>
      <c r="N272" s="27" t="s">
        <v>197</v>
      </c>
      <c r="O272" s="27"/>
      <c r="P272" s="27" t="str">
        <f aca="false">A272&amp;"|"&amp;N272</f>
        <v>NURSE-02|normal</v>
      </c>
    </row>
    <row r="273" customFormat="false" ht="15" hidden="false" customHeight="true" outlineLevel="0" collapsed="false">
      <c r="A273" s="27" t="s">
        <v>73</v>
      </c>
      <c r="B273" s="41" t="n">
        <v>46303.3163194444</v>
      </c>
      <c r="C273" s="27" t="s">
        <v>200</v>
      </c>
      <c r="D273" s="27" t="n">
        <v>47.9</v>
      </c>
      <c r="E273" s="27" t="n">
        <v>21.2</v>
      </c>
      <c r="F273" s="27" t="n">
        <v>31.2</v>
      </c>
      <c r="G273" s="27" t="n">
        <v>33.1</v>
      </c>
      <c r="H273" s="27" t="s">
        <v>199</v>
      </c>
      <c r="I273" s="42" t="n">
        <f aca="false">(D273-INDEX('Cohort Summary'!$D$5:$D$14,MATCH($A273,'Cohort Summary'!$A$5:$A$14,0)))/INDEX('Cohort Summary'!$E$5:$E$14,MATCH($A273,'Cohort Summary'!$A$5:$A$14,0))</f>
        <v>1.25460122699386</v>
      </c>
      <c r="J273" s="42" t="n">
        <f aca="false">(E273-INDEX('Cohort Summary'!$F$5:$F$14,MATCH($A273,'Cohort Summary'!$A$5:$A$14,0)))/INDEX('Cohort Summary'!$G$5:$G$14,MATCH($A273,'Cohort Summary'!$A$5:$A$14,0))</f>
        <v>1.01415094339623</v>
      </c>
      <c r="K273" s="42" t="n">
        <f aca="false">(F273-INDEX('Cohort Summary'!$H$5:$H$14,MATCH($A273,'Cohort Summary'!$A$5:$A$14,0)))/INDEX('Cohort Summary'!$I$5:$I$14,MATCH($A273,'Cohort Summary'!$A$5:$A$14,0))</f>
        <v>-0.425170068027212</v>
      </c>
      <c r="L273" s="42" t="n">
        <f aca="false">(G273-INDEX('Cohort Summary'!$J$5:$J$14,MATCH($A273,'Cohort Summary'!$A$5:$A$14,0)))/INDEX('Cohort Summary'!$K$5:$K$14,MATCH($A273,'Cohort Summary'!$A$5:$A$14,0))</f>
        <v>0.421875000000005</v>
      </c>
      <c r="M273" s="42" t="n">
        <f aca="false">MAX(I273:K273)</f>
        <v>1.25460122699386</v>
      </c>
      <c r="N273" s="27" t="s">
        <v>197</v>
      </c>
      <c r="O273" s="27"/>
      <c r="P273" s="27" t="str">
        <f aca="false">A273&amp;"|"&amp;N273</f>
        <v>NURSE-02|normal</v>
      </c>
    </row>
    <row r="274" customFormat="false" ht="15" hidden="false" customHeight="true" outlineLevel="0" collapsed="false">
      <c r="A274" s="27" t="s">
        <v>73</v>
      </c>
      <c r="B274" s="41" t="n">
        <v>46303.3166666667</v>
      </c>
      <c r="C274" s="27" t="s">
        <v>200</v>
      </c>
      <c r="D274" s="27" t="n">
        <v>49.1</v>
      </c>
      <c r="E274" s="27" t="n">
        <v>17.8</v>
      </c>
      <c r="F274" s="27" t="n">
        <v>36</v>
      </c>
      <c r="G274" s="27" t="n">
        <v>32.8</v>
      </c>
      <c r="H274" s="27" t="s">
        <v>198</v>
      </c>
      <c r="I274" s="42" t="n">
        <f aca="false">(D274-INDEX('Cohort Summary'!$D$5:$D$14,MATCH($A274,'Cohort Summary'!$A$5:$A$14,0)))/INDEX('Cohort Summary'!$E$5:$E$14,MATCH($A274,'Cohort Summary'!$A$5:$A$14,0))</f>
        <v>1.62269938650307</v>
      </c>
      <c r="J274" s="42" t="n">
        <f aca="false">(E274-INDEX('Cohort Summary'!$F$5:$F$14,MATCH($A274,'Cohort Summary'!$A$5:$A$14,0)))/INDEX('Cohort Summary'!$G$5:$G$14,MATCH($A274,'Cohort Summary'!$A$5:$A$14,0))</f>
        <v>-0.589622641509434</v>
      </c>
      <c r="K274" s="42" t="n">
        <f aca="false">(F274-INDEX('Cohort Summary'!$H$5:$H$14,MATCH($A274,'Cohort Summary'!$A$5:$A$14,0)))/INDEX('Cohort Summary'!$I$5:$I$14,MATCH($A274,'Cohort Summary'!$A$5:$A$14,0))</f>
        <v>1.20748299319728</v>
      </c>
      <c r="L274" s="42" t="n">
        <f aca="false">(G274-INDEX('Cohort Summary'!$J$5:$J$14,MATCH($A274,'Cohort Summary'!$A$5:$A$14,0)))/INDEX('Cohort Summary'!$K$5:$K$14,MATCH($A274,'Cohort Summary'!$A$5:$A$14,0))</f>
        <v>-0.0468750000000018</v>
      </c>
      <c r="M274" s="42" t="n">
        <f aca="false">MAX(I274:K274)</f>
        <v>1.62269938650307</v>
      </c>
      <c r="N274" s="27" t="s">
        <v>197</v>
      </c>
      <c r="O274" s="27"/>
      <c r="P274" s="27" t="str">
        <f aca="false">A274&amp;"|"&amp;N274</f>
        <v>NURSE-02|normal</v>
      </c>
    </row>
    <row r="275" customFormat="false" ht="15" hidden="false" customHeight="true" outlineLevel="0" collapsed="false">
      <c r="A275" s="27" t="s">
        <v>73</v>
      </c>
      <c r="B275" s="41" t="n">
        <v>46303.3170138889</v>
      </c>
      <c r="C275" s="27" t="s">
        <v>200</v>
      </c>
      <c r="D275" s="27" t="n">
        <v>56.8</v>
      </c>
      <c r="E275" s="27" t="n">
        <v>20.4</v>
      </c>
      <c r="F275" s="27" t="n">
        <v>36.4</v>
      </c>
      <c r="G275" s="27" t="n">
        <v>32.1</v>
      </c>
      <c r="H275" s="27" t="s">
        <v>198</v>
      </c>
      <c r="I275" s="42" t="n">
        <f aca="false">(D275-INDEX('Cohort Summary'!$D$5:$D$14,MATCH($A275,'Cohort Summary'!$A$5:$A$14,0)))/INDEX('Cohort Summary'!$E$5:$E$14,MATCH($A275,'Cohort Summary'!$A$5:$A$14,0))</f>
        <v>3.98466257668712</v>
      </c>
      <c r="J275" s="42" t="n">
        <f aca="false">(E275-INDEX('Cohort Summary'!$F$5:$F$14,MATCH($A275,'Cohort Summary'!$A$5:$A$14,0)))/INDEX('Cohort Summary'!$G$5:$G$14,MATCH($A275,'Cohort Summary'!$A$5:$A$14,0))</f>
        <v>0.636792452830188</v>
      </c>
      <c r="K275" s="42" t="n">
        <f aca="false">(F275-INDEX('Cohort Summary'!$H$5:$H$14,MATCH($A275,'Cohort Summary'!$A$5:$A$14,0)))/INDEX('Cohort Summary'!$I$5:$I$14,MATCH($A275,'Cohort Summary'!$A$5:$A$14,0))</f>
        <v>1.34353741496598</v>
      </c>
      <c r="L275" s="42" t="n">
        <f aca="false">(G275-INDEX('Cohort Summary'!$J$5:$J$14,MATCH($A275,'Cohort Summary'!$A$5:$A$14,0)))/INDEX('Cohort Summary'!$K$5:$K$14,MATCH($A275,'Cohort Summary'!$A$5:$A$14,0))</f>
        <v>-1.140625</v>
      </c>
      <c r="M275" s="42" t="n">
        <f aca="false">MAX(I275:K275)</f>
        <v>3.98466257668712</v>
      </c>
      <c r="N275" s="27" t="s">
        <v>201</v>
      </c>
      <c r="O275" s="27" t="s">
        <v>202</v>
      </c>
      <c r="P275" s="27" t="str">
        <f aca="false">A275&amp;"|"&amp;N275</f>
        <v>NURSE-02|caution</v>
      </c>
    </row>
    <row r="276" customFormat="false" ht="15" hidden="false" customHeight="true" outlineLevel="0" collapsed="false">
      <c r="A276" s="27" t="s">
        <v>73</v>
      </c>
      <c r="B276" s="41" t="n">
        <v>46303.3173611111</v>
      </c>
      <c r="C276" s="27" t="s">
        <v>200</v>
      </c>
      <c r="D276" s="27" t="n">
        <v>54.5</v>
      </c>
      <c r="E276" s="27" t="n">
        <v>21.3</v>
      </c>
      <c r="F276" s="27" t="n">
        <v>33.5</v>
      </c>
      <c r="G276" s="27" t="n">
        <v>32.5</v>
      </c>
      <c r="H276" s="27" t="s">
        <v>198</v>
      </c>
      <c r="I276" s="42" t="n">
        <f aca="false">(D276-INDEX('Cohort Summary'!$D$5:$D$14,MATCH($A276,'Cohort Summary'!$A$5:$A$14,0)))/INDEX('Cohort Summary'!$E$5:$E$14,MATCH($A276,'Cohort Summary'!$A$5:$A$14,0))</f>
        <v>3.27914110429448</v>
      </c>
      <c r="J276" s="42" t="n">
        <f aca="false">(E276-INDEX('Cohort Summary'!$F$5:$F$14,MATCH($A276,'Cohort Summary'!$A$5:$A$14,0)))/INDEX('Cohort Summary'!$G$5:$G$14,MATCH($A276,'Cohort Summary'!$A$5:$A$14,0))</f>
        <v>1.06132075471698</v>
      </c>
      <c r="K276" s="42" t="n">
        <f aca="false">(F276-INDEX('Cohort Summary'!$H$5:$H$14,MATCH($A276,'Cohort Summary'!$A$5:$A$14,0)))/INDEX('Cohort Summary'!$I$5:$I$14,MATCH($A276,'Cohort Summary'!$A$5:$A$14,0))</f>
        <v>0.357142857142856</v>
      </c>
      <c r="L276" s="42" t="n">
        <f aca="false">(G276-INDEX('Cohort Summary'!$J$5:$J$14,MATCH($A276,'Cohort Summary'!$A$5:$A$14,0)))/INDEX('Cohort Summary'!$K$5:$K$14,MATCH($A276,'Cohort Summary'!$A$5:$A$14,0))</f>
        <v>-0.515624999999997</v>
      </c>
      <c r="M276" s="42" t="n">
        <f aca="false">MAX(I276:K276)</f>
        <v>3.27914110429448</v>
      </c>
      <c r="N276" s="27" t="s">
        <v>201</v>
      </c>
      <c r="O276" s="27" t="s">
        <v>203</v>
      </c>
      <c r="P276" s="27" t="str">
        <f aca="false">A276&amp;"|"&amp;N276</f>
        <v>NURSE-02|caution</v>
      </c>
    </row>
    <row r="277" customFormat="false" ht="15" hidden="false" customHeight="true" outlineLevel="0" collapsed="false">
      <c r="A277" s="27" t="s">
        <v>73</v>
      </c>
      <c r="B277" s="41" t="n">
        <v>46303.3177083333</v>
      </c>
      <c r="C277" s="27" t="s">
        <v>200</v>
      </c>
      <c r="D277" s="27" t="n">
        <v>52.2</v>
      </c>
      <c r="E277" s="27" t="n">
        <v>22.1</v>
      </c>
      <c r="F277" s="27" t="n">
        <v>31.5</v>
      </c>
      <c r="G277" s="27" t="n">
        <v>32.9</v>
      </c>
      <c r="H277" s="27" t="s">
        <v>198</v>
      </c>
      <c r="I277" s="42" t="n">
        <f aca="false">(D277-INDEX('Cohort Summary'!$D$5:$D$14,MATCH($A277,'Cohort Summary'!$A$5:$A$14,0)))/INDEX('Cohort Summary'!$E$5:$E$14,MATCH($A277,'Cohort Summary'!$A$5:$A$14,0))</f>
        <v>2.57361963190184</v>
      </c>
      <c r="J277" s="42" t="n">
        <f aca="false">(E277-INDEX('Cohort Summary'!$F$5:$F$14,MATCH($A277,'Cohort Summary'!$A$5:$A$14,0)))/INDEX('Cohort Summary'!$G$5:$G$14,MATCH($A277,'Cohort Summary'!$A$5:$A$14,0))</f>
        <v>1.43867924528302</v>
      </c>
      <c r="K277" s="42" t="n">
        <f aca="false">(F277-INDEX('Cohort Summary'!$H$5:$H$14,MATCH($A277,'Cohort Summary'!$A$5:$A$14,0)))/INDEX('Cohort Summary'!$I$5:$I$14,MATCH($A277,'Cohort Summary'!$A$5:$A$14,0))</f>
        <v>-0.323129251700681</v>
      </c>
      <c r="L277" s="42" t="n">
        <f aca="false">(G277-INDEX('Cohort Summary'!$J$5:$J$14,MATCH($A277,'Cohort Summary'!$A$5:$A$14,0)))/INDEX('Cohort Summary'!$K$5:$K$14,MATCH($A277,'Cohort Summary'!$A$5:$A$14,0))</f>
        <v>0.109375</v>
      </c>
      <c r="M277" s="42" t="n">
        <f aca="false">MAX(I277:K277)</f>
        <v>2.57361963190184</v>
      </c>
      <c r="N277" s="27" t="s">
        <v>201</v>
      </c>
      <c r="O277" s="27" t="s">
        <v>204</v>
      </c>
      <c r="P277" s="27" t="str">
        <f aca="false">A277&amp;"|"&amp;N277</f>
        <v>NURSE-02|caution</v>
      </c>
    </row>
    <row r="278" customFormat="false" ht="15" hidden="false" customHeight="true" outlineLevel="0" collapsed="false">
      <c r="A278" s="27" t="s">
        <v>73</v>
      </c>
      <c r="B278" s="41" t="n">
        <v>46303.3180555556</v>
      </c>
      <c r="C278" s="27" t="s">
        <v>200</v>
      </c>
      <c r="D278" s="27" t="n">
        <v>48.7</v>
      </c>
      <c r="E278" s="27" t="n">
        <v>19.1</v>
      </c>
      <c r="F278" s="27" t="n">
        <v>34.7</v>
      </c>
      <c r="G278" s="27" t="n">
        <v>33</v>
      </c>
      <c r="H278" s="27" t="s">
        <v>198</v>
      </c>
      <c r="I278" s="42" t="n">
        <f aca="false">(D278-INDEX('Cohort Summary'!$D$5:$D$14,MATCH($A278,'Cohort Summary'!$A$5:$A$14,0)))/INDEX('Cohort Summary'!$E$5:$E$14,MATCH($A278,'Cohort Summary'!$A$5:$A$14,0))</f>
        <v>1.5</v>
      </c>
      <c r="J278" s="42" t="n">
        <f aca="false">(E278-INDEX('Cohort Summary'!$F$5:$F$14,MATCH($A278,'Cohort Summary'!$A$5:$A$14,0)))/INDEX('Cohort Summary'!$G$5:$G$14,MATCH($A278,'Cohort Summary'!$A$5:$A$14,0))</f>
        <v>0.0235849056603777</v>
      </c>
      <c r="K278" s="42" t="n">
        <f aca="false">(F278-INDEX('Cohort Summary'!$H$5:$H$14,MATCH($A278,'Cohort Summary'!$A$5:$A$14,0)))/INDEX('Cohort Summary'!$I$5:$I$14,MATCH($A278,'Cohort Summary'!$A$5:$A$14,0))</f>
        <v>0.76530612244898</v>
      </c>
      <c r="L278" s="42" t="n">
        <f aca="false">(G278-INDEX('Cohort Summary'!$J$5:$J$14,MATCH($A278,'Cohort Summary'!$A$5:$A$14,0)))/INDEX('Cohort Summary'!$K$5:$K$14,MATCH($A278,'Cohort Summary'!$A$5:$A$14,0))</f>
        <v>0.265625000000003</v>
      </c>
      <c r="M278" s="42" t="n">
        <f aca="false">MAX(I278:K278)</f>
        <v>1.5</v>
      </c>
      <c r="N278" s="27" t="s">
        <v>197</v>
      </c>
      <c r="O278" s="27"/>
      <c r="P278" s="27" t="str">
        <f aca="false">A278&amp;"|"&amp;N278</f>
        <v>NURSE-02|normal</v>
      </c>
    </row>
    <row r="279" customFormat="false" ht="15" hidden="false" customHeight="true" outlineLevel="0" collapsed="false">
      <c r="A279" s="27" t="s">
        <v>73</v>
      </c>
      <c r="B279" s="41" t="n">
        <v>46303.3184027778</v>
      </c>
      <c r="C279" s="27" t="s">
        <v>200</v>
      </c>
      <c r="D279" s="27" t="n">
        <v>42.3</v>
      </c>
      <c r="E279" s="27" t="n">
        <v>20.5</v>
      </c>
      <c r="F279" s="27" t="n">
        <v>34</v>
      </c>
      <c r="G279" s="27" t="n">
        <v>32.8</v>
      </c>
      <c r="H279" s="27" t="s">
        <v>199</v>
      </c>
      <c r="I279" s="42" t="n">
        <f aca="false">(D279-INDEX('Cohort Summary'!$D$5:$D$14,MATCH($A279,'Cohort Summary'!$A$5:$A$14,0)))/INDEX('Cohort Summary'!$E$5:$E$14,MATCH($A279,'Cohort Summary'!$A$5:$A$14,0))</f>
        <v>-0.463190184049081</v>
      </c>
      <c r="J279" s="42" t="n">
        <f aca="false">(E279-INDEX('Cohort Summary'!$F$5:$F$14,MATCH($A279,'Cohort Summary'!$A$5:$A$14,0)))/INDEX('Cohort Summary'!$G$5:$G$14,MATCH($A279,'Cohort Summary'!$A$5:$A$14,0))</f>
        <v>0.683962264150943</v>
      </c>
      <c r="K279" s="42" t="n">
        <f aca="false">(F279-INDEX('Cohort Summary'!$H$5:$H$14,MATCH($A279,'Cohort Summary'!$A$5:$A$14,0)))/INDEX('Cohort Summary'!$I$5:$I$14,MATCH($A279,'Cohort Summary'!$A$5:$A$14,0))</f>
        <v>0.527210884353741</v>
      </c>
      <c r="L279" s="42" t="n">
        <f aca="false">(G279-INDEX('Cohort Summary'!$J$5:$J$14,MATCH($A279,'Cohort Summary'!$A$5:$A$14,0)))/INDEX('Cohort Summary'!$K$5:$K$14,MATCH($A279,'Cohort Summary'!$A$5:$A$14,0))</f>
        <v>-0.0468750000000018</v>
      </c>
      <c r="M279" s="42" t="n">
        <f aca="false">MAX(I279:K279)</f>
        <v>0.683962264150943</v>
      </c>
      <c r="N279" s="27" t="s">
        <v>197</v>
      </c>
      <c r="O279" s="27"/>
      <c r="P279" s="27" t="str">
        <f aca="false">A279&amp;"|"&amp;N279</f>
        <v>NURSE-02|normal</v>
      </c>
    </row>
    <row r="280" customFormat="false" ht="15" hidden="false" customHeight="true" outlineLevel="0" collapsed="false">
      <c r="A280" s="27" t="s">
        <v>73</v>
      </c>
      <c r="B280" s="41" t="n">
        <v>46303.31875</v>
      </c>
      <c r="C280" s="27" t="s">
        <v>200</v>
      </c>
      <c r="D280" s="27" t="n">
        <v>42</v>
      </c>
      <c r="E280" s="27" t="n">
        <v>20.9</v>
      </c>
      <c r="F280" s="27" t="n">
        <v>35.4</v>
      </c>
      <c r="G280" s="27" t="n">
        <v>32.1</v>
      </c>
      <c r="H280" s="27" t="s">
        <v>198</v>
      </c>
      <c r="I280" s="42" t="n">
        <f aca="false">(D280-INDEX('Cohort Summary'!$D$5:$D$14,MATCH($A280,'Cohort Summary'!$A$5:$A$14,0)))/INDEX('Cohort Summary'!$E$5:$E$14,MATCH($A280,'Cohort Summary'!$A$5:$A$14,0))</f>
        <v>-0.555214723926381</v>
      </c>
      <c r="J280" s="42" t="n">
        <f aca="false">(E280-INDEX('Cohort Summary'!$F$5:$F$14,MATCH($A280,'Cohort Summary'!$A$5:$A$14,0)))/INDEX('Cohort Summary'!$G$5:$G$14,MATCH($A280,'Cohort Summary'!$A$5:$A$14,0))</f>
        <v>0.872641509433961</v>
      </c>
      <c r="K280" s="42" t="n">
        <f aca="false">(F280-INDEX('Cohort Summary'!$H$5:$H$14,MATCH($A280,'Cohort Summary'!$A$5:$A$14,0)))/INDEX('Cohort Summary'!$I$5:$I$14,MATCH($A280,'Cohort Summary'!$A$5:$A$14,0))</f>
        <v>1.00340136054422</v>
      </c>
      <c r="L280" s="42" t="n">
        <f aca="false">(G280-INDEX('Cohort Summary'!$J$5:$J$14,MATCH($A280,'Cohort Summary'!$A$5:$A$14,0)))/INDEX('Cohort Summary'!$K$5:$K$14,MATCH($A280,'Cohort Summary'!$A$5:$A$14,0))</f>
        <v>-1.140625</v>
      </c>
      <c r="M280" s="42" t="n">
        <f aca="false">MAX(I280:K280)</f>
        <v>1.00340136054422</v>
      </c>
      <c r="N280" s="27" t="s">
        <v>197</v>
      </c>
      <c r="O280" s="27"/>
      <c r="P280" s="27" t="str">
        <f aca="false">A280&amp;"|"&amp;N280</f>
        <v>NURSE-02|normal</v>
      </c>
    </row>
    <row r="281" customFormat="false" ht="15" hidden="false" customHeight="true" outlineLevel="0" collapsed="false">
      <c r="A281" s="27" t="s">
        <v>73</v>
      </c>
      <c r="B281" s="41" t="n">
        <v>46303.3190972222</v>
      </c>
      <c r="C281" s="27" t="s">
        <v>200</v>
      </c>
      <c r="D281" s="27" t="n">
        <v>48.7</v>
      </c>
      <c r="E281" s="27" t="n">
        <v>21.1</v>
      </c>
      <c r="F281" s="27" t="n">
        <v>33</v>
      </c>
      <c r="G281" s="27" t="n">
        <v>32.5</v>
      </c>
      <c r="H281" s="27" t="s">
        <v>198</v>
      </c>
      <c r="I281" s="42" t="n">
        <f aca="false">(D281-INDEX('Cohort Summary'!$D$5:$D$14,MATCH($A281,'Cohort Summary'!$A$5:$A$14,0)))/INDEX('Cohort Summary'!$E$5:$E$14,MATCH($A281,'Cohort Summary'!$A$5:$A$14,0))</f>
        <v>1.5</v>
      </c>
      <c r="J281" s="42" t="n">
        <f aca="false">(E281-INDEX('Cohort Summary'!$F$5:$F$14,MATCH($A281,'Cohort Summary'!$A$5:$A$14,0)))/INDEX('Cohort Summary'!$G$5:$G$14,MATCH($A281,'Cohort Summary'!$A$5:$A$14,0))</f>
        <v>0.966981132075472</v>
      </c>
      <c r="K281" s="42" t="n">
        <f aca="false">(F281-INDEX('Cohort Summary'!$H$5:$H$14,MATCH($A281,'Cohort Summary'!$A$5:$A$14,0)))/INDEX('Cohort Summary'!$I$5:$I$14,MATCH($A281,'Cohort Summary'!$A$5:$A$14,0))</f>
        <v>0.187074829931972</v>
      </c>
      <c r="L281" s="42" t="n">
        <f aca="false">(G281-INDEX('Cohort Summary'!$J$5:$J$14,MATCH($A281,'Cohort Summary'!$A$5:$A$14,0)))/INDEX('Cohort Summary'!$K$5:$K$14,MATCH($A281,'Cohort Summary'!$A$5:$A$14,0))</f>
        <v>-0.515624999999997</v>
      </c>
      <c r="M281" s="42" t="n">
        <f aca="false">MAX(I281:K281)</f>
        <v>1.5</v>
      </c>
      <c r="N281" s="27" t="s">
        <v>197</v>
      </c>
      <c r="O281" s="27"/>
      <c r="P281" s="27" t="str">
        <f aca="false">A281&amp;"|"&amp;N281</f>
        <v>NURSE-02|normal</v>
      </c>
    </row>
    <row r="282" customFormat="false" ht="15" hidden="false" customHeight="true" outlineLevel="0" collapsed="false">
      <c r="A282" s="27" t="s">
        <v>73</v>
      </c>
      <c r="B282" s="41" t="n">
        <v>46303.3194444445</v>
      </c>
      <c r="C282" s="27" t="s">
        <v>200</v>
      </c>
      <c r="D282" s="27" t="n">
        <v>42.3</v>
      </c>
      <c r="E282" s="27" t="n">
        <v>17.3</v>
      </c>
      <c r="F282" s="27" t="n">
        <v>36.8</v>
      </c>
      <c r="G282" s="27" t="n">
        <v>33.3</v>
      </c>
      <c r="H282" s="27" t="s">
        <v>198</v>
      </c>
      <c r="I282" s="42" t="n">
        <f aca="false">(D282-INDEX('Cohort Summary'!$D$5:$D$14,MATCH($A282,'Cohort Summary'!$A$5:$A$14,0)))/INDEX('Cohort Summary'!$E$5:$E$14,MATCH($A282,'Cohort Summary'!$A$5:$A$14,0))</f>
        <v>-0.463190184049081</v>
      </c>
      <c r="J282" s="42" t="n">
        <f aca="false">(E282-INDEX('Cohort Summary'!$F$5:$F$14,MATCH($A282,'Cohort Summary'!$A$5:$A$14,0)))/INDEX('Cohort Summary'!$G$5:$G$14,MATCH($A282,'Cohort Summary'!$A$5:$A$14,0))</f>
        <v>-0.825471698113208</v>
      </c>
      <c r="K282" s="42" t="n">
        <f aca="false">(F282-INDEX('Cohort Summary'!$H$5:$H$14,MATCH($A282,'Cohort Summary'!$A$5:$A$14,0)))/INDEX('Cohort Summary'!$I$5:$I$14,MATCH($A282,'Cohort Summary'!$A$5:$A$14,0))</f>
        <v>1.47959183673469</v>
      </c>
      <c r="L282" s="42" t="n">
        <f aca="false">(G282-INDEX('Cohort Summary'!$J$5:$J$14,MATCH($A282,'Cohort Summary'!$A$5:$A$14,0)))/INDEX('Cohort Summary'!$K$5:$K$14,MATCH($A282,'Cohort Summary'!$A$5:$A$14,0))</f>
        <v>0.734374999999998</v>
      </c>
      <c r="M282" s="42" t="n">
        <f aca="false">MAX(I282:K282)</f>
        <v>1.47959183673469</v>
      </c>
      <c r="N282" s="27" t="s">
        <v>197</v>
      </c>
      <c r="O282" s="27"/>
      <c r="P282" s="27" t="str">
        <f aca="false">A282&amp;"|"&amp;N282</f>
        <v>NURSE-02|normal</v>
      </c>
    </row>
    <row r="283" customFormat="false" ht="15" hidden="false" customHeight="true" outlineLevel="0" collapsed="false">
      <c r="A283" s="27" t="s">
        <v>73</v>
      </c>
      <c r="B283" s="41" t="n">
        <v>46303.3197916667</v>
      </c>
      <c r="C283" s="27" t="s">
        <v>200</v>
      </c>
      <c r="D283" s="27" t="n">
        <v>40.6</v>
      </c>
      <c r="E283" s="27" t="n">
        <v>20.6</v>
      </c>
      <c r="F283" s="27" t="n">
        <v>29</v>
      </c>
      <c r="G283" s="27" t="n">
        <v>32.1</v>
      </c>
      <c r="H283" s="27" t="s">
        <v>198</v>
      </c>
      <c r="I283" s="42" t="n">
        <f aca="false">(D283-INDEX('Cohort Summary'!$D$5:$D$14,MATCH($A283,'Cohort Summary'!$A$5:$A$14,0)))/INDEX('Cohort Summary'!$E$5:$E$14,MATCH($A283,'Cohort Summary'!$A$5:$A$14,0))</f>
        <v>-0.984662576687117</v>
      </c>
      <c r="J283" s="42" t="n">
        <f aca="false">(E283-INDEX('Cohort Summary'!$F$5:$F$14,MATCH($A283,'Cohort Summary'!$A$5:$A$14,0)))/INDEX('Cohort Summary'!$G$5:$G$14,MATCH($A283,'Cohort Summary'!$A$5:$A$14,0))</f>
        <v>0.731132075471699</v>
      </c>
      <c r="K283" s="42" t="n">
        <f aca="false">(F283-INDEX('Cohort Summary'!$H$5:$H$14,MATCH($A283,'Cohort Summary'!$A$5:$A$14,0)))/INDEX('Cohort Summary'!$I$5:$I$14,MATCH($A283,'Cohort Summary'!$A$5:$A$14,0))</f>
        <v>-1.1734693877551</v>
      </c>
      <c r="L283" s="42" t="n">
        <f aca="false">(G283-INDEX('Cohort Summary'!$J$5:$J$14,MATCH($A283,'Cohort Summary'!$A$5:$A$14,0)))/INDEX('Cohort Summary'!$K$5:$K$14,MATCH($A283,'Cohort Summary'!$A$5:$A$14,0))</f>
        <v>-1.140625</v>
      </c>
      <c r="M283" s="42" t="n">
        <f aca="false">MAX(I283:K283)</f>
        <v>0.731132075471699</v>
      </c>
      <c r="N283" s="27" t="s">
        <v>197</v>
      </c>
      <c r="O283" s="27"/>
      <c r="P283" s="27" t="str">
        <f aca="false">A283&amp;"|"&amp;N283</f>
        <v>NURSE-02|normal</v>
      </c>
    </row>
    <row r="284" customFormat="false" ht="15" hidden="false" customHeight="true" outlineLevel="0" collapsed="false">
      <c r="A284" s="27" t="s">
        <v>73</v>
      </c>
      <c r="B284" s="41" t="n">
        <v>46303.3201388889</v>
      </c>
      <c r="C284" s="27" t="s">
        <v>200</v>
      </c>
      <c r="D284" s="27" t="n">
        <v>46.9</v>
      </c>
      <c r="E284" s="27" t="n">
        <v>21.1</v>
      </c>
      <c r="F284" s="27" t="n">
        <v>31.3</v>
      </c>
      <c r="G284" s="27" t="n">
        <v>32.2</v>
      </c>
      <c r="H284" s="27" t="s">
        <v>196</v>
      </c>
      <c r="I284" s="42" t="n">
        <f aca="false">(D284-INDEX('Cohort Summary'!$D$5:$D$14,MATCH($A284,'Cohort Summary'!$A$5:$A$14,0)))/INDEX('Cohort Summary'!$E$5:$E$14,MATCH($A284,'Cohort Summary'!$A$5:$A$14,0))</f>
        <v>0.947852760736195</v>
      </c>
      <c r="J284" s="42" t="n">
        <f aca="false">(E284-INDEX('Cohort Summary'!$F$5:$F$14,MATCH($A284,'Cohort Summary'!$A$5:$A$14,0)))/INDEX('Cohort Summary'!$G$5:$G$14,MATCH($A284,'Cohort Summary'!$A$5:$A$14,0))</f>
        <v>0.966981132075472</v>
      </c>
      <c r="K284" s="42" t="n">
        <f aca="false">(F284-INDEX('Cohort Summary'!$H$5:$H$14,MATCH($A284,'Cohort Summary'!$A$5:$A$14,0)))/INDEX('Cohort Summary'!$I$5:$I$14,MATCH($A284,'Cohort Summary'!$A$5:$A$14,0))</f>
        <v>-0.391156462585035</v>
      </c>
      <c r="L284" s="42" t="n">
        <f aca="false">(G284-INDEX('Cohort Summary'!$J$5:$J$14,MATCH($A284,'Cohort Summary'!$A$5:$A$14,0)))/INDEX('Cohort Summary'!$K$5:$K$14,MATCH($A284,'Cohort Summary'!$A$5:$A$14,0))</f>
        <v>-0.984374999999993</v>
      </c>
      <c r="M284" s="42" t="n">
        <f aca="false">MAX(I284:K284)</f>
        <v>0.966981132075472</v>
      </c>
      <c r="N284" s="27" t="s">
        <v>197</v>
      </c>
      <c r="O284" s="27"/>
      <c r="P284" s="27" t="str">
        <f aca="false">A284&amp;"|"&amp;N284</f>
        <v>NURSE-02|normal</v>
      </c>
    </row>
    <row r="285" customFormat="false" ht="15" hidden="false" customHeight="true" outlineLevel="0" collapsed="false">
      <c r="A285" s="27" t="s">
        <v>73</v>
      </c>
      <c r="B285" s="41" t="n">
        <v>46303.3204861111</v>
      </c>
      <c r="C285" s="27" t="s">
        <v>200</v>
      </c>
      <c r="D285" s="27" t="n">
        <v>48.1</v>
      </c>
      <c r="E285" s="27" t="n">
        <v>18</v>
      </c>
      <c r="F285" s="27" t="n">
        <v>35.9</v>
      </c>
      <c r="G285" s="27" t="n">
        <v>32.7</v>
      </c>
      <c r="H285" s="27" t="s">
        <v>198</v>
      </c>
      <c r="I285" s="42" t="n">
        <f aca="false">(D285-INDEX('Cohort Summary'!$D$5:$D$14,MATCH($A285,'Cohort Summary'!$A$5:$A$14,0)))/INDEX('Cohort Summary'!$E$5:$E$14,MATCH($A285,'Cohort Summary'!$A$5:$A$14,0))</f>
        <v>1.3159509202454</v>
      </c>
      <c r="J285" s="42" t="n">
        <f aca="false">(E285-INDEX('Cohort Summary'!$F$5:$F$14,MATCH($A285,'Cohort Summary'!$A$5:$A$14,0)))/INDEX('Cohort Summary'!$G$5:$G$14,MATCH($A285,'Cohort Summary'!$A$5:$A$14,0))</f>
        <v>-0.495283018867925</v>
      </c>
      <c r="K285" s="42" t="n">
        <f aca="false">(F285-INDEX('Cohort Summary'!$H$5:$H$14,MATCH($A285,'Cohort Summary'!$A$5:$A$14,0)))/INDEX('Cohort Summary'!$I$5:$I$14,MATCH($A285,'Cohort Summary'!$A$5:$A$14,0))</f>
        <v>1.1734693877551</v>
      </c>
      <c r="L285" s="42" t="n">
        <f aca="false">(G285-INDEX('Cohort Summary'!$J$5:$J$14,MATCH($A285,'Cohort Summary'!$A$5:$A$14,0)))/INDEX('Cohort Summary'!$K$5:$K$14,MATCH($A285,'Cohort Summary'!$A$5:$A$14,0))</f>
        <v>-0.203124999999993</v>
      </c>
      <c r="M285" s="42" t="n">
        <f aca="false">MAX(I285:K285)</f>
        <v>1.3159509202454</v>
      </c>
      <c r="N285" s="27" t="s">
        <v>197</v>
      </c>
      <c r="O285" s="27"/>
      <c r="P285" s="27" t="str">
        <f aca="false">A285&amp;"|"&amp;N285</f>
        <v>NURSE-02|normal</v>
      </c>
    </row>
    <row r="286" customFormat="false" ht="15" hidden="false" customHeight="true" outlineLevel="0" collapsed="false">
      <c r="A286" s="27" t="s">
        <v>73</v>
      </c>
      <c r="B286" s="41" t="n">
        <v>46303.3208333333</v>
      </c>
      <c r="C286" s="27" t="s">
        <v>200</v>
      </c>
      <c r="D286" s="27" t="n">
        <v>43</v>
      </c>
      <c r="E286" s="27" t="n">
        <v>21.5</v>
      </c>
      <c r="F286" s="27" t="n">
        <v>33.9</v>
      </c>
      <c r="G286" s="27" t="n">
        <v>32.8</v>
      </c>
      <c r="H286" s="27" t="s">
        <v>196</v>
      </c>
      <c r="I286" s="42" t="n">
        <f aca="false">(D286-INDEX('Cohort Summary'!$D$5:$D$14,MATCH($A286,'Cohort Summary'!$A$5:$A$14,0)))/INDEX('Cohort Summary'!$E$5:$E$14,MATCH($A286,'Cohort Summary'!$A$5:$A$14,0))</f>
        <v>-0.248466257668712</v>
      </c>
      <c r="J286" s="42" t="n">
        <f aca="false">(E286-INDEX('Cohort Summary'!$F$5:$F$14,MATCH($A286,'Cohort Summary'!$A$5:$A$14,0)))/INDEX('Cohort Summary'!$G$5:$G$14,MATCH($A286,'Cohort Summary'!$A$5:$A$14,0))</f>
        <v>1.15566037735849</v>
      </c>
      <c r="K286" s="42" t="n">
        <f aca="false">(F286-INDEX('Cohort Summary'!$H$5:$H$14,MATCH($A286,'Cohort Summary'!$A$5:$A$14,0)))/INDEX('Cohort Summary'!$I$5:$I$14,MATCH($A286,'Cohort Summary'!$A$5:$A$14,0))</f>
        <v>0.493197278911563</v>
      </c>
      <c r="L286" s="42" t="n">
        <f aca="false">(G286-INDEX('Cohort Summary'!$J$5:$J$14,MATCH($A286,'Cohort Summary'!$A$5:$A$14,0)))/INDEX('Cohort Summary'!$K$5:$K$14,MATCH($A286,'Cohort Summary'!$A$5:$A$14,0))</f>
        <v>-0.0468750000000018</v>
      </c>
      <c r="M286" s="42" t="n">
        <f aca="false">MAX(I286:K286)</f>
        <v>1.15566037735849</v>
      </c>
      <c r="N286" s="27" t="s">
        <v>197</v>
      </c>
      <c r="O286" s="27"/>
      <c r="P286" s="27" t="str">
        <f aca="false">A286&amp;"|"&amp;N286</f>
        <v>NURSE-02|normal</v>
      </c>
    </row>
    <row r="287" customFormat="false" ht="15" hidden="false" customHeight="true" outlineLevel="0" collapsed="false">
      <c r="A287" s="27" t="s">
        <v>73</v>
      </c>
      <c r="B287" s="41" t="n">
        <v>46303.3211805556</v>
      </c>
      <c r="C287" s="27" t="s">
        <v>200</v>
      </c>
      <c r="D287" s="27" t="n">
        <v>42</v>
      </c>
      <c r="E287" s="27" t="n">
        <v>16.2</v>
      </c>
      <c r="F287" s="27" t="n">
        <v>29.6</v>
      </c>
      <c r="G287" s="27" t="n">
        <v>33.3</v>
      </c>
      <c r="H287" s="27" t="s">
        <v>198</v>
      </c>
      <c r="I287" s="42" t="n">
        <f aca="false">(D287-INDEX('Cohort Summary'!$D$5:$D$14,MATCH($A287,'Cohort Summary'!$A$5:$A$14,0)))/INDEX('Cohort Summary'!$E$5:$E$14,MATCH($A287,'Cohort Summary'!$A$5:$A$14,0))</f>
        <v>-0.555214723926381</v>
      </c>
      <c r="J287" s="42" t="n">
        <f aca="false">(E287-INDEX('Cohort Summary'!$F$5:$F$14,MATCH($A287,'Cohort Summary'!$A$5:$A$14,0)))/INDEX('Cohort Summary'!$G$5:$G$14,MATCH($A287,'Cohort Summary'!$A$5:$A$14,0))</f>
        <v>-1.34433962264151</v>
      </c>
      <c r="K287" s="42" t="n">
        <f aca="false">(F287-INDEX('Cohort Summary'!$H$5:$H$14,MATCH($A287,'Cohort Summary'!$A$5:$A$14,0)))/INDEX('Cohort Summary'!$I$5:$I$14,MATCH($A287,'Cohort Summary'!$A$5:$A$14,0))</f>
        <v>-0.969387755102041</v>
      </c>
      <c r="L287" s="42" t="n">
        <f aca="false">(G287-INDEX('Cohort Summary'!$J$5:$J$14,MATCH($A287,'Cohort Summary'!$A$5:$A$14,0)))/INDEX('Cohort Summary'!$K$5:$K$14,MATCH($A287,'Cohort Summary'!$A$5:$A$14,0))</f>
        <v>0.734374999999998</v>
      </c>
      <c r="M287" s="42" t="n">
        <f aca="false">MAX(I287:K287)</f>
        <v>-0.555214723926381</v>
      </c>
      <c r="N287" s="27" t="s">
        <v>197</v>
      </c>
      <c r="O287" s="27"/>
      <c r="P287" s="27" t="str">
        <f aca="false">A287&amp;"|"&amp;N287</f>
        <v>NURSE-02|normal</v>
      </c>
    </row>
    <row r="288" customFormat="false" ht="15" hidden="false" customHeight="true" outlineLevel="0" collapsed="false">
      <c r="A288" s="27" t="s">
        <v>73</v>
      </c>
      <c r="B288" s="41" t="n">
        <v>46303.3215277778</v>
      </c>
      <c r="C288" s="27" t="s">
        <v>200</v>
      </c>
      <c r="D288" s="27" t="n">
        <v>46.4</v>
      </c>
      <c r="E288" s="27" t="n">
        <v>22.4</v>
      </c>
      <c r="F288" s="27" t="n">
        <v>31.3</v>
      </c>
      <c r="G288" s="27" t="n">
        <v>32.9</v>
      </c>
      <c r="H288" s="27" t="s">
        <v>196</v>
      </c>
      <c r="I288" s="42" t="n">
        <f aca="false">(D288-INDEX('Cohort Summary'!$D$5:$D$14,MATCH($A288,'Cohort Summary'!$A$5:$A$14,0)))/INDEX('Cohort Summary'!$E$5:$E$14,MATCH($A288,'Cohort Summary'!$A$5:$A$14,0))</f>
        <v>0.794478527607361</v>
      </c>
      <c r="J288" s="42" t="n">
        <f aca="false">(E288-INDEX('Cohort Summary'!$F$5:$F$14,MATCH($A288,'Cohort Summary'!$A$5:$A$14,0)))/INDEX('Cohort Summary'!$G$5:$G$14,MATCH($A288,'Cohort Summary'!$A$5:$A$14,0))</f>
        <v>1.58018867924528</v>
      </c>
      <c r="K288" s="42" t="n">
        <f aca="false">(F288-INDEX('Cohort Summary'!$H$5:$H$14,MATCH($A288,'Cohort Summary'!$A$5:$A$14,0)))/INDEX('Cohort Summary'!$I$5:$I$14,MATCH($A288,'Cohort Summary'!$A$5:$A$14,0))</f>
        <v>-0.391156462585035</v>
      </c>
      <c r="L288" s="42" t="n">
        <f aca="false">(G288-INDEX('Cohort Summary'!$J$5:$J$14,MATCH($A288,'Cohort Summary'!$A$5:$A$14,0)))/INDEX('Cohort Summary'!$K$5:$K$14,MATCH($A288,'Cohort Summary'!$A$5:$A$14,0))</f>
        <v>0.109375</v>
      </c>
      <c r="M288" s="42" t="n">
        <f aca="false">MAX(I288:K288)</f>
        <v>1.58018867924528</v>
      </c>
      <c r="N288" s="27" t="s">
        <v>197</v>
      </c>
      <c r="O288" s="27"/>
      <c r="P288" s="27" t="str">
        <f aca="false">A288&amp;"|"&amp;N288</f>
        <v>NURSE-02|normal</v>
      </c>
    </row>
    <row r="289" customFormat="false" ht="15" hidden="false" customHeight="true" outlineLevel="0" collapsed="false">
      <c r="A289" s="27" t="s">
        <v>73</v>
      </c>
      <c r="B289" s="41" t="n">
        <v>46303.321875</v>
      </c>
      <c r="C289" s="27" t="s">
        <v>200</v>
      </c>
      <c r="D289" s="27" t="n">
        <v>45.5</v>
      </c>
      <c r="E289" s="27" t="n">
        <v>21.9</v>
      </c>
      <c r="F289" s="27" t="n">
        <v>33.7</v>
      </c>
      <c r="G289" s="27" t="n">
        <v>33.1</v>
      </c>
      <c r="H289" s="27" t="s">
        <v>196</v>
      </c>
      <c r="I289" s="42" t="n">
        <f aca="false">(D289-INDEX('Cohort Summary'!$D$5:$D$14,MATCH($A289,'Cohort Summary'!$A$5:$A$14,0)))/INDEX('Cohort Summary'!$E$5:$E$14,MATCH($A289,'Cohort Summary'!$A$5:$A$14,0))</f>
        <v>0.51840490797546</v>
      </c>
      <c r="J289" s="42" t="n">
        <f aca="false">(E289-INDEX('Cohort Summary'!$F$5:$F$14,MATCH($A289,'Cohort Summary'!$A$5:$A$14,0)))/INDEX('Cohort Summary'!$G$5:$G$14,MATCH($A289,'Cohort Summary'!$A$5:$A$14,0))</f>
        <v>1.34433962264151</v>
      </c>
      <c r="K289" s="42" t="n">
        <f aca="false">(F289-INDEX('Cohort Summary'!$H$5:$H$14,MATCH($A289,'Cohort Summary'!$A$5:$A$14,0)))/INDEX('Cohort Summary'!$I$5:$I$14,MATCH($A289,'Cohort Summary'!$A$5:$A$14,0))</f>
        <v>0.425170068027211</v>
      </c>
      <c r="L289" s="42" t="n">
        <f aca="false">(G289-INDEX('Cohort Summary'!$J$5:$J$14,MATCH($A289,'Cohort Summary'!$A$5:$A$14,0)))/INDEX('Cohort Summary'!$K$5:$K$14,MATCH($A289,'Cohort Summary'!$A$5:$A$14,0))</f>
        <v>0.421875000000005</v>
      </c>
      <c r="M289" s="42" t="n">
        <f aca="false">MAX(I289:K289)</f>
        <v>1.34433962264151</v>
      </c>
      <c r="N289" s="27" t="s">
        <v>197</v>
      </c>
      <c r="O289" s="27"/>
      <c r="P289" s="27" t="str">
        <f aca="false">A289&amp;"|"&amp;N289</f>
        <v>NURSE-02|normal</v>
      </c>
    </row>
    <row r="290" customFormat="false" ht="15" hidden="false" customHeight="true" outlineLevel="0" collapsed="false">
      <c r="A290" s="27" t="s">
        <v>73</v>
      </c>
      <c r="B290" s="41" t="n">
        <v>46303.3222222222</v>
      </c>
      <c r="C290" s="27" t="s">
        <v>200</v>
      </c>
      <c r="D290" s="27" t="n">
        <v>46</v>
      </c>
      <c r="E290" s="27" t="n">
        <v>22</v>
      </c>
      <c r="F290" s="27" t="n">
        <v>33.8</v>
      </c>
      <c r="G290" s="27" t="n">
        <v>33.1</v>
      </c>
      <c r="H290" s="27" t="s">
        <v>199</v>
      </c>
      <c r="I290" s="42" t="n">
        <f aca="false">(D290-INDEX('Cohort Summary'!$D$5:$D$14,MATCH($A290,'Cohort Summary'!$A$5:$A$14,0)))/INDEX('Cohort Summary'!$E$5:$E$14,MATCH($A290,'Cohort Summary'!$A$5:$A$14,0))</f>
        <v>0.671779141104294</v>
      </c>
      <c r="J290" s="42" t="n">
        <f aca="false">(E290-INDEX('Cohort Summary'!$F$5:$F$14,MATCH($A290,'Cohort Summary'!$A$5:$A$14,0)))/INDEX('Cohort Summary'!$G$5:$G$14,MATCH($A290,'Cohort Summary'!$A$5:$A$14,0))</f>
        <v>1.39150943396226</v>
      </c>
      <c r="K290" s="42" t="n">
        <f aca="false">(F290-INDEX('Cohort Summary'!$H$5:$H$14,MATCH($A290,'Cohort Summary'!$A$5:$A$14,0)))/INDEX('Cohort Summary'!$I$5:$I$14,MATCH($A290,'Cohort Summary'!$A$5:$A$14,0))</f>
        <v>0.459183673469386</v>
      </c>
      <c r="L290" s="42" t="n">
        <f aca="false">(G290-INDEX('Cohort Summary'!$J$5:$J$14,MATCH($A290,'Cohort Summary'!$A$5:$A$14,0)))/INDEX('Cohort Summary'!$K$5:$K$14,MATCH($A290,'Cohort Summary'!$A$5:$A$14,0))</f>
        <v>0.421875000000005</v>
      </c>
      <c r="M290" s="42" t="n">
        <f aca="false">MAX(I290:K290)</f>
        <v>1.39150943396226</v>
      </c>
      <c r="N290" s="27" t="s">
        <v>197</v>
      </c>
      <c r="O290" s="27"/>
      <c r="P290" s="27" t="str">
        <f aca="false">A290&amp;"|"&amp;N290</f>
        <v>NURSE-02|normal</v>
      </c>
    </row>
    <row r="291" customFormat="false" ht="15" hidden="false" customHeight="true" outlineLevel="0" collapsed="false">
      <c r="A291" s="27" t="s">
        <v>73</v>
      </c>
      <c r="B291" s="41" t="n">
        <v>46303.3225694444</v>
      </c>
      <c r="C291" s="27" t="s">
        <v>200</v>
      </c>
      <c r="D291" s="27" t="n">
        <v>43.3</v>
      </c>
      <c r="E291" s="27" t="n">
        <v>17.8</v>
      </c>
      <c r="F291" s="27" t="n">
        <v>34</v>
      </c>
      <c r="G291" s="27" t="n">
        <v>33.6</v>
      </c>
      <c r="H291" s="27" t="s">
        <v>198</v>
      </c>
      <c r="I291" s="42" t="n">
        <f aca="false">(D291-INDEX('Cohort Summary'!$D$5:$D$14,MATCH($A291,'Cohort Summary'!$A$5:$A$14,0)))/INDEX('Cohort Summary'!$E$5:$E$14,MATCH($A291,'Cohort Summary'!$A$5:$A$14,0))</f>
        <v>-0.156441717791413</v>
      </c>
      <c r="J291" s="42" t="n">
        <f aca="false">(E291-INDEX('Cohort Summary'!$F$5:$F$14,MATCH($A291,'Cohort Summary'!$A$5:$A$14,0)))/INDEX('Cohort Summary'!$G$5:$G$14,MATCH($A291,'Cohort Summary'!$A$5:$A$14,0))</f>
        <v>-0.589622641509434</v>
      </c>
      <c r="K291" s="42" t="n">
        <f aca="false">(F291-INDEX('Cohort Summary'!$H$5:$H$14,MATCH($A291,'Cohort Summary'!$A$5:$A$14,0)))/INDEX('Cohort Summary'!$I$5:$I$14,MATCH($A291,'Cohort Summary'!$A$5:$A$14,0))</f>
        <v>0.527210884353741</v>
      </c>
      <c r="L291" s="42" t="n">
        <f aca="false">(G291-INDEX('Cohort Summary'!$J$5:$J$14,MATCH($A291,'Cohort Summary'!$A$5:$A$14,0)))/INDEX('Cohort Summary'!$K$5:$K$14,MATCH($A291,'Cohort Summary'!$A$5:$A$14,0))</f>
        <v>1.203125</v>
      </c>
      <c r="M291" s="42" t="n">
        <f aca="false">MAX(I291:K291)</f>
        <v>0.527210884353741</v>
      </c>
      <c r="N291" s="27" t="s">
        <v>197</v>
      </c>
      <c r="O291" s="27"/>
      <c r="P291" s="27" t="str">
        <f aca="false">A291&amp;"|"&amp;N291</f>
        <v>NURSE-02|normal</v>
      </c>
    </row>
    <row r="292" customFormat="false" ht="15" hidden="false" customHeight="true" outlineLevel="0" collapsed="false">
      <c r="A292" s="27" t="s">
        <v>73</v>
      </c>
      <c r="B292" s="41" t="n">
        <v>46303.3229166667</v>
      </c>
      <c r="C292" s="27" t="s">
        <v>200</v>
      </c>
      <c r="D292" s="27" t="n">
        <v>46.8</v>
      </c>
      <c r="E292" s="27" t="n">
        <v>21</v>
      </c>
      <c r="F292" s="27" t="n">
        <v>33.3</v>
      </c>
      <c r="G292" s="27" t="n">
        <v>32.3</v>
      </c>
      <c r="H292" s="27" t="s">
        <v>199</v>
      </c>
      <c r="I292" s="42" t="n">
        <f aca="false">(D292-INDEX('Cohort Summary'!$D$5:$D$14,MATCH($A292,'Cohort Summary'!$A$5:$A$14,0)))/INDEX('Cohort Summary'!$E$5:$E$14,MATCH($A292,'Cohort Summary'!$A$5:$A$14,0))</f>
        <v>0.917177914110428</v>
      </c>
      <c r="J292" s="42" t="n">
        <f aca="false">(E292-INDEX('Cohort Summary'!$F$5:$F$14,MATCH($A292,'Cohort Summary'!$A$5:$A$14,0)))/INDEX('Cohort Summary'!$G$5:$G$14,MATCH($A292,'Cohort Summary'!$A$5:$A$14,0))</f>
        <v>0.919811320754717</v>
      </c>
      <c r="K292" s="42" t="n">
        <f aca="false">(F292-INDEX('Cohort Summary'!$H$5:$H$14,MATCH($A292,'Cohort Summary'!$A$5:$A$14,0)))/INDEX('Cohort Summary'!$I$5:$I$14,MATCH($A292,'Cohort Summary'!$A$5:$A$14,0))</f>
        <v>0.289115646258501</v>
      </c>
      <c r="L292" s="42" t="n">
        <f aca="false">(G292-INDEX('Cohort Summary'!$J$5:$J$14,MATCH($A292,'Cohort Summary'!$A$5:$A$14,0)))/INDEX('Cohort Summary'!$K$5:$K$14,MATCH($A292,'Cohort Summary'!$A$5:$A$14,0))</f>
        <v>-0.828125000000002</v>
      </c>
      <c r="M292" s="42" t="n">
        <f aca="false">MAX(I292:K292)</f>
        <v>0.919811320754717</v>
      </c>
      <c r="N292" s="27" t="s">
        <v>197</v>
      </c>
      <c r="O292" s="27"/>
      <c r="P292" s="27" t="str">
        <f aca="false">A292&amp;"|"&amp;N292</f>
        <v>NURSE-02|normal</v>
      </c>
    </row>
    <row r="293" customFormat="false" ht="15" hidden="false" customHeight="true" outlineLevel="0" collapsed="false">
      <c r="A293" s="27" t="s">
        <v>73</v>
      </c>
      <c r="B293" s="41" t="n">
        <v>46303.3232638889</v>
      </c>
      <c r="C293" s="27" t="s">
        <v>200</v>
      </c>
      <c r="D293" s="27" t="n">
        <v>43.8</v>
      </c>
      <c r="E293" s="27" t="n">
        <v>16.1</v>
      </c>
      <c r="F293" s="27" t="n">
        <v>35.6</v>
      </c>
      <c r="G293" s="27" t="n">
        <v>32.8</v>
      </c>
      <c r="H293" s="27" t="s">
        <v>196</v>
      </c>
      <c r="I293" s="42" t="n">
        <f aca="false">(D293-INDEX('Cohort Summary'!$D$5:$D$14,MATCH($A293,'Cohort Summary'!$A$5:$A$14,0)))/INDEX('Cohort Summary'!$E$5:$E$14,MATCH($A293,'Cohort Summary'!$A$5:$A$14,0))</f>
        <v>-0.00306748466257826</v>
      </c>
      <c r="J293" s="42" t="n">
        <f aca="false">(E293-INDEX('Cohort Summary'!$F$5:$F$14,MATCH($A293,'Cohort Summary'!$A$5:$A$14,0)))/INDEX('Cohort Summary'!$G$5:$G$14,MATCH($A293,'Cohort Summary'!$A$5:$A$14,0))</f>
        <v>-1.39150943396226</v>
      </c>
      <c r="K293" s="42" t="n">
        <f aca="false">(F293-INDEX('Cohort Summary'!$H$5:$H$14,MATCH($A293,'Cohort Summary'!$A$5:$A$14,0)))/INDEX('Cohort Summary'!$I$5:$I$14,MATCH($A293,'Cohort Summary'!$A$5:$A$14,0))</f>
        <v>1.07142857142857</v>
      </c>
      <c r="L293" s="42" t="n">
        <f aca="false">(G293-INDEX('Cohort Summary'!$J$5:$J$14,MATCH($A293,'Cohort Summary'!$A$5:$A$14,0)))/INDEX('Cohort Summary'!$K$5:$K$14,MATCH($A293,'Cohort Summary'!$A$5:$A$14,0))</f>
        <v>-0.0468750000000018</v>
      </c>
      <c r="M293" s="42" t="n">
        <f aca="false">MAX(I293:K293)</f>
        <v>1.07142857142857</v>
      </c>
      <c r="N293" s="27" t="s">
        <v>197</v>
      </c>
      <c r="O293" s="27"/>
      <c r="P293" s="27" t="str">
        <f aca="false">A293&amp;"|"&amp;N293</f>
        <v>NURSE-02|normal</v>
      </c>
    </row>
    <row r="294" customFormat="false" ht="15" hidden="false" customHeight="true" outlineLevel="0" collapsed="false">
      <c r="A294" s="27" t="s">
        <v>73</v>
      </c>
      <c r="B294" s="41" t="n">
        <v>46303.3236111111</v>
      </c>
      <c r="C294" s="27" t="s">
        <v>200</v>
      </c>
      <c r="D294" s="27" t="n">
        <v>48.3</v>
      </c>
      <c r="E294" s="27" t="n">
        <v>17.3</v>
      </c>
      <c r="F294" s="27" t="n">
        <v>33.5</v>
      </c>
      <c r="G294" s="27" t="n">
        <v>33.4</v>
      </c>
      <c r="H294" s="27" t="s">
        <v>199</v>
      </c>
      <c r="I294" s="42" t="n">
        <f aca="false">(D294-INDEX('Cohort Summary'!$D$5:$D$14,MATCH($A294,'Cohort Summary'!$A$5:$A$14,0)))/INDEX('Cohort Summary'!$E$5:$E$14,MATCH($A294,'Cohort Summary'!$A$5:$A$14,0))</f>
        <v>1.37730061349693</v>
      </c>
      <c r="J294" s="42" t="n">
        <f aca="false">(E294-INDEX('Cohort Summary'!$F$5:$F$14,MATCH($A294,'Cohort Summary'!$A$5:$A$14,0)))/INDEX('Cohort Summary'!$G$5:$G$14,MATCH($A294,'Cohort Summary'!$A$5:$A$14,0))</f>
        <v>-0.825471698113208</v>
      </c>
      <c r="K294" s="42" t="n">
        <f aca="false">(F294-INDEX('Cohort Summary'!$H$5:$H$14,MATCH($A294,'Cohort Summary'!$A$5:$A$14,0)))/INDEX('Cohort Summary'!$I$5:$I$14,MATCH($A294,'Cohort Summary'!$A$5:$A$14,0))</f>
        <v>0.357142857142856</v>
      </c>
      <c r="L294" s="42" t="n">
        <f aca="false">(G294-INDEX('Cohort Summary'!$J$5:$J$14,MATCH($A294,'Cohort Summary'!$A$5:$A$14,0)))/INDEX('Cohort Summary'!$K$5:$K$14,MATCH($A294,'Cohort Summary'!$A$5:$A$14,0))</f>
        <v>0.890625</v>
      </c>
      <c r="M294" s="42" t="n">
        <f aca="false">MAX(I294:K294)</f>
        <v>1.37730061349693</v>
      </c>
      <c r="N294" s="27" t="s">
        <v>197</v>
      </c>
      <c r="O294" s="27"/>
      <c r="P294" s="27" t="str">
        <f aca="false">A294&amp;"|"&amp;N294</f>
        <v>NURSE-02|normal</v>
      </c>
    </row>
    <row r="295" customFormat="false" ht="15" hidden="false" customHeight="true" outlineLevel="0" collapsed="false">
      <c r="A295" s="27" t="s">
        <v>73</v>
      </c>
      <c r="B295" s="41" t="n">
        <v>46303.3239583333</v>
      </c>
      <c r="C295" s="27" t="s">
        <v>200</v>
      </c>
      <c r="D295" s="27" t="n">
        <v>47.3</v>
      </c>
      <c r="E295" s="27" t="n">
        <v>22.4</v>
      </c>
      <c r="F295" s="27" t="n">
        <v>28.1</v>
      </c>
      <c r="G295" s="27" t="n">
        <v>32.3</v>
      </c>
      <c r="H295" s="27" t="s">
        <v>198</v>
      </c>
      <c r="I295" s="42" t="n">
        <f aca="false">(D295-INDEX('Cohort Summary'!$D$5:$D$14,MATCH($A295,'Cohort Summary'!$A$5:$A$14,0)))/INDEX('Cohort Summary'!$E$5:$E$14,MATCH($A295,'Cohort Summary'!$A$5:$A$14,0))</f>
        <v>1.07055214723926</v>
      </c>
      <c r="J295" s="42" t="n">
        <f aca="false">(E295-INDEX('Cohort Summary'!$F$5:$F$14,MATCH($A295,'Cohort Summary'!$A$5:$A$14,0)))/INDEX('Cohort Summary'!$G$5:$G$14,MATCH($A295,'Cohort Summary'!$A$5:$A$14,0))</f>
        <v>1.58018867924528</v>
      </c>
      <c r="K295" s="42" t="n">
        <f aca="false">(F295-INDEX('Cohort Summary'!$H$5:$H$14,MATCH($A295,'Cohort Summary'!$A$5:$A$14,0)))/INDEX('Cohort Summary'!$I$5:$I$14,MATCH($A295,'Cohort Summary'!$A$5:$A$14,0))</f>
        <v>-1.47959183673469</v>
      </c>
      <c r="L295" s="42" t="n">
        <f aca="false">(G295-INDEX('Cohort Summary'!$J$5:$J$14,MATCH($A295,'Cohort Summary'!$A$5:$A$14,0)))/INDEX('Cohort Summary'!$K$5:$K$14,MATCH($A295,'Cohort Summary'!$A$5:$A$14,0))</f>
        <v>-0.828125000000002</v>
      </c>
      <c r="M295" s="42" t="n">
        <f aca="false">MAX(I295:K295)</f>
        <v>1.58018867924528</v>
      </c>
      <c r="N295" s="27" t="s">
        <v>197</v>
      </c>
      <c r="O295" s="27"/>
      <c r="P295" s="27" t="str">
        <f aca="false">A295&amp;"|"&amp;N295</f>
        <v>NURSE-02|normal</v>
      </c>
    </row>
    <row r="296" customFormat="false" ht="15" hidden="false" customHeight="true" outlineLevel="0" collapsed="false">
      <c r="A296" s="27" t="s">
        <v>73</v>
      </c>
      <c r="B296" s="41" t="n">
        <v>46303.3243055556</v>
      </c>
      <c r="C296" s="27" t="s">
        <v>200</v>
      </c>
      <c r="D296" s="27" t="n">
        <v>40.6</v>
      </c>
      <c r="E296" s="27" t="n">
        <v>21.5</v>
      </c>
      <c r="F296" s="27" t="n">
        <v>36.4</v>
      </c>
      <c r="G296" s="27" t="n">
        <v>32.8</v>
      </c>
      <c r="H296" s="27" t="s">
        <v>198</v>
      </c>
      <c r="I296" s="42" t="n">
        <f aca="false">(D296-INDEX('Cohort Summary'!$D$5:$D$14,MATCH($A296,'Cohort Summary'!$A$5:$A$14,0)))/INDEX('Cohort Summary'!$E$5:$E$14,MATCH($A296,'Cohort Summary'!$A$5:$A$14,0))</f>
        <v>-0.984662576687117</v>
      </c>
      <c r="J296" s="42" t="n">
        <f aca="false">(E296-INDEX('Cohort Summary'!$F$5:$F$14,MATCH($A296,'Cohort Summary'!$A$5:$A$14,0)))/INDEX('Cohort Summary'!$G$5:$G$14,MATCH($A296,'Cohort Summary'!$A$5:$A$14,0))</f>
        <v>1.15566037735849</v>
      </c>
      <c r="K296" s="42" t="n">
        <f aca="false">(F296-INDEX('Cohort Summary'!$H$5:$H$14,MATCH($A296,'Cohort Summary'!$A$5:$A$14,0)))/INDEX('Cohort Summary'!$I$5:$I$14,MATCH($A296,'Cohort Summary'!$A$5:$A$14,0))</f>
        <v>1.34353741496598</v>
      </c>
      <c r="L296" s="42" t="n">
        <f aca="false">(G296-INDEX('Cohort Summary'!$J$5:$J$14,MATCH($A296,'Cohort Summary'!$A$5:$A$14,0)))/INDEX('Cohort Summary'!$K$5:$K$14,MATCH($A296,'Cohort Summary'!$A$5:$A$14,0))</f>
        <v>-0.0468750000000018</v>
      </c>
      <c r="M296" s="42" t="n">
        <f aca="false">MAX(I296:K296)</f>
        <v>1.34353741496598</v>
      </c>
      <c r="N296" s="27" t="s">
        <v>197</v>
      </c>
      <c r="O296" s="27"/>
      <c r="P296" s="27" t="str">
        <f aca="false">A296&amp;"|"&amp;N296</f>
        <v>NURSE-02|normal</v>
      </c>
    </row>
    <row r="297" customFormat="false" ht="15" hidden="false" customHeight="true" outlineLevel="0" collapsed="false">
      <c r="A297" s="27" t="s">
        <v>73</v>
      </c>
      <c r="B297" s="41" t="n">
        <v>46303.3246527778</v>
      </c>
      <c r="C297" s="27" t="s">
        <v>200</v>
      </c>
      <c r="D297" s="27" t="n">
        <v>47.5</v>
      </c>
      <c r="E297" s="27" t="n">
        <v>19.2</v>
      </c>
      <c r="F297" s="27" t="n">
        <v>29</v>
      </c>
      <c r="G297" s="27" t="n">
        <v>32.8</v>
      </c>
      <c r="H297" s="27" t="s">
        <v>198</v>
      </c>
      <c r="I297" s="42" t="n">
        <f aca="false">(D297-INDEX('Cohort Summary'!$D$5:$D$14,MATCH($A297,'Cohort Summary'!$A$5:$A$14,0)))/INDEX('Cohort Summary'!$E$5:$E$14,MATCH($A297,'Cohort Summary'!$A$5:$A$14,0))</f>
        <v>1.1319018404908</v>
      </c>
      <c r="J297" s="42" t="n">
        <f aca="false">(E297-INDEX('Cohort Summary'!$F$5:$F$14,MATCH($A297,'Cohort Summary'!$A$5:$A$14,0)))/INDEX('Cohort Summary'!$G$5:$G$14,MATCH($A297,'Cohort Summary'!$A$5:$A$14,0))</f>
        <v>0.0707547169811314</v>
      </c>
      <c r="K297" s="42" t="n">
        <f aca="false">(F297-INDEX('Cohort Summary'!$H$5:$H$14,MATCH($A297,'Cohort Summary'!$A$5:$A$14,0)))/INDEX('Cohort Summary'!$I$5:$I$14,MATCH($A297,'Cohort Summary'!$A$5:$A$14,0))</f>
        <v>-1.1734693877551</v>
      </c>
      <c r="L297" s="42" t="n">
        <f aca="false">(G297-INDEX('Cohort Summary'!$J$5:$J$14,MATCH($A297,'Cohort Summary'!$A$5:$A$14,0)))/INDEX('Cohort Summary'!$K$5:$K$14,MATCH($A297,'Cohort Summary'!$A$5:$A$14,0))</f>
        <v>-0.0468750000000018</v>
      </c>
      <c r="M297" s="42" t="n">
        <f aca="false">MAX(I297:K297)</f>
        <v>1.1319018404908</v>
      </c>
      <c r="N297" s="27" t="s">
        <v>197</v>
      </c>
      <c r="O297" s="27"/>
      <c r="P297" s="27" t="str">
        <f aca="false">A297&amp;"|"&amp;N297</f>
        <v>NURSE-02|normal</v>
      </c>
    </row>
    <row r="298" customFormat="false" ht="15" hidden="false" customHeight="true" outlineLevel="0" collapsed="false">
      <c r="A298" s="27" t="s">
        <v>73</v>
      </c>
      <c r="B298" s="41" t="n">
        <v>46303.325</v>
      </c>
      <c r="C298" s="27" t="s">
        <v>200</v>
      </c>
      <c r="D298" s="27" t="n">
        <v>45.4</v>
      </c>
      <c r="E298" s="27" t="n">
        <v>21.8</v>
      </c>
      <c r="F298" s="27" t="n">
        <v>32.2</v>
      </c>
      <c r="G298" s="27" t="n">
        <v>32.6</v>
      </c>
      <c r="H298" s="27" t="s">
        <v>199</v>
      </c>
      <c r="I298" s="42" t="n">
        <f aca="false">(D298-INDEX('Cohort Summary'!$D$5:$D$14,MATCH($A298,'Cohort Summary'!$A$5:$A$14,0)))/INDEX('Cohort Summary'!$E$5:$E$14,MATCH($A298,'Cohort Summary'!$A$5:$A$14,0))</f>
        <v>0.487730061349692</v>
      </c>
      <c r="J298" s="42" t="n">
        <f aca="false">(E298-INDEX('Cohort Summary'!$F$5:$F$14,MATCH($A298,'Cohort Summary'!$A$5:$A$14,0)))/INDEX('Cohort Summary'!$G$5:$G$14,MATCH($A298,'Cohort Summary'!$A$5:$A$14,0))</f>
        <v>1.29716981132075</v>
      </c>
      <c r="K298" s="42" t="n">
        <f aca="false">(F298-INDEX('Cohort Summary'!$H$5:$H$14,MATCH($A298,'Cohort Summary'!$A$5:$A$14,0)))/INDEX('Cohort Summary'!$I$5:$I$14,MATCH($A298,'Cohort Summary'!$A$5:$A$14,0))</f>
        <v>-0.0850340136054422</v>
      </c>
      <c r="L298" s="42" t="n">
        <f aca="false">(G298-INDEX('Cohort Summary'!$J$5:$J$14,MATCH($A298,'Cohort Summary'!$A$5:$A$14,0)))/INDEX('Cohort Summary'!$K$5:$K$14,MATCH($A298,'Cohort Summary'!$A$5:$A$14,0))</f>
        <v>-0.359374999999995</v>
      </c>
      <c r="M298" s="42" t="n">
        <f aca="false">MAX(I298:K298)</f>
        <v>1.29716981132075</v>
      </c>
      <c r="N298" s="27" t="s">
        <v>197</v>
      </c>
      <c r="O298" s="27"/>
      <c r="P298" s="27" t="str">
        <f aca="false">A298&amp;"|"&amp;N298</f>
        <v>NURSE-02|normal</v>
      </c>
    </row>
    <row r="299" customFormat="false" ht="15" hidden="false" customHeight="true" outlineLevel="0" collapsed="false">
      <c r="A299" s="27" t="s">
        <v>73</v>
      </c>
      <c r="B299" s="41" t="n">
        <v>46303.3253472222</v>
      </c>
      <c r="C299" s="27" t="s">
        <v>200</v>
      </c>
      <c r="D299" s="27" t="n">
        <v>41.1</v>
      </c>
      <c r="E299" s="27" t="n">
        <v>20.8</v>
      </c>
      <c r="F299" s="27" t="n">
        <v>30.9</v>
      </c>
      <c r="G299" s="27" t="n">
        <v>33.3</v>
      </c>
      <c r="H299" s="27" t="s">
        <v>198</v>
      </c>
      <c r="I299" s="42" t="n">
        <f aca="false">(D299-INDEX('Cohort Summary'!$D$5:$D$14,MATCH($A299,'Cohort Summary'!$A$5:$A$14,0)))/INDEX('Cohort Summary'!$E$5:$E$14,MATCH($A299,'Cohort Summary'!$A$5:$A$14,0))</f>
        <v>-0.831288343558283</v>
      </c>
      <c r="J299" s="42" t="n">
        <f aca="false">(E299-INDEX('Cohort Summary'!$F$5:$F$14,MATCH($A299,'Cohort Summary'!$A$5:$A$14,0)))/INDEX('Cohort Summary'!$G$5:$G$14,MATCH($A299,'Cohort Summary'!$A$5:$A$14,0))</f>
        <v>0.825471698113208</v>
      </c>
      <c r="K299" s="42" t="n">
        <f aca="false">(F299-INDEX('Cohort Summary'!$H$5:$H$14,MATCH($A299,'Cohort Summary'!$A$5:$A$14,0)))/INDEX('Cohort Summary'!$I$5:$I$14,MATCH($A299,'Cohort Summary'!$A$5:$A$14,0))</f>
        <v>-0.527210884353743</v>
      </c>
      <c r="L299" s="42" t="n">
        <f aca="false">(G299-INDEX('Cohort Summary'!$J$5:$J$14,MATCH($A299,'Cohort Summary'!$A$5:$A$14,0)))/INDEX('Cohort Summary'!$K$5:$K$14,MATCH($A299,'Cohort Summary'!$A$5:$A$14,0))</f>
        <v>0.734374999999998</v>
      </c>
      <c r="M299" s="42" t="n">
        <f aca="false">MAX(I299:K299)</f>
        <v>0.825471698113208</v>
      </c>
      <c r="N299" s="27" t="s">
        <v>197</v>
      </c>
      <c r="O299" s="27"/>
      <c r="P299" s="27" t="str">
        <f aca="false">A299&amp;"|"&amp;N299</f>
        <v>NURSE-02|normal</v>
      </c>
    </row>
    <row r="300" customFormat="false" ht="15" hidden="false" customHeight="true" outlineLevel="0" collapsed="false">
      <c r="A300" s="27" t="s">
        <v>73</v>
      </c>
      <c r="B300" s="41" t="n">
        <v>46303.3256944444</v>
      </c>
      <c r="C300" s="27" t="s">
        <v>200</v>
      </c>
      <c r="D300" s="27" t="n">
        <v>46.3</v>
      </c>
      <c r="E300" s="27" t="n">
        <v>20.3</v>
      </c>
      <c r="F300" s="27" t="n">
        <v>33.4</v>
      </c>
      <c r="G300" s="27" t="n">
        <v>32.3</v>
      </c>
      <c r="H300" s="27" t="s">
        <v>199</v>
      </c>
      <c r="I300" s="42" t="n">
        <f aca="false">(D300-INDEX('Cohort Summary'!$D$5:$D$14,MATCH($A300,'Cohort Summary'!$A$5:$A$14,0)))/INDEX('Cohort Summary'!$E$5:$E$14,MATCH($A300,'Cohort Summary'!$A$5:$A$14,0))</f>
        <v>0.763803680981594</v>
      </c>
      <c r="J300" s="42" t="n">
        <f aca="false">(E300-INDEX('Cohort Summary'!$F$5:$F$14,MATCH($A300,'Cohort Summary'!$A$5:$A$14,0)))/INDEX('Cohort Summary'!$G$5:$G$14,MATCH($A300,'Cohort Summary'!$A$5:$A$14,0))</f>
        <v>0.589622641509434</v>
      </c>
      <c r="K300" s="42" t="n">
        <f aca="false">(F300-INDEX('Cohort Summary'!$H$5:$H$14,MATCH($A300,'Cohort Summary'!$A$5:$A$14,0)))/INDEX('Cohort Summary'!$I$5:$I$14,MATCH($A300,'Cohort Summary'!$A$5:$A$14,0))</f>
        <v>0.323129251700679</v>
      </c>
      <c r="L300" s="42" t="n">
        <f aca="false">(G300-INDEX('Cohort Summary'!$J$5:$J$14,MATCH($A300,'Cohort Summary'!$A$5:$A$14,0)))/INDEX('Cohort Summary'!$K$5:$K$14,MATCH($A300,'Cohort Summary'!$A$5:$A$14,0))</f>
        <v>-0.828125000000002</v>
      </c>
      <c r="M300" s="42" t="n">
        <f aca="false">MAX(I300:K300)</f>
        <v>0.763803680981594</v>
      </c>
      <c r="N300" s="27" t="s">
        <v>197</v>
      </c>
      <c r="O300" s="27"/>
      <c r="P300" s="27" t="str">
        <f aca="false">A300&amp;"|"&amp;N300</f>
        <v>NURSE-02|normal</v>
      </c>
    </row>
    <row r="301" customFormat="false" ht="15" hidden="false" customHeight="true" outlineLevel="0" collapsed="false">
      <c r="A301" s="27" t="s">
        <v>73</v>
      </c>
      <c r="B301" s="41" t="n">
        <v>46303.3260416667</v>
      </c>
      <c r="C301" s="27" t="s">
        <v>200</v>
      </c>
      <c r="D301" s="27" t="n">
        <v>43</v>
      </c>
      <c r="E301" s="27" t="n">
        <v>16.1</v>
      </c>
      <c r="F301" s="27" t="n">
        <v>31.2</v>
      </c>
      <c r="G301" s="27" t="n">
        <v>32.6</v>
      </c>
      <c r="H301" s="27" t="s">
        <v>196</v>
      </c>
      <c r="I301" s="42" t="n">
        <f aca="false">(D301-INDEX('Cohort Summary'!$D$5:$D$14,MATCH($A301,'Cohort Summary'!$A$5:$A$14,0)))/INDEX('Cohort Summary'!$E$5:$E$14,MATCH($A301,'Cohort Summary'!$A$5:$A$14,0))</f>
        <v>-0.248466257668712</v>
      </c>
      <c r="J301" s="42" t="n">
        <f aca="false">(E301-INDEX('Cohort Summary'!$F$5:$F$14,MATCH($A301,'Cohort Summary'!$A$5:$A$14,0)))/INDEX('Cohort Summary'!$G$5:$G$14,MATCH($A301,'Cohort Summary'!$A$5:$A$14,0))</f>
        <v>-1.39150943396226</v>
      </c>
      <c r="K301" s="42" t="n">
        <f aca="false">(F301-INDEX('Cohort Summary'!$H$5:$H$14,MATCH($A301,'Cohort Summary'!$A$5:$A$14,0)))/INDEX('Cohort Summary'!$I$5:$I$14,MATCH($A301,'Cohort Summary'!$A$5:$A$14,0))</f>
        <v>-0.425170068027212</v>
      </c>
      <c r="L301" s="42" t="n">
        <f aca="false">(G301-INDEX('Cohort Summary'!$J$5:$J$14,MATCH($A301,'Cohort Summary'!$A$5:$A$14,0)))/INDEX('Cohort Summary'!$K$5:$K$14,MATCH($A301,'Cohort Summary'!$A$5:$A$14,0))</f>
        <v>-0.359374999999995</v>
      </c>
      <c r="M301" s="42" t="n">
        <f aca="false">MAX(I301:K301)</f>
        <v>-0.248466257668712</v>
      </c>
      <c r="N301" s="27" t="s">
        <v>197</v>
      </c>
      <c r="O301" s="27"/>
      <c r="P301" s="27" t="str">
        <f aca="false">A301&amp;"|"&amp;N301</f>
        <v>NURSE-02|normal</v>
      </c>
    </row>
    <row r="302" customFormat="false" ht="15" hidden="false" customHeight="true" outlineLevel="0" collapsed="false">
      <c r="A302" s="27" t="s">
        <v>73</v>
      </c>
      <c r="B302" s="41" t="n">
        <v>46303.3263888889</v>
      </c>
      <c r="C302" s="27" t="s">
        <v>200</v>
      </c>
      <c r="D302" s="27" t="n">
        <v>45.7</v>
      </c>
      <c r="E302" s="27" t="n">
        <v>20.1</v>
      </c>
      <c r="F302" s="27" t="n">
        <v>28.1</v>
      </c>
      <c r="G302" s="27" t="n">
        <v>32.4</v>
      </c>
      <c r="H302" s="27" t="s">
        <v>199</v>
      </c>
      <c r="I302" s="42" t="n">
        <f aca="false">(D302-INDEX('Cohort Summary'!$D$5:$D$14,MATCH($A302,'Cohort Summary'!$A$5:$A$14,0)))/INDEX('Cohort Summary'!$E$5:$E$14,MATCH($A302,'Cohort Summary'!$A$5:$A$14,0))</f>
        <v>0.579754601226994</v>
      </c>
      <c r="J302" s="42" t="n">
        <f aca="false">(E302-INDEX('Cohort Summary'!$F$5:$F$14,MATCH($A302,'Cohort Summary'!$A$5:$A$14,0)))/INDEX('Cohort Summary'!$G$5:$G$14,MATCH($A302,'Cohort Summary'!$A$5:$A$14,0))</f>
        <v>0.495283018867925</v>
      </c>
      <c r="K302" s="42" t="n">
        <f aca="false">(F302-INDEX('Cohort Summary'!$H$5:$H$14,MATCH($A302,'Cohort Summary'!$A$5:$A$14,0)))/INDEX('Cohort Summary'!$I$5:$I$14,MATCH($A302,'Cohort Summary'!$A$5:$A$14,0))</f>
        <v>-1.47959183673469</v>
      </c>
      <c r="L302" s="42" t="n">
        <f aca="false">(G302-INDEX('Cohort Summary'!$J$5:$J$14,MATCH($A302,'Cohort Summary'!$A$5:$A$14,0)))/INDEX('Cohort Summary'!$K$5:$K$14,MATCH($A302,'Cohort Summary'!$A$5:$A$14,0))</f>
        <v>-0.671875</v>
      </c>
      <c r="M302" s="42" t="n">
        <f aca="false">MAX(I302:K302)</f>
        <v>0.579754601226994</v>
      </c>
      <c r="N302" s="27" t="s">
        <v>197</v>
      </c>
      <c r="O302" s="27"/>
      <c r="P302" s="27" t="str">
        <f aca="false">A302&amp;"|"&amp;N302</f>
        <v>NURSE-02|normal</v>
      </c>
    </row>
    <row r="303" customFormat="false" ht="15" hidden="false" customHeight="true" outlineLevel="0" collapsed="false">
      <c r="A303" s="27" t="s">
        <v>73</v>
      </c>
      <c r="B303" s="41" t="n">
        <v>46303.3267361111</v>
      </c>
      <c r="C303" s="27" t="s">
        <v>200</v>
      </c>
      <c r="D303" s="27" t="n">
        <v>48.4</v>
      </c>
      <c r="E303" s="27" t="n">
        <v>19.7</v>
      </c>
      <c r="F303" s="27" t="n">
        <v>29.2</v>
      </c>
      <c r="G303" s="27" t="n">
        <v>33.4</v>
      </c>
      <c r="H303" s="27" t="s">
        <v>199</v>
      </c>
      <c r="I303" s="42" t="n">
        <f aca="false">(D303-INDEX('Cohort Summary'!$D$5:$D$14,MATCH($A303,'Cohort Summary'!$A$5:$A$14,0)))/INDEX('Cohort Summary'!$E$5:$E$14,MATCH($A303,'Cohort Summary'!$A$5:$A$14,0))</f>
        <v>1.4079754601227</v>
      </c>
      <c r="J303" s="42" t="n">
        <f aca="false">(E303-INDEX('Cohort Summary'!$F$5:$F$14,MATCH($A303,'Cohort Summary'!$A$5:$A$14,0)))/INDEX('Cohort Summary'!$G$5:$G$14,MATCH($A303,'Cohort Summary'!$A$5:$A$14,0))</f>
        <v>0.306603773584905</v>
      </c>
      <c r="K303" s="42" t="n">
        <f aca="false">(F303-INDEX('Cohort Summary'!$H$5:$H$14,MATCH($A303,'Cohort Summary'!$A$5:$A$14,0)))/INDEX('Cohort Summary'!$I$5:$I$14,MATCH($A303,'Cohort Summary'!$A$5:$A$14,0))</f>
        <v>-1.10544217687075</v>
      </c>
      <c r="L303" s="42" t="n">
        <f aca="false">(G303-INDEX('Cohort Summary'!$J$5:$J$14,MATCH($A303,'Cohort Summary'!$A$5:$A$14,0)))/INDEX('Cohort Summary'!$K$5:$K$14,MATCH($A303,'Cohort Summary'!$A$5:$A$14,0))</f>
        <v>0.890625</v>
      </c>
      <c r="M303" s="42" t="n">
        <f aca="false">MAX(I303:K303)</f>
        <v>1.4079754601227</v>
      </c>
      <c r="N303" s="27" t="s">
        <v>197</v>
      </c>
      <c r="O303" s="27"/>
      <c r="P303" s="27" t="str">
        <f aca="false">A303&amp;"|"&amp;N303</f>
        <v>NURSE-02|normal</v>
      </c>
    </row>
    <row r="304" customFormat="false" ht="15" hidden="false" customHeight="true" outlineLevel="0" collapsed="false">
      <c r="A304" s="27" t="s">
        <v>73</v>
      </c>
      <c r="B304" s="41" t="n">
        <v>46303.3270833333</v>
      </c>
      <c r="C304" s="27" t="s">
        <v>200</v>
      </c>
      <c r="D304" s="27" t="n">
        <v>43.6</v>
      </c>
      <c r="E304" s="27" t="n">
        <v>17.2</v>
      </c>
      <c r="F304" s="27" t="n">
        <v>36.3</v>
      </c>
      <c r="G304" s="27" t="n">
        <v>31.9</v>
      </c>
      <c r="H304" s="27" t="s">
        <v>196</v>
      </c>
      <c r="I304" s="42" t="n">
        <f aca="false">(D304-INDEX('Cohort Summary'!$D$5:$D$14,MATCH($A304,'Cohort Summary'!$A$5:$A$14,0)))/INDEX('Cohort Summary'!$E$5:$E$14,MATCH($A304,'Cohort Summary'!$A$5:$A$14,0))</f>
        <v>-0.0644171779141107</v>
      </c>
      <c r="J304" s="42" t="n">
        <f aca="false">(E304-INDEX('Cohort Summary'!$F$5:$F$14,MATCH($A304,'Cohort Summary'!$A$5:$A$14,0)))/INDEX('Cohort Summary'!$G$5:$G$14,MATCH($A304,'Cohort Summary'!$A$5:$A$14,0))</f>
        <v>-0.872641509433963</v>
      </c>
      <c r="K304" s="42" t="n">
        <f aca="false">(F304-INDEX('Cohort Summary'!$H$5:$H$14,MATCH($A304,'Cohort Summary'!$A$5:$A$14,0)))/INDEX('Cohort Summary'!$I$5:$I$14,MATCH($A304,'Cohort Summary'!$A$5:$A$14,0))</f>
        <v>1.30952380952381</v>
      </c>
      <c r="L304" s="42" t="n">
        <f aca="false">(G304-INDEX('Cohort Summary'!$J$5:$J$14,MATCH($A304,'Cohort Summary'!$A$5:$A$14,0)))/INDEX('Cohort Summary'!$K$5:$K$14,MATCH($A304,'Cohort Summary'!$A$5:$A$14,0))</f>
        <v>-1.453125</v>
      </c>
      <c r="M304" s="42" t="n">
        <f aca="false">MAX(I304:K304)</f>
        <v>1.30952380952381</v>
      </c>
      <c r="N304" s="27" t="s">
        <v>197</v>
      </c>
      <c r="O304" s="27"/>
      <c r="P304" s="27" t="str">
        <f aca="false">A304&amp;"|"&amp;N304</f>
        <v>NURSE-02|normal</v>
      </c>
    </row>
    <row r="305" customFormat="false" ht="15" hidden="false" customHeight="true" outlineLevel="0" collapsed="false">
      <c r="A305" s="27" t="s">
        <v>73</v>
      </c>
      <c r="B305" s="41" t="n">
        <v>46303.3274305556</v>
      </c>
      <c r="C305" s="27" t="s">
        <v>200</v>
      </c>
      <c r="D305" s="27" t="n">
        <v>40.9</v>
      </c>
      <c r="E305" s="27" t="n">
        <v>20.5</v>
      </c>
      <c r="F305" s="27" t="n">
        <v>34.2</v>
      </c>
      <c r="G305" s="27" t="n">
        <v>33.4</v>
      </c>
      <c r="H305" s="27" t="s">
        <v>198</v>
      </c>
      <c r="I305" s="42" t="n">
        <f aca="false">(D305-INDEX('Cohort Summary'!$D$5:$D$14,MATCH($A305,'Cohort Summary'!$A$5:$A$14,0)))/INDEX('Cohort Summary'!$E$5:$E$14,MATCH($A305,'Cohort Summary'!$A$5:$A$14,0))</f>
        <v>-0.892638036809817</v>
      </c>
      <c r="J305" s="42" t="n">
        <f aca="false">(E305-INDEX('Cohort Summary'!$F$5:$F$14,MATCH($A305,'Cohort Summary'!$A$5:$A$14,0)))/INDEX('Cohort Summary'!$G$5:$G$14,MATCH($A305,'Cohort Summary'!$A$5:$A$14,0))</f>
        <v>0.683962264150943</v>
      </c>
      <c r="K305" s="42" t="n">
        <f aca="false">(F305-INDEX('Cohort Summary'!$H$5:$H$14,MATCH($A305,'Cohort Summary'!$A$5:$A$14,0)))/INDEX('Cohort Summary'!$I$5:$I$14,MATCH($A305,'Cohort Summary'!$A$5:$A$14,0))</f>
        <v>0.595238095238095</v>
      </c>
      <c r="L305" s="42" t="n">
        <f aca="false">(G305-INDEX('Cohort Summary'!$J$5:$J$14,MATCH($A305,'Cohort Summary'!$A$5:$A$14,0)))/INDEX('Cohort Summary'!$K$5:$K$14,MATCH($A305,'Cohort Summary'!$A$5:$A$14,0))</f>
        <v>0.890625</v>
      </c>
      <c r="M305" s="42" t="n">
        <f aca="false">MAX(I305:K305)</f>
        <v>0.683962264150943</v>
      </c>
      <c r="N305" s="27" t="s">
        <v>197</v>
      </c>
      <c r="O305" s="27"/>
      <c r="P305" s="27" t="str">
        <f aca="false">A305&amp;"|"&amp;N305</f>
        <v>NURSE-02|normal</v>
      </c>
    </row>
    <row r="306" customFormat="false" ht="15" hidden="false" customHeight="true" outlineLevel="0" collapsed="false">
      <c r="A306" s="27" t="s">
        <v>73</v>
      </c>
      <c r="B306" s="41" t="n">
        <v>46303.3277777778</v>
      </c>
      <c r="C306" s="27" t="s">
        <v>200</v>
      </c>
      <c r="D306" s="27" t="n">
        <v>42.5</v>
      </c>
      <c r="E306" s="27" t="n">
        <v>20.5</v>
      </c>
      <c r="F306" s="27" t="n">
        <v>35.2</v>
      </c>
      <c r="G306" s="27" t="n">
        <v>33.4</v>
      </c>
      <c r="H306" s="27" t="s">
        <v>199</v>
      </c>
      <c r="I306" s="42" t="n">
        <f aca="false">(D306-INDEX('Cohort Summary'!$D$5:$D$14,MATCH($A306,'Cohort Summary'!$A$5:$A$14,0)))/INDEX('Cohort Summary'!$E$5:$E$14,MATCH($A306,'Cohort Summary'!$A$5:$A$14,0))</f>
        <v>-0.401840490797547</v>
      </c>
      <c r="J306" s="42" t="n">
        <f aca="false">(E306-INDEX('Cohort Summary'!$F$5:$F$14,MATCH($A306,'Cohort Summary'!$A$5:$A$14,0)))/INDEX('Cohort Summary'!$G$5:$G$14,MATCH($A306,'Cohort Summary'!$A$5:$A$14,0))</f>
        <v>0.683962264150943</v>
      </c>
      <c r="K306" s="42" t="n">
        <f aca="false">(F306-INDEX('Cohort Summary'!$H$5:$H$14,MATCH($A306,'Cohort Summary'!$A$5:$A$14,0)))/INDEX('Cohort Summary'!$I$5:$I$14,MATCH($A306,'Cohort Summary'!$A$5:$A$14,0))</f>
        <v>0.935374149659864</v>
      </c>
      <c r="L306" s="42" t="n">
        <f aca="false">(G306-INDEX('Cohort Summary'!$J$5:$J$14,MATCH($A306,'Cohort Summary'!$A$5:$A$14,0)))/INDEX('Cohort Summary'!$K$5:$K$14,MATCH($A306,'Cohort Summary'!$A$5:$A$14,0))</f>
        <v>0.890625</v>
      </c>
      <c r="M306" s="42" t="n">
        <f aca="false">MAX(I306:K306)</f>
        <v>0.935374149659864</v>
      </c>
      <c r="N306" s="27" t="s">
        <v>197</v>
      </c>
      <c r="O306" s="27"/>
      <c r="P306" s="27" t="str">
        <f aca="false">A306&amp;"|"&amp;N306</f>
        <v>NURSE-02|normal</v>
      </c>
    </row>
    <row r="307" customFormat="false" ht="15" hidden="false" customHeight="true" outlineLevel="0" collapsed="false">
      <c r="A307" s="27" t="s">
        <v>73</v>
      </c>
      <c r="B307" s="41" t="n">
        <v>46303.328125</v>
      </c>
      <c r="C307" s="27" t="s">
        <v>200</v>
      </c>
      <c r="D307" s="27" t="n">
        <v>49</v>
      </c>
      <c r="E307" s="27" t="n">
        <v>21.3</v>
      </c>
      <c r="F307" s="27" t="n">
        <v>33.5</v>
      </c>
      <c r="G307" s="27" t="n">
        <v>33.4</v>
      </c>
      <c r="H307" s="27" t="s">
        <v>199</v>
      </c>
      <c r="I307" s="42" t="n">
        <f aca="false">(D307-INDEX('Cohort Summary'!$D$5:$D$14,MATCH($A307,'Cohort Summary'!$A$5:$A$14,0)))/INDEX('Cohort Summary'!$E$5:$E$14,MATCH($A307,'Cohort Summary'!$A$5:$A$14,0))</f>
        <v>1.5920245398773</v>
      </c>
      <c r="J307" s="42" t="n">
        <f aca="false">(E307-INDEX('Cohort Summary'!$F$5:$F$14,MATCH($A307,'Cohort Summary'!$A$5:$A$14,0)))/INDEX('Cohort Summary'!$G$5:$G$14,MATCH($A307,'Cohort Summary'!$A$5:$A$14,0))</f>
        <v>1.06132075471698</v>
      </c>
      <c r="K307" s="42" t="n">
        <f aca="false">(F307-INDEX('Cohort Summary'!$H$5:$H$14,MATCH($A307,'Cohort Summary'!$A$5:$A$14,0)))/INDEX('Cohort Summary'!$I$5:$I$14,MATCH($A307,'Cohort Summary'!$A$5:$A$14,0))</f>
        <v>0.357142857142856</v>
      </c>
      <c r="L307" s="42" t="n">
        <f aca="false">(G307-INDEX('Cohort Summary'!$J$5:$J$14,MATCH($A307,'Cohort Summary'!$A$5:$A$14,0)))/INDEX('Cohort Summary'!$K$5:$K$14,MATCH($A307,'Cohort Summary'!$A$5:$A$14,0))</f>
        <v>0.890625</v>
      </c>
      <c r="M307" s="42" t="n">
        <f aca="false">MAX(I307:K307)</f>
        <v>1.5920245398773</v>
      </c>
      <c r="N307" s="27" t="s">
        <v>197</v>
      </c>
      <c r="O307" s="27"/>
      <c r="P307" s="27" t="str">
        <f aca="false">A307&amp;"|"&amp;N307</f>
        <v>NURSE-02|normal</v>
      </c>
    </row>
    <row r="308" customFormat="false" ht="15" hidden="false" customHeight="true" outlineLevel="0" collapsed="false">
      <c r="A308" s="27" t="s">
        <v>73</v>
      </c>
      <c r="B308" s="41" t="n">
        <v>46303.3284722222</v>
      </c>
      <c r="C308" s="27" t="s">
        <v>200</v>
      </c>
      <c r="D308" s="27" t="n">
        <v>42.5</v>
      </c>
      <c r="E308" s="27" t="n">
        <v>22</v>
      </c>
      <c r="F308" s="27" t="n">
        <v>29.7</v>
      </c>
      <c r="G308" s="27" t="n">
        <v>32.6</v>
      </c>
      <c r="H308" s="27" t="s">
        <v>199</v>
      </c>
      <c r="I308" s="42" t="n">
        <f aca="false">(D308-INDEX('Cohort Summary'!$D$5:$D$14,MATCH($A308,'Cohort Summary'!$A$5:$A$14,0)))/INDEX('Cohort Summary'!$E$5:$E$14,MATCH($A308,'Cohort Summary'!$A$5:$A$14,0))</f>
        <v>-0.401840490797547</v>
      </c>
      <c r="J308" s="42" t="n">
        <f aca="false">(E308-INDEX('Cohort Summary'!$F$5:$F$14,MATCH($A308,'Cohort Summary'!$A$5:$A$14,0)))/INDEX('Cohort Summary'!$G$5:$G$14,MATCH($A308,'Cohort Summary'!$A$5:$A$14,0))</f>
        <v>1.39150943396226</v>
      </c>
      <c r="K308" s="42" t="n">
        <f aca="false">(F308-INDEX('Cohort Summary'!$H$5:$H$14,MATCH($A308,'Cohort Summary'!$A$5:$A$14,0)))/INDEX('Cohort Summary'!$I$5:$I$14,MATCH($A308,'Cohort Summary'!$A$5:$A$14,0))</f>
        <v>-0.935374149659865</v>
      </c>
      <c r="L308" s="42" t="n">
        <f aca="false">(G308-INDEX('Cohort Summary'!$J$5:$J$14,MATCH($A308,'Cohort Summary'!$A$5:$A$14,0)))/INDEX('Cohort Summary'!$K$5:$K$14,MATCH($A308,'Cohort Summary'!$A$5:$A$14,0))</f>
        <v>-0.359374999999995</v>
      </c>
      <c r="M308" s="42" t="n">
        <f aca="false">MAX(I308:K308)</f>
        <v>1.39150943396226</v>
      </c>
      <c r="N308" s="27" t="s">
        <v>197</v>
      </c>
      <c r="O308" s="27"/>
      <c r="P308" s="27" t="str">
        <f aca="false">A308&amp;"|"&amp;N308</f>
        <v>NURSE-02|normal</v>
      </c>
    </row>
    <row r="309" customFormat="false" ht="15" hidden="false" customHeight="true" outlineLevel="0" collapsed="false">
      <c r="A309" s="27" t="s">
        <v>73</v>
      </c>
      <c r="B309" s="41" t="n">
        <v>46303.3288194445</v>
      </c>
      <c r="C309" s="27" t="s">
        <v>200</v>
      </c>
      <c r="D309" s="27" t="n">
        <v>48.8</v>
      </c>
      <c r="E309" s="27" t="n">
        <v>20.8</v>
      </c>
      <c r="F309" s="27" t="n">
        <v>31.8</v>
      </c>
      <c r="G309" s="27" t="n">
        <v>33.4</v>
      </c>
      <c r="H309" s="27" t="s">
        <v>199</v>
      </c>
      <c r="I309" s="42" t="n">
        <f aca="false">(D309-INDEX('Cohort Summary'!$D$5:$D$14,MATCH($A309,'Cohort Summary'!$A$5:$A$14,0)))/INDEX('Cohort Summary'!$E$5:$E$14,MATCH($A309,'Cohort Summary'!$A$5:$A$14,0))</f>
        <v>1.53067484662577</v>
      </c>
      <c r="J309" s="42" t="n">
        <f aca="false">(E309-INDEX('Cohort Summary'!$F$5:$F$14,MATCH($A309,'Cohort Summary'!$A$5:$A$14,0)))/INDEX('Cohort Summary'!$G$5:$G$14,MATCH($A309,'Cohort Summary'!$A$5:$A$14,0))</f>
        <v>0.825471698113208</v>
      </c>
      <c r="K309" s="42" t="n">
        <f aca="false">(F309-INDEX('Cohort Summary'!$H$5:$H$14,MATCH($A309,'Cohort Summary'!$A$5:$A$14,0)))/INDEX('Cohort Summary'!$I$5:$I$14,MATCH($A309,'Cohort Summary'!$A$5:$A$14,0))</f>
        <v>-0.22108843537415</v>
      </c>
      <c r="L309" s="42" t="n">
        <f aca="false">(G309-INDEX('Cohort Summary'!$J$5:$J$14,MATCH($A309,'Cohort Summary'!$A$5:$A$14,0)))/INDEX('Cohort Summary'!$K$5:$K$14,MATCH($A309,'Cohort Summary'!$A$5:$A$14,0))</f>
        <v>0.890625</v>
      </c>
      <c r="M309" s="42" t="n">
        <f aca="false">MAX(I309:K309)</f>
        <v>1.53067484662577</v>
      </c>
      <c r="N309" s="27" t="s">
        <v>197</v>
      </c>
      <c r="O309" s="27"/>
      <c r="P309" s="27" t="str">
        <f aca="false">A309&amp;"|"&amp;N309</f>
        <v>NURSE-02|normal</v>
      </c>
    </row>
    <row r="310" customFormat="false" ht="15" hidden="false" customHeight="true" outlineLevel="0" collapsed="false">
      <c r="A310" s="27" t="s">
        <v>73</v>
      </c>
      <c r="B310" s="41" t="n">
        <v>46303.3291666667</v>
      </c>
      <c r="C310" s="27" t="s">
        <v>200</v>
      </c>
      <c r="D310" s="27" t="n">
        <v>42.6</v>
      </c>
      <c r="E310" s="27" t="n">
        <v>20.6</v>
      </c>
      <c r="F310" s="27" t="n">
        <v>30.2</v>
      </c>
      <c r="G310" s="27" t="n">
        <v>32.8</v>
      </c>
      <c r="H310" s="27" t="s">
        <v>196</v>
      </c>
      <c r="I310" s="42" t="n">
        <f aca="false">(D310-INDEX('Cohort Summary'!$D$5:$D$14,MATCH($A310,'Cohort Summary'!$A$5:$A$14,0)))/INDEX('Cohort Summary'!$E$5:$E$14,MATCH($A310,'Cohort Summary'!$A$5:$A$14,0))</f>
        <v>-0.371165644171779</v>
      </c>
      <c r="J310" s="42" t="n">
        <f aca="false">(E310-INDEX('Cohort Summary'!$F$5:$F$14,MATCH($A310,'Cohort Summary'!$A$5:$A$14,0)))/INDEX('Cohort Summary'!$G$5:$G$14,MATCH($A310,'Cohort Summary'!$A$5:$A$14,0))</f>
        <v>0.731132075471699</v>
      </c>
      <c r="K310" s="42" t="n">
        <f aca="false">(F310-INDEX('Cohort Summary'!$H$5:$H$14,MATCH($A310,'Cohort Summary'!$A$5:$A$14,0)))/INDEX('Cohort Summary'!$I$5:$I$14,MATCH($A310,'Cohort Summary'!$A$5:$A$14,0))</f>
        <v>-0.765306122448981</v>
      </c>
      <c r="L310" s="42" t="n">
        <f aca="false">(G310-INDEX('Cohort Summary'!$J$5:$J$14,MATCH($A310,'Cohort Summary'!$A$5:$A$14,0)))/INDEX('Cohort Summary'!$K$5:$K$14,MATCH($A310,'Cohort Summary'!$A$5:$A$14,0))</f>
        <v>-0.0468750000000018</v>
      </c>
      <c r="M310" s="42" t="n">
        <f aca="false">MAX(I310:K310)</f>
        <v>0.731132075471699</v>
      </c>
      <c r="N310" s="27" t="s">
        <v>197</v>
      </c>
      <c r="O310" s="27"/>
      <c r="P310" s="27" t="str">
        <f aca="false">A310&amp;"|"&amp;N310</f>
        <v>NURSE-02|normal</v>
      </c>
    </row>
    <row r="311" customFormat="false" ht="15" hidden="false" customHeight="true" outlineLevel="0" collapsed="false">
      <c r="A311" s="27" t="s">
        <v>73</v>
      </c>
      <c r="B311" s="41" t="n">
        <v>46303.3295138889</v>
      </c>
      <c r="C311" s="27" t="s">
        <v>200</v>
      </c>
      <c r="D311" s="27" t="n">
        <v>45.4</v>
      </c>
      <c r="E311" s="27" t="n">
        <v>20.6</v>
      </c>
      <c r="F311" s="27" t="n">
        <v>30.6</v>
      </c>
      <c r="G311" s="27" t="n">
        <v>33.7</v>
      </c>
      <c r="H311" s="27" t="s">
        <v>199</v>
      </c>
      <c r="I311" s="42" t="n">
        <f aca="false">(D311-INDEX('Cohort Summary'!$D$5:$D$14,MATCH($A311,'Cohort Summary'!$A$5:$A$14,0)))/INDEX('Cohort Summary'!$E$5:$E$14,MATCH($A311,'Cohort Summary'!$A$5:$A$14,0))</f>
        <v>0.487730061349692</v>
      </c>
      <c r="J311" s="42" t="n">
        <f aca="false">(E311-INDEX('Cohort Summary'!$F$5:$F$14,MATCH($A311,'Cohort Summary'!$A$5:$A$14,0)))/INDEX('Cohort Summary'!$G$5:$G$14,MATCH($A311,'Cohort Summary'!$A$5:$A$14,0))</f>
        <v>0.731132075471699</v>
      </c>
      <c r="K311" s="42" t="n">
        <f aca="false">(F311-INDEX('Cohort Summary'!$H$5:$H$14,MATCH($A311,'Cohort Summary'!$A$5:$A$14,0)))/INDEX('Cohort Summary'!$I$5:$I$14,MATCH($A311,'Cohort Summary'!$A$5:$A$14,0))</f>
        <v>-0.629251700680273</v>
      </c>
      <c r="L311" s="42" t="n">
        <f aca="false">(G311-INDEX('Cohort Summary'!$J$5:$J$14,MATCH($A311,'Cohort Summary'!$A$5:$A$14,0)))/INDEX('Cohort Summary'!$K$5:$K$14,MATCH($A311,'Cohort Summary'!$A$5:$A$14,0))</f>
        <v>1.35937500000001</v>
      </c>
      <c r="M311" s="42" t="n">
        <f aca="false">MAX(I311:K311)</f>
        <v>0.731132075471699</v>
      </c>
      <c r="N311" s="27" t="s">
        <v>197</v>
      </c>
      <c r="O311" s="27"/>
      <c r="P311" s="27" t="str">
        <f aca="false">A311&amp;"|"&amp;N311</f>
        <v>NURSE-02|normal</v>
      </c>
    </row>
    <row r="312" customFormat="false" ht="15" hidden="false" customHeight="true" outlineLevel="0" collapsed="false">
      <c r="A312" s="27" t="s">
        <v>73</v>
      </c>
      <c r="B312" s="41" t="n">
        <v>46303.3298611111</v>
      </c>
      <c r="C312" s="27" t="s">
        <v>200</v>
      </c>
      <c r="D312" s="27" t="n">
        <v>51.6</v>
      </c>
      <c r="E312" s="27" t="n">
        <v>21.8</v>
      </c>
      <c r="F312" s="27" t="n">
        <v>36.1</v>
      </c>
      <c r="G312" s="27" t="n">
        <v>33.4</v>
      </c>
      <c r="H312" s="27" t="s">
        <v>198</v>
      </c>
      <c r="I312" s="42" t="n">
        <f aca="false">(D312-INDEX('Cohort Summary'!$D$5:$D$14,MATCH($A312,'Cohort Summary'!$A$5:$A$14,0)))/INDEX('Cohort Summary'!$E$5:$E$14,MATCH($A312,'Cohort Summary'!$A$5:$A$14,0))</f>
        <v>2.38957055214724</v>
      </c>
      <c r="J312" s="42" t="n">
        <f aca="false">(E312-INDEX('Cohort Summary'!$F$5:$F$14,MATCH($A312,'Cohort Summary'!$A$5:$A$14,0)))/INDEX('Cohort Summary'!$G$5:$G$14,MATCH($A312,'Cohort Summary'!$A$5:$A$14,0))</f>
        <v>1.29716981132075</v>
      </c>
      <c r="K312" s="42" t="n">
        <f aca="false">(F312-INDEX('Cohort Summary'!$H$5:$H$14,MATCH($A312,'Cohort Summary'!$A$5:$A$14,0)))/INDEX('Cohort Summary'!$I$5:$I$14,MATCH($A312,'Cohort Summary'!$A$5:$A$14,0))</f>
        <v>1.24149659863946</v>
      </c>
      <c r="L312" s="42" t="n">
        <f aca="false">(G312-INDEX('Cohort Summary'!$J$5:$J$14,MATCH($A312,'Cohort Summary'!$A$5:$A$14,0)))/INDEX('Cohort Summary'!$K$5:$K$14,MATCH($A312,'Cohort Summary'!$A$5:$A$14,0))</f>
        <v>0.890625</v>
      </c>
      <c r="M312" s="42" t="n">
        <f aca="false">MAX(I312:K312)</f>
        <v>2.38957055214724</v>
      </c>
      <c r="N312" s="27" t="s">
        <v>201</v>
      </c>
      <c r="O312" s="27" t="s">
        <v>205</v>
      </c>
      <c r="P312" s="27" t="str">
        <f aca="false">A312&amp;"|"&amp;N312</f>
        <v>NURSE-02|caution</v>
      </c>
    </row>
    <row r="313" customFormat="false" ht="15" hidden="false" customHeight="true" outlineLevel="0" collapsed="false">
      <c r="A313" s="27" t="s">
        <v>73</v>
      </c>
      <c r="B313" s="41" t="n">
        <v>46303.3302083333</v>
      </c>
      <c r="C313" s="27" t="s">
        <v>200</v>
      </c>
      <c r="D313" s="27" t="n">
        <v>56.3</v>
      </c>
      <c r="E313" s="27" t="n">
        <v>18.4</v>
      </c>
      <c r="F313" s="27" t="n">
        <v>32.8</v>
      </c>
      <c r="G313" s="27" t="n">
        <v>33.1</v>
      </c>
      <c r="H313" s="27" t="s">
        <v>198</v>
      </c>
      <c r="I313" s="42" t="n">
        <f aca="false">(D313-INDEX('Cohort Summary'!$D$5:$D$14,MATCH($A313,'Cohort Summary'!$A$5:$A$14,0)))/INDEX('Cohort Summary'!$E$5:$E$14,MATCH($A313,'Cohort Summary'!$A$5:$A$14,0))</f>
        <v>3.83128834355828</v>
      </c>
      <c r="J313" s="42" t="n">
        <f aca="false">(E313-INDEX('Cohort Summary'!$F$5:$F$14,MATCH($A313,'Cohort Summary'!$A$5:$A$14,0)))/INDEX('Cohort Summary'!$G$5:$G$14,MATCH($A313,'Cohort Summary'!$A$5:$A$14,0))</f>
        <v>-0.306603773584907</v>
      </c>
      <c r="K313" s="42" t="n">
        <f aca="false">(F313-INDEX('Cohort Summary'!$H$5:$H$14,MATCH($A313,'Cohort Summary'!$A$5:$A$14,0)))/INDEX('Cohort Summary'!$I$5:$I$14,MATCH($A313,'Cohort Summary'!$A$5:$A$14,0))</f>
        <v>0.119047619047617</v>
      </c>
      <c r="L313" s="42" t="n">
        <f aca="false">(G313-INDEX('Cohort Summary'!$J$5:$J$14,MATCH($A313,'Cohort Summary'!$A$5:$A$14,0)))/INDEX('Cohort Summary'!$K$5:$K$14,MATCH($A313,'Cohort Summary'!$A$5:$A$14,0))</f>
        <v>0.421875000000005</v>
      </c>
      <c r="M313" s="42" t="n">
        <f aca="false">MAX(I313:K313)</f>
        <v>3.83128834355828</v>
      </c>
      <c r="N313" s="27" t="s">
        <v>201</v>
      </c>
      <c r="O313" s="27" t="s">
        <v>206</v>
      </c>
      <c r="P313" s="27" t="str">
        <f aca="false">A313&amp;"|"&amp;N313</f>
        <v>NURSE-02|caution</v>
      </c>
    </row>
    <row r="314" customFormat="false" ht="15" hidden="false" customHeight="true" outlineLevel="0" collapsed="false">
      <c r="A314" s="27" t="s">
        <v>73</v>
      </c>
      <c r="B314" s="41" t="n">
        <v>46303.3305555556</v>
      </c>
      <c r="C314" s="27" t="s">
        <v>200</v>
      </c>
      <c r="D314" s="27" t="n">
        <v>60.5</v>
      </c>
      <c r="E314" s="27" t="n">
        <v>20.6</v>
      </c>
      <c r="F314" s="27" t="n">
        <v>29.5</v>
      </c>
      <c r="G314" s="27" t="n">
        <v>32</v>
      </c>
      <c r="H314" s="27" t="s">
        <v>198</v>
      </c>
      <c r="I314" s="42" t="n">
        <f aca="false">(D314-INDEX('Cohort Summary'!$D$5:$D$14,MATCH($A314,'Cohort Summary'!$A$5:$A$14,0)))/INDEX('Cohort Summary'!$E$5:$E$14,MATCH($A314,'Cohort Summary'!$A$5:$A$14,0))</f>
        <v>5.11963190184049</v>
      </c>
      <c r="J314" s="42" t="n">
        <f aca="false">(E314-INDEX('Cohort Summary'!$F$5:$F$14,MATCH($A314,'Cohort Summary'!$A$5:$A$14,0)))/INDEX('Cohort Summary'!$G$5:$G$14,MATCH($A314,'Cohort Summary'!$A$5:$A$14,0))</f>
        <v>0.731132075471699</v>
      </c>
      <c r="K314" s="42" t="n">
        <f aca="false">(F314-INDEX('Cohort Summary'!$H$5:$H$14,MATCH($A314,'Cohort Summary'!$A$5:$A$14,0)))/INDEX('Cohort Summary'!$I$5:$I$14,MATCH($A314,'Cohort Summary'!$A$5:$A$14,0))</f>
        <v>-1.00340136054422</v>
      </c>
      <c r="L314" s="42" t="n">
        <f aca="false">(G314-INDEX('Cohort Summary'!$J$5:$J$14,MATCH($A314,'Cohort Summary'!$A$5:$A$14,0)))/INDEX('Cohort Summary'!$K$5:$K$14,MATCH($A314,'Cohort Summary'!$A$5:$A$14,0))</f>
        <v>-1.296875</v>
      </c>
      <c r="M314" s="42" t="n">
        <f aca="false">MAX(I314:K314)</f>
        <v>5.11963190184049</v>
      </c>
      <c r="N314" s="27" t="s">
        <v>201</v>
      </c>
      <c r="O314" s="27" t="s">
        <v>207</v>
      </c>
      <c r="P314" s="27" t="str">
        <f aca="false">A314&amp;"|"&amp;N314</f>
        <v>NURSE-02|caution</v>
      </c>
    </row>
    <row r="315" customFormat="false" ht="15" hidden="false" customHeight="true" outlineLevel="0" collapsed="false">
      <c r="A315" s="27" t="s">
        <v>73</v>
      </c>
      <c r="B315" s="41" t="n">
        <v>46303.3309027778</v>
      </c>
      <c r="C315" s="27" t="s">
        <v>200</v>
      </c>
      <c r="D315" s="27" t="n">
        <v>59.5</v>
      </c>
      <c r="E315" s="27" t="n">
        <v>17.3</v>
      </c>
      <c r="F315" s="27" t="n">
        <v>31.5</v>
      </c>
      <c r="G315" s="27" t="n">
        <v>33.4</v>
      </c>
      <c r="H315" s="27" t="s">
        <v>198</v>
      </c>
      <c r="I315" s="42" t="n">
        <f aca="false">(D315-INDEX('Cohort Summary'!$D$5:$D$14,MATCH($A315,'Cohort Summary'!$A$5:$A$14,0)))/INDEX('Cohort Summary'!$E$5:$E$14,MATCH($A315,'Cohort Summary'!$A$5:$A$14,0))</f>
        <v>4.81288343558282</v>
      </c>
      <c r="J315" s="42" t="n">
        <f aca="false">(E315-INDEX('Cohort Summary'!$F$5:$F$14,MATCH($A315,'Cohort Summary'!$A$5:$A$14,0)))/INDEX('Cohort Summary'!$G$5:$G$14,MATCH($A315,'Cohort Summary'!$A$5:$A$14,0))</f>
        <v>-0.825471698113208</v>
      </c>
      <c r="K315" s="42" t="n">
        <f aca="false">(F315-INDEX('Cohort Summary'!$H$5:$H$14,MATCH($A315,'Cohort Summary'!$A$5:$A$14,0)))/INDEX('Cohort Summary'!$I$5:$I$14,MATCH($A315,'Cohort Summary'!$A$5:$A$14,0))</f>
        <v>-0.323129251700681</v>
      </c>
      <c r="L315" s="42" t="n">
        <f aca="false">(G315-INDEX('Cohort Summary'!$J$5:$J$14,MATCH($A315,'Cohort Summary'!$A$5:$A$14,0)))/INDEX('Cohort Summary'!$K$5:$K$14,MATCH($A315,'Cohort Summary'!$A$5:$A$14,0))</f>
        <v>0.890625</v>
      </c>
      <c r="M315" s="42" t="n">
        <f aca="false">MAX(I315:K315)</f>
        <v>4.81288343558282</v>
      </c>
      <c r="N315" s="27" t="s">
        <v>201</v>
      </c>
      <c r="O315" s="27" t="s">
        <v>208</v>
      </c>
      <c r="P315" s="27" t="str">
        <f aca="false">A315&amp;"|"&amp;N315</f>
        <v>NURSE-02|caution</v>
      </c>
    </row>
    <row r="316" customFormat="false" ht="15" hidden="false" customHeight="true" outlineLevel="0" collapsed="false">
      <c r="A316" s="27" t="s">
        <v>73</v>
      </c>
      <c r="B316" s="41" t="n">
        <v>46303.33125</v>
      </c>
      <c r="C316" s="27" t="s">
        <v>200</v>
      </c>
      <c r="D316" s="27" t="n">
        <v>60</v>
      </c>
      <c r="E316" s="27" t="n">
        <v>21.5</v>
      </c>
      <c r="F316" s="27" t="n">
        <v>28.7</v>
      </c>
      <c r="G316" s="27" t="n">
        <v>33.6</v>
      </c>
      <c r="H316" s="27" t="s">
        <v>198</v>
      </c>
      <c r="I316" s="42" t="n">
        <f aca="false">(D316-INDEX('Cohort Summary'!$D$5:$D$14,MATCH($A316,'Cohort Summary'!$A$5:$A$14,0)))/INDEX('Cohort Summary'!$E$5:$E$14,MATCH($A316,'Cohort Summary'!$A$5:$A$14,0))</f>
        <v>4.96625766871166</v>
      </c>
      <c r="J316" s="42" t="n">
        <f aca="false">(E316-INDEX('Cohort Summary'!$F$5:$F$14,MATCH($A316,'Cohort Summary'!$A$5:$A$14,0)))/INDEX('Cohort Summary'!$G$5:$G$14,MATCH($A316,'Cohort Summary'!$A$5:$A$14,0))</f>
        <v>1.15566037735849</v>
      </c>
      <c r="K316" s="42" t="n">
        <f aca="false">(F316-INDEX('Cohort Summary'!$H$5:$H$14,MATCH($A316,'Cohort Summary'!$A$5:$A$14,0)))/INDEX('Cohort Summary'!$I$5:$I$14,MATCH($A316,'Cohort Summary'!$A$5:$A$14,0))</f>
        <v>-1.27551020408163</v>
      </c>
      <c r="L316" s="42" t="n">
        <f aca="false">(G316-INDEX('Cohort Summary'!$J$5:$J$14,MATCH($A316,'Cohort Summary'!$A$5:$A$14,0)))/INDEX('Cohort Summary'!$K$5:$K$14,MATCH($A316,'Cohort Summary'!$A$5:$A$14,0))</f>
        <v>1.203125</v>
      </c>
      <c r="M316" s="42" t="n">
        <f aca="false">MAX(I316:K316)</f>
        <v>4.96625766871166</v>
      </c>
      <c r="N316" s="27" t="s">
        <v>201</v>
      </c>
      <c r="O316" s="27" t="s">
        <v>209</v>
      </c>
      <c r="P316" s="27" t="str">
        <f aca="false">A316&amp;"|"&amp;N316</f>
        <v>NURSE-02|caution</v>
      </c>
    </row>
    <row r="317" customFormat="false" ht="15" hidden="false" customHeight="true" outlineLevel="0" collapsed="false">
      <c r="A317" s="27" t="s">
        <v>73</v>
      </c>
      <c r="B317" s="41" t="n">
        <v>46303.3315972222</v>
      </c>
      <c r="C317" s="27" t="s">
        <v>200</v>
      </c>
      <c r="D317" s="27" t="n">
        <v>60.8</v>
      </c>
      <c r="E317" s="27" t="n">
        <v>16.6</v>
      </c>
      <c r="F317" s="27" t="n">
        <v>36</v>
      </c>
      <c r="G317" s="27" t="n">
        <v>32.9</v>
      </c>
      <c r="H317" s="27" t="s">
        <v>198</v>
      </c>
      <c r="I317" s="42" t="n">
        <f aca="false">(D317-INDEX('Cohort Summary'!$D$5:$D$14,MATCH($A317,'Cohort Summary'!$A$5:$A$14,0)))/INDEX('Cohort Summary'!$E$5:$E$14,MATCH($A317,'Cohort Summary'!$A$5:$A$14,0))</f>
        <v>5.21165644171779</v>
      </c>
      <c r="J317" s="42" t="n">
        <f aca="false">(E317-INDEX('Cohort Summary'!$F$5:$F$14,MATCH($A317,'Cohort Summary'!$A$5:$A$14,0)))/INDEX('Cohort Summary'!$G$5:$G$14,MATCH($A317,'Cohort Summary'!$A$5:$A$14,0))</f>
        <v>-1.15566037735849</v>
      </c>
      <c r="K317" s="42" t="n">
        <f aca="false">(F317-INDEX('Cohort Summary'!$H$5:$H$14,MATCH($A317,'Cohort Summary'!$A$5:$A$14,0)))/INDEX('Cohort Summary'!$I$5:$I$14,MATCH($A317,'Cohort Summary'!$A$5:$A$14,0))</f>
        <v>1.20748299319728</v>
      </c>
      <c r="L317" s="42" t="n">
        <f aca="false">(G317-INDEX('Cohort Summary'!$J$5:$J$14,MATCH($A317,'Cohort Summary'!$A$5:$A$14,0)))/INDEX('Cohort Summary'!$K$5:$K$14,MATCH($A317,'Cohort Summary'!$A$5:$A$14,0))</f>
        <v>0.109375</v>
      </c>
      <c r="M317" s="42" t="n">
        <f aca="false">MAX(I317:K317)</f>
        <v>5.21165644171779</v>
      </c>
      <c r="N317" s="27" t="s">
        <v>201</v>
      </c>
      <c r="O317" s="27" t="s">
        <v>210</v>
      </c>
      <c r="P317" s="27" t="str">
        <f aca="false">A317&amp;"|"&amp;N317</f>
        <v>NURSE-02|caution</v>
      </c>
    </row>
    <row r="318" customFormat="false" ht="15" hidden="false" customHeight="true" outlineLevel="0" collapsed="false">
      <c r="A318" s="27" t="s">
        <v>73</v>
      </c>
      <c r="B318" s="41" t="n">
        <v>46303.3319444444</v>
      </c>
      <c r="C318" s="27" t="s">
        <v>200</v>
      </c>
      <c r="D318" s="27" t="n">
        <v>59.4</v>
      </c>
      <c r="E318" s="27" t="n">
        <v>17.4</v>
      </c>
      <c r="F318" s="27" t="n">
        <v>33.9</v>
      </c>
      <c r="G318" s="27" t="n">
        <v>32.9</v>
      </c>
      <c r="H318" s="27" t="s">
        <v>198</v>
      </c>
      <c r="I318" s="42" t="n">
        <f aca="false">(D318-INDEX('Cohort Summary'!$D$5:$D$14,MATCH($A318,'Cohort Summary'!$A$5:$A$14,0)))/INDEX('Cohort Summary'!$E$5:$E$14,MATCH($A318,'Cohort Summary'!$A$5:$A$14,0))</f>
        <v>4.78220858895705</v>
      </c>
      <c r="J318" s="42" t="n">
        <f aca="false">(E318-INDEX('Cohort Summary'!$F$5:$F$14,MATCH($A318,'Cohort Summary'!$A$5:$A$14,0)))/INDEX('Cohort Summary'!$G$5:$G$14,MATCH($A318,'Cohort Summary'!$A$5:$A$14,0))</f>
        <v>-0.778301886792454</v>
      </c>
      <c r="K318" s="42" t="n">
        <f aca="false">(F318-INDEX('Cohort Summary'!$H$5:$H$14,MATCH($A318,'Cohort Summary'!$A$5:$A$14,0)))/INDEX('Cohort Summary'!$I$5:$I$14,MATCH($A318,'Cohort Summary'!$A$5:$A$14,0))</f>
        <v>0.493197278911563</v>
      </c>
      <c r="L318" s="42" t="n">
        <f aca="false">(G318-INDEX('Cohort Summary'!$J$5:$J$14,MATCH($A318,'Cohort Summary'!$A$5:$A$14,0)))/INDEX('Cohort Summary'!$K$5:$K$14,MATCH($A318,'Cohort Summary'!$A$5:$A$14,0))</f>
        <v>0.109375</v>
      </c>
      <c r="M318" s="42" t="n">
        <f aca="false">MAX(I318:K318)</f>
        <v>4.78220858895705</v>
      </c>
      <c r="N318" s="27" t="s">
        <v>201</v>
      </c>
      <c r="O318" s="27" t="s">
        <v>208</v>
      </c>
      <c r="P318" s="27" t="str">
        <f aca="false">A318&amp;"|"&amp;N318</f>
        <v>NURSE-02|caution</v>
      </c>
    </row>
    <row r="319" customFormat="false" ht="15" hidden="false" customHeight="true" outlineLevel="0" collapsed="false">
      <c r="A319" s="27" t="s">
        <v>73</v>
      </c>
      <c r="B319" s="41" t="n">
        <v>46303.3322916667</v>
      </c>
      <c r="C319" s="27" t="s">
        <v>200</v>
      </c>
      <c r="D319" s="27" t="n">
        <v>59.4</v>
      </c>
      <c r="E319" s="27" t="n">
        <v>20.7</v>
      </c>
      <c r="F319" s="27" t="n">
        <v>28.2</v>
      </c>
      <c r="G319" s="27" t="n">
        <v>32</v>
      </c>
      <c r="H319" s="27" t="s">
        <v>198</v>
      </c>
      <c r="I319" s="42" t="n">
        <f aca="false">(D319-INDEX('Cohort Summary'!$D$5:$D$14,MATCH($A319,'Cohort Summary'!$A$5:$A$14,0)))/INDEX('Cohort Summary'!$E$5:$E$14,MATCH($A319,'Cohort Summary'!$A$5:$A$14,0))</f>
        <v>4.78220858895705</v>
      </c>
      <c r="J319" s="42" t="n">
        <f aca="false">(E319-INDEX('Cohort Summary'!$F$5:$F$14,MATCH($A319,'Cohort Summary'!$A$5:$A$14,0)))/INDEX('Cohort Summary'!$G$5:$G$14,MATCH($A319,'Cohort Summary'!$A$5:$A$14,0))</f>
        <v>0.778301886792452</v>
      </c>
      <c r="K319" s="42" t="n">
        <f aca="false">(F319-INDEX('Cohort Summary'!$H$5:$H$14,MATCH($A319,'Cohort Summary'!$A$5:$A$14,0)))/INDEX('Cohort Summary'!$I$5:$I$14,MATCH($A319,'Cohort Summary'!$A$5:$A$14,0))</f>
        <v>-1.44557823129252</v>
      </c>
      <c r="L319" s="42" t="n">
        <f aca="false">(G319-INDEX('Cohort Summary'!$J$5:$J$14,MATCH($A319,'Cohort Summary'!$A$5:$A$14,0)))/INDEX('Cohort Summary'!$K$5:$K$14,MATCH($A319,'Cohort Summary'!$A$5:$A$14,0))</f>
        <v>-1.296875</v>
      </c>
      <c r="M319" s="42" t="n">
        <f aca="false">MAX(I319:K319)</f>
        <v>4.78220858895705</v>
      </c>
      <c r="N319" s="27" t="s">
        <v>201</v>
      </c>
      <c r="O319" s="27" t="s">
        <v>208</v>
      </c>
      <c r="P319" s="27" t="str">
        <f aca="false">A319&amp;"|"&amp;N319</f>
        <v>NURSE-02|caution</v>
      </c>
    </row>
    <row r="320" customFormat="false" ht="15" hidden="false" customHeight="true" outlineLevel="0" collapsed="false">
      <c r="A320" s="27" t="s">
        <v>73</v>
      </c>
      <c r="B320" s="41" t="n">
        <v>46303.3326388889</v>
      </c>
      <c r="C320" s="27" t="s">
        <v>200</v>
      </c>
      <c r="D320" s="27" t="n">
        <v>53.3</v>
      </c>
      <c r="E320" s="27" t="n">
        <v>17</v>
      </c>
      <c r="F320" s="27" t="n">
        <v>31.9</v>
      </c>
      <c r="G320" s="27" t="n">
        <v>31.9</v>
      </c>
      <c r="H320" s="27" t="s">
        <v>198</v>
      </c>
      <c r="I320" s="42" t="n">
        <f aca="false">(D320-INDEX('Cohort Summary'!$D$5:$D$14,MATCH($A320,'Cohort Summary'!$A$5:$A$14,0)))/INDEX('Cohort Summary'!$E$5:$E$14,MATCH($A320,'Cohort Summary'!$A$5:$A$14,0))</f>
        <v>2.91104294478527</v>
      </c>
      <c r="J320" s="42" t="n">
        <f aca="false">(E320-INDEX('Cohort Summary'!$F$5:$F$14,MATCH($A320,'Cohort Summary'!$A$5:$A$14,0)))/INDEX('Cohort Summary'!$G$5:$G$14,MATCH($A320,'Cohort Summary'!$A$5:$A$14,0))</f>
        <v>-0.966981132075472</v>
      </c>
      <c r="K320" s="42" t="n">
        <f aca="false">(F320-INDEX('Cohort Summary'!$H$5:$H$14,MATCH($A320,'Cohort Summary'!$A$5:$A$14,0)))/INDEX('Cohort Summary'!$I$5:$I$14,MATCH($A320,'Cohort Summary'!$A$5:$A$14,0))</f>
        <v>-0.187074829931974</v>
      </c>
      <c r="L320" s="42" t="n">
        <f aca="false">(G320-INDEX('Cohort Summary'!$J$5:$J$14,MATCH($A320,'Cohort Summary'!$A$5:$A$14,0)))/INDEX('Cohort Summary'!$K$5:$K$14,MATCH($A320,'Cohort Summary'!$A$5:$A$14,0))</f>
        <v>-1.453125</v>
      </c>
      <c r="M320" s="42" t="n">
        <f aca="false">MAX(I320:K320)</f>
        <v>2.91104294478527</v>
      </c>
      <c r="N320" s="27" t="s">
        <v>201</v>
      </c>
      <c r="O320" s="27" t="s">
        <v>211</v>
      </c>
      <c r="P320" s="27" t="str">
        <f aca="false">A320&amp;"|"&amp;N320</f>
        <v>NURSE-02|caution</v>
      </c>
    </row>
    <row r="321" customFormat="false" ht="15" hidden="false" customHeight="true" outlineLevel="0" collapsed="false">
      <c r="A321" s="27" t="s">
        <v>73</v>
      </c>
      <c r="B321" s="41" t="n">
        <v>46303.3329861111</v>
      </c>
      <c r="C321" s="27" t="s">
        <v>200</v>
      </c>
      <c r="D321" s="27" t="n">
        <v>60.1</v>
      </c>
      <c r="E321" s="27" t="n">
        <v>20.9</v>
      </c>
      <c r="F321" s="27" t="n">
        <v>29.5</v>
      </c>
      <c r="G321" s="27" t="n">
        <v>32.1</v>
      </c>
      <c r="H321" s="27" t="s">
        <v>198</v>
      </c>
      <c r="I321" s="42" t="n">
        <f aca="false">(D321-INDEX('Cohort Summary'!$D$5:$D$14,MATCH($A321,'Cohort Summary'!$A$5:$A$14,0)))/INDEX('Cohort Summary'!$E$5:$E$14,MATCH($A321,'Cohort Summary'!$A$5:$A$14,0))</f>
        <v>4.99693251533742</v>
      </c>
      <c r="J321" s="42" t="n">
        <f aca="false">(E321-INDEX('Cohort Summary'!$F$5:$F$14,MATCH($A321,'Cohort Summary'!$A$5:$A$14,0)))/INDEX('Cohort Summary'!$G$5:$G$14,MATCH($A321,'Cohort Summary'!$A$5:$A$14,0))</f>
        <v>0.872641509433961</v>
      </c>
      <c r="K321" s="42" t="n">
        <f aca="false">(F321-INDEX('Cohort Summary'!$H$5:$H$14,MATCH($A321,'Cohort Summary'!$A$5:$A$14,0)))/INDEX('Cohort Summary'!$I$5:$I$14,MATCH($A321,'Cohort Summary'!$A$5:$A$14,0))</f>
        <v>-1.00340136054422</v>
      </c>
      <c r="L321" s="42" t="n">
        <f aca="false">(G321-INDEX('Cohort Summary'!$J$5:$J$14,MATCH($A321,'Cohort Summary'!$A$5:$A$14,0)))/INDEX('Cohort Summary'!$K$5:$K$14,MATCH($A321,'Cohort Summary'!$A$5:$A$14,0))</f>
        <v>-1.140625</v>
      </c>
      <c r="M321" s="42" t="n">
        <f aca="false">MAX(I321:K321)</f>
        <v>4.99693251533742</v>
      </c>
      <c r="N321" s="27" t="s">
        <v>212</v>
      </c>
      <c r="O321" s="27" t="s">
        <v>213</v>
      </c>
      <c r="P321" s="27" t="str">
        <f aca="false">A321&amp;"|"&amp;N321</f>
        <v>NURSE-02|alert</v>
      </c>
    </row>
    <row r="322" customFormat="false" ht="15" hidden="false" customHeight="true" outlineLevel="0" collapsed="false">
      <c r="A322" s="27" t="s">
        <v>73</v>
      </c>
      <c r="B322" s="41" t="n">
        <v>46303.3333333333</v>
      </c>
      <c r="C322" s="27" t="s">
        <v>200</v>
      </c>
      <c r="D322" s="27" t="n">
        <v>59.6</v>
      </c>
      <c r="E322" s="27" t="n">
        <v>16</v>
      </c>
      <c r="F322" s="27" t="n">
        <v>35.4</v>
      </c>
      <c r="G322" s="27" t="n">
        <v>32.7</v>
      </c>
      <c r="H322" s="27" t="s">
        <v>198</v>
      </c>
      <c r="I322" s="42" t="n">
        <f aca="false">(D322-INDEX('Cohort Summary'!$D$5:$D$14,MATCH($A322,'Cohort Summary'!$A$5:$A$14,0)))/INDEX('Cohort Summary'!$E$5:$E$14,MATCH($A322,'Cohort Summary'!$A$5:$A$14,0))</f>
        <v>4.84355828220859</v>
      </c>
      <c r="J322" s="42" t="n">
        <f aca="false">(E322-INDEX('Cohort Summary'!$F$5:$F$14,MATCH($A322,'Cohort Summary'!$A$5:$A$14,0)))/INDEX('Cohort Summary'!$G$5:$G$14,MATCH($A322,'Cohort Summary'!$A$5:$A$14,0))</f>
        <v>-1.43867924528302</v>
      </c>
      <c r="K322" s="42" t="n">
        <f aca="false">(F322-INDEX('Cohort Summary'!$H$5:$H$14,MATCH($A322,'Cohort Summary'!$A$5:$A$14,0)))/INDEX('Cohort Summary'!$I$5:$I$14,MATCH($A322,'Cohort Summary'!$A$5:$A$14,0))</f>
        <v>1.00340136054422</v>
      </c>
      <c r="L322" s="42" t="n">
        <f aca="false">(G322-INDEX('Cohort Summary'!$J$5:$J$14,MATCH($A322,'Cohort Summary'!$A$5:$A$14,0)))/INDEX('Cohort Summary'!$K$5:$K$14,MATCH($A322,'Cohort Summary'!$A$5:$A$14,0))</f>
        <v>-0.203124999999993</v>
      </c>
      <c r="M322" s="42" t="n">
        <f aca="false">MAX(I322:K322)</f>
        <v>4.84355828220859</v>
      </c>
      <c r="N322" s="27" t="s">
        <v>212</v>
      </c>
      <c r="O322" s="27" t="s">
        <v>214</v>
      </c>
      <c r="P322" s="27" t="str">
        <f aca="false">A322&amp;"|"&amp;N322</f>
        <v>NURSE-02|alert</v>
      </c>
    </row>
    <row r="323" customFormat="false" ht="15" hidden="false" customHeight="true" outlineLevel="0" collapsed="false">
      <c r="A323" s="27" t="s">
        <v>73</v>
      </c>
      <c r="B323" s="41" t="n">
        <v>46303.3336805556</v>
      </c>
      <c r="C323" s="27" t="s">
        <v>200</v>
      </c>
      <c r="D323" s="27" t="n">
        <v>56</v>
      </c>
      <c r="E323" s="27" t="n">
        <v>18.1</v>
      </c>
      <c r="F323" s="27" t="n">
        <v>31.7</v>
      </c>
      <c r="G323" s="27" t="n">
        <v>32.7</v>
      </c>
      <c r="H323" s="27" t="s">
        <v>198</v>
      </c>
      <c r="I323" s="42" t="n">
        <f aca="false">(D323-INDEX('Cohort Summary'!$D$5:$D$14,MATCH($A323,'Cohort Summary'!$A$5:$A$14,0)))/INDEX('Cohort Summary'!$E$5:$E$14,MATCH($A323,'Cohort Summary'!$A$5:$A$14,0))</f>
        <v>3.73926380368098</v>
      </c>
      <c r="J323" s="42" t="n">
        <f aca="false">(E323-INDEX('Cohort Summary'!$F$5:$F$14,MATCH($A323,'Cohort Summary'!$A$5:$A$14,0)))/INDEX('Cohort Summary'!$G$5:$G$14,MATCH($A323,'Cohort Summary'!$A$5:$A$14,0))</f>
        <v>-0.448113207547169</v>
      </c>
      <c r="K323" s="42" t="n">
        <f aca="false">(F323-INDEX('Cohort Summary'!$H$5:$H$14,MATCH($A323,'Cohort Summary'!$A$5:$A$14,0)))/INDEX('Cohort Summary'!$I$5:$I$14,MATCH($A323,'Cohort Summary'!$A$5:$A$14,0))</f>
        <v>-0.255102040816328</v>
      </c>
      <c r="L323" s="42" t="n">
        <f aca="false">(G323-INDEX('Cohort Summary'!$J$5:$J$14,MATCH($A323,'Cohort Summary'!$A$5:$A$14,0)))/INDEX('Cohort Summary'!$K$5:$K$14,MATCH($A323,'Cohort Summary'!$A$5:$A$14,0))</f>
        <v>-0.203124999999993</v>
      </c>
      <c r="M323" s="42" t="n">
        <f aca="false">MAX(I323:K323)</f>
        <v>3.73926380368098</v>
      </c>
      <c r="N323" s="27" t="s">
        <v>212</v>
      </c>
      <c r="O323" s="27" t="s">
        <v>215</v>
      </c>
      <c r="P323" s="27" t="str">
        <f aca="false">A323&amp;"|"&amp;N323</f>
        <v>NURSE-02|alert</v>
      </c>
    </row>
    <row r="324" customFormat="false" ht="15" hidden="false" customHeight="true" outlineLevel="0" collapsed="false">
      <c r="A324" s="27" t="s">
        <v>73</v>
      </c>
      <c r="B324" s="41" t="n">
        <v>46303.3340277778</v>
      </c>
      <c r="C324" s="27" t="s">
        <v>200</v>
      </c>
      <c r="D324" s="27" t="n">
        <v>51.8</v>
      </c>
      <c r="E324" s="27" t="n">
        <v>20.5</v>
      </c>
      <c r="F324" s="27" t="n">
        <v>33.4</v>
      </c>
      <c r="G324" s="27" t="n">
        <v>31.9</v>
      </c>
      <c r="H324" s="27" t="s">
        <v>198</v>
      </c>
      <c r="I324" s="42" t="n">
        <f aca="false">(D324-INDEX('Cohort Summary'!$D$5:$D$14,MATCH($A324,'Cohort Summary'!$A$5:$A$14,0)))/INDEX('Cohort Summary'!$E$5:$E$14,MATCH($A324,'Cohort Summary'!$A$5:$A$14,0))</f>
        <v>2.45092024539877</v>
      </c>
      <c r="J324" s="42" t="n">
        <f aca="false">(E324-INDEX('Cohort Summary'!$F$5:$F$14,MATCH($A324,'Cohort Summary'!$A$5:$A$14,0)))/INDEX('Cohort Summary'!$G$5:$G$14,MATCH($A324,'Cohort Summary'!$A$5:$A$14,0))</f>
        <v>0.683962264150943</v>
      </c>
      <c r="K324" s="42" t="n">
        <f aca="false">(F324-INDEX('Cohort Summary'!$H$5:$H$14,MATCH($A324,'Cohort Summary'!$A$5:$A$14,0)))/INDEX('Cohort Summary'!$I$5:$I$14,MATCH($A324,'Cohort Summary'!$A$5:$A$14,0))</f>
        <v>0.323129251700679</v>
      </c>
      <c r="L324" s="42" t="n">
        <f aca="false">(G324-INDEX('Cohort Summary'!$J$5:$J$14,MATCH($A324,'Cohort Summary'!$A$5:$A$14,0)))/INDEX('Cohort Summary'!$K$5:$K$14,MATCH($A324,'Cohort Summary'!$A$5:$A$14,0))</f>
        <v>-1.453125</v>
      </c>
      <c r="M324" s="42" t="n">
        <f aca="false">MAX(I324:K324)</f>
        <v>2.45092024539877</v>
      </c>
      <c r="N324" s="27" t="s">
        <v>201</v>
      </c>
      <c r="O324" s="27" t="s">
        <v>216</v>
      </c>
      <c r="P324" s="27" t="str">
        <f aca="false">A324&amp;"|"&amp;N324</f>
        <v>NURSE-02|caution</v>
      </c>
    </row>
    <row r="325" customFormat="false" ht="15" hidden="false" customHeight="true" outlineLevel="0" collapsed="false">
      <c r="A325" s="27" t="s">
        <v>73</v>
      </c>
      <c r="B325" s="41" t="n">
        <v>46303.334375</v>
      </c>
      <c r="C325" s="27" t="s">
        <v>200</v>
      </c>
      <c r="D325" s="27" t="n">
        <v>51.5</v>
      </c>
      <c r="E325" s="27" t="n">
        <v>21.2</v>
      </c>
      <c r="F325" s="27" t="n">
        <v>37</v>
      </c>
      <c r="G325" s="27" t="n">
        <v>33.4</v>
      </c>
      <c r="H325" s="27" t="s">
        <v>198</v>
      </c>
      <c r="I325" s="42" t="n">
        <f aca="false">(D325-INDEX('Cohort Summary'!$D$5:$D$14,MATCH($A325,'Cohort Summary'!$A$5:$A$14,0)))/INDEX('Cohort Summary'!$E$5:$E$14,MATCH($A325,'Cohort Summary'!$A$5:$A$14,0))</f>
        <v>2.35889570552147</v>
      </c>
      <c r="J325" s="42" t="n">
        <f aca="false">(E325-INDEX('Cohort Summary'!$F$5:$F$14,MATCH($A325,'Cohort Summary'!$A$5:$A$14,0)))/INDEX('Cohort Summary'!$G$5:$G$14,MATCH($A325,'Cohort Summary'!$A$5:$A$14,0))</f>
        <v>1.01415094339623</v>
      </c>
      <c r="K325" s="42" t="n">
        <f aca="false">(F325-INDEX('Cohort Summary'!$H$5:$H$14,MATCH($A325,'Cohort Summary'!$A$5:$A$14,0)))/INDEX('Cohort Summary'!$I$5:$I$14,MATCH($A325,'Cohort Summary'!$A$5:$A$14,0))</f>
        <v>1.54761904761905</v>
      </c>
      <c r="L325" s="42" t="n">
        <f aca="false">(G325-INDEX('Cohort Summary'!$J$5:$J$14,MATCH($A325,'Cohort Summary'!$A$5:$A$14,0)))/INDEX('Cohort Summary'!$K$5:$K$14,MATCH($A325,'Cohort Summary'!$A$5:$A$14,0))</f>
        <v>0.890625</v>
      </c>
      <c r="M325" s="42" t="n">
        <f aca="false">MAX(I325:K325)</f>
        <v>2.35889570552147</v>
      </c>
      <c r="N325" s="27" t="s">
        <v>201</v>
      </c>
      <c r="O325" s="27" t="s">
        <v>217</v>
      </c>
      <c r="P325" s="27" t="str">
        <f aca="false">A325&amp;"|"&amp;N325</f>
        <v>NURSE-02|caution</v>
      </c>
    </row>
    <row r="326" customFormat="false" ht="15" hidden="false" customHeight="true" outlineLevel="0" collapsed="false">
      <c r="A326" s="27" t="s">
        <v>73</v>
      </c>
      <c r="B326" s="41" t="n">
        <v>46303.3347222222</v>
      </c>
      <c r="C326" s="27" t="s">
        <v>200</v>
      </c>
      <c r="D326" s="27" t="n">
        <v>44.1</v>
      </c>
      <c r="E326" s="27" t="n">
        <v>19.4</v>
      </c>
      <c r="F326" s="27" t="n">
        <v>36</v>
      </c>
      <c r="G326" s="27" t="n">
        <v>31.9</v>
      </c>
      <c r="H326" s="27" t="s">
        <v>196</v>
      </c>
      <c r="I326" s="42" t="n">
        <f aca="false">(D326-INDEX('Cohort Summary'!$D$5:$D$14,MATCH($A326,'Cohort Summary'!$A$5:$A$14,0)))/INDEX('Cohort Summary'!$E$5:$E$14,MATCH($A326,'Cohort Summary'!$A$5:$A$14,0))</f>
        <v>0.0889570552147237</v>
      </c>
      <c r="J326" s="42" t="n">
        <f aca="false">(E326-INDEX('Cohort Summary'!$F$5:$F$14,MATCH($A326,'Cohort Summary'!$A$5:$A$14,0)))/INDEX('Cohort Summary'!$G$5:$G$14,MATCH($A326,'Cohort Summary'!$A$5:$A$14,0))</f>
        <v>0.165094339622641</v>
      </c>
      <c r="K326" s="42" t="n">
        <f aca="false">(F326-INDEX('Cohort Summary'!$H$5:$H$14,MATCH($A326,'Cohort Summary'!$A$5:$A$14,0)))/INDEX('Cohort Summary'!$I$5:$I$14,MATCH($A326,'Cohort Summary'!$A$5:$A$14,0))</f>
        <v>1.20748299319728</v>
      </c>
      <c r="L326" s="42" t="n">
        <f aca="false">(G326-INDEX('Cohort Summary'!$J$5:$J$14,MATCH($A326,'Cohort Summary'!$A$5:$A$14,0)))/INDEX('Cohort Summary'!$K$5:$K$14,MATCH($A326,'Cohort Summary'!$A$5:$A$14,0))</f>
        <v>-1.453125</v>
      </c>
      <c r="M326" s="42" t="n">
        <f aca="false">MAX(I326:K326)</f>
        <v>1.20748299319728</v>
      </c>
      <c r="N326" s="27" t="s">
        <v>197</v>
      </c>
      <c r="O326" s="27"/>
      <c r="P326" s="27" t="str">
        <f aca="false">A326&amp;"|"&amp;N326</f>
        <v>NURSE-02|normal</v>
      </c>
    </row>
    <row r="327" customFormat="false" ht="15" hidden="false" customHeight="true" outlineLevel="0" collapsed="false">
      <c r="A327" s="27" t="s">
        <v>73</v>
      </c>
      <c r="B327" s="41" t="n">
        <v>46303.3350694445</v>
      </c>
      <c r="C327" s="27" t="s">
        <v>200</v>
      </c>
      <c r="D327" s="27" t="n">
        <v>43.2</v>
      </c>
      <c r="E327" s="27" t="n">
        <v>16.9</v>
      </c>
      <c r="F327" s="27" t="n">
        <v>27.9</v>
      </c>
      <c r="G327" s="27" t="n">
        <v>33.1</v>
      </c>
      <c r="H327" s="27" t="s">
        <v>199</v>
      </c>
      <c r="I327" s="42" t="n">
        <f aca="false">(D327-INDEX('Cohort Summary'!$D$5:$D$14,MATCH($A327,'Cohort Summary'!$A$5:$A$14,0)))/INDEX('Cohort Summary'!$E$5:$E$14,MATCH($A327,'Cohort Summary'!$A$5:$A$14,0))</f>
        <v>-0.187116564417178</v>
      </c>
      <c r="J327" s="42" t="n">
        <f aca="false">(E327-INDEX('Cohort Summary'!$F$5:$F$14,MATCH($A327,'Cohort Summary'!$A$5:$A$14,0)))/INDEX('Cohort Summary'!$G$5:$G$14,MATCH($A327,'Cohort Summary'!$A$5:$A$14,0))</f>
        <v>-1.01415094339623</v>
      </c>
      <c r="K327" s="42" t="n">
        <f aca="false">(F327-INDEX('Cohort Summary'!$H$5:$H$14,MATCH($A327,'Cohort Summary'!$A$5:$A$14,0)))/INDEX('Cohort Summary'!$I$5:$I$14,MATCH($A327,'Cohort Summary'!$A$5:$A$14,0))</f>
        <v>-1.54761904761905</v>
      </c>
      <c r="L327" s="42" t="n">
        <f aca="false">(G327-INDEX('Cohort Summary'!$J$5:$J$14,MATCH($A327,'Cohort Summary'!$A$5:$A$14,0)))/INDEX('Cohort Summary'!$K$5:$K$14,MATCH($A327,'Cohort Summary'!$A$5:$A$14,0))</f>
        <v>0.421875000000005</v>
      </c>
      <c r="M327" s="42" t="n">
        <f aca="false">MAX(I327:K327)</f>
        <v>-0.187116564417178</v>
      </c>
      <c r="N327" s="27" t="s">
        <v>197</v>
      </c>
      <c r="O327" s="27"/>
      <c r="P327" s="27" t="str">
        <f aca="false">A327&amp;"|"&amp;N327</f>
        <v>NURSE-02|normal</v>
      </c>
    </row>
    <row r="328" customFormat="false" ht="15" hidden="false" customHeight="true" outlineLevel="0" collapsed="false">
      <c r="A328" s="27" t="s">
        <v>73</v>
      </c>
      <c r="B328" s="41" t="n">
        <v>46303.3354166667</v>
      </c>
      <c r="C328" s="27" t="s">
        <v>200</v>
      </c>
      <c r="D328" s="27" t="n">
        <v>43.7</v>
      </c>
      <c r="E328" s="27" t="n">
        <v>19.7</v>
      </c>
      <c r="F328" s="27" t="n">
        <v>34.7</v>
      </c>
      <c r="G328" s="27" t="n">
        <v>32.2</v>
      </c>
      <c r="H328" s="27" t="s">
        <v>199</v>
      </c>
      <c r="I328" s="42" t="n">
        <f aca="false">(D328-INDEX('Cohort Summary'!$D$5:$D$14,MATCH($A328,'Cohort Summary'!$A$5:$A$14,0)))/INDEX('Cohort Summary'!$E$5:$E$14,MATCH($A328,'Cohort Summary'!$A$5:$A$14,0))</f>
        <v>-0.0337423312883434</v>
      </c>
      <c r="J328" s="42" t="n">
        <f aca="false">(E328-INDEX('Cohort Summary'!$F$5:$F$14,MATCH($A328,'Cohort Summary'!$A$5:$A$14,0)))/INDEX('Cohort Summary'!$G$5:$G$14,MATCH($A328,'Cohort Summary'!$A$5:$A$14,0))</f>
        <v>0.306603773584905</v>
      </c>
      <c r="K328" s="42" t="n">
        <f aca="false">(F328-INDEX('Cohort Summary'!$H$5:$H$14,MATCH($A328,'Cohort Summary'!$A$5:$A$14,0)))/INDEX('Cohort Summary'!$I$5:$I$14,MATCH($A328,'Cohort Summary'!$A$5:$A$14,0))</f>
        <v>0.76530612244898</v>
      </c>
      <c r="L328" s="42" t="n">
        <f aca="false">(G328-INDEX('Cohort Summary'!$J$5:$J$14,MATCH($A328,'Cohort Summary'!$A$5:$A$14,0)))/INDEX('Cohort Summary'!$K$5:$K$14,MATCH($A328,'Cohort Summary'!$A$5:$A$14,0))</f>
        <v>-0.984374999999993</v>
      </c>
      <c r="M328" s="42" t="n">
        <f aca="false">MAX(I328:K328)</f>
        <v>0.76530612244898</v>
      </c>
      <c r="N328" s="27" t="s">
        <v>197</v>
      </c>
      <c r="O328" s="27"/>
      <c r="P328" s="27" t="str">
        <f aca="false">A328&amp;"|"&amp;N328</f>
        <v>NURSE-02|normal</v>
      </c>
    </row>
    <row r="329" customFormat="false" ht="15" hidden="false" customHeight="true" outlineLevel="0" collapsed="false">
      <c r="A329" s="27" t="s">
        <v>73</v>
      </c>
      <c r="B329" s="41" t="n">
        <v>46303.3357638889</v>
      </c>
      <c r="C329" s="27" t="s">
        <v>200</v>
      </c>
      <c r="D329" s="27" t="n">
        <v>42.4</v>
      </c>
      <c r="E329" s="27" t="n">
        <v>17.8</v>
      </c>
      <c r="F329" s="27" t="n">
        <v>27.5</v>
      </c>
      <c r="G329" s="27" t="n">
        <v>32.4</v>
      </c>
      <c r="H329" s="27" t="s">
        <v>199</v>
      </c>
      <c r="I329" s="42" t="n">
        <f aca="false">(D329-INDEX('Cohort Summary'!$D$5:$D$14,MATCH($A329,'Cohort Summary'!$A$5:$A$14,0)))/INDEX('Cohort Summary'!$E$5:$E$14,MATCH($A329,'Cohort Summary'!$A$5:$A$14,0))</f>
        <v>-0.432515337423314</v>
      </c>
      <c r="J329" s="42" t="n">
        <f aca="false">(E329-INDEX('Cohort Summary'!$F$5:$F$14,MATCH($A329,'Cohort Summary'!$A$5:$A$14,0)))/INDEX('Cohort Summary'!$G$5:$G$14,MATCH($A329,'Cohort Summary'!$A$5:$A$14,0))</f>
        <v>-0.589622641509434</v>
      </c>
      <c r="K329" s="42" t="n">
        <f aca="false">(F329-INDEX('Cohort Summary'!$H$5:$H$14,MATCH($A329,'Cohort Summary'!$A$5:$A$14,0)))/INDEX('Cohort Summary'!$I$5:$I$14,MATCH($A329,'Cohort Summary'!$A$5:$A$14,0))</f>
        <v>-1.68367346938776</v>
      </c>
      <c r="L329" s="42" t="n">
        <f aca="false">(G329-INDEX('Cohort Summary'!$J$5:$J$14,MATCH($A329,'Cohort Summary'!$A$5:$A$14,0)))/INDEX('Cohort Summary'!$K$5:$K$14,MATCH($A329,'Cohort Summary'!$A$5:$A$14,0))</f>
        <v>-0.671875</v>
      </c>
      <c r="M329" s="42" t="n">
        <f aca="false">MAX(I329:K329)</f>
        <v>-0.432515337423314</v>
      </c>
      <c r="N329" s="27" t="s">
        <v>197</v>
      </c>
      <c r="O329" s="27"/>
      <c r="P329" s="27" t="str">
        <f aca="false">A329&amp;"|"&amp;N329</f>
        <v>NURSE-02|normal</v>
      </c>
    </row>
    <row r="330" customFormat="false" ht="15" hidden="false" customHeight="true" outlineLevel="0" collapsed="false">
      <c r="A330" s="27" t="s">
        <v>73</v>
      </c>
      <c r="B330" s="41" t="n">
        <v>46303.3361111111</v>
      </c>
      <c r="C330" s="27" t="s">
        <v>200</v>
      </c>
      <c r="D330" s="27" t="n">
        <v>47.3</v>
      </c>
      <c r="E330" s="27" t="n">
        <v>18.8</v>
      </c>
      <c r="F330" s="27" t="n">
        <v>32</v>
      </c>
      <c r="G330" s="27" t="n">
        <v>32.3</v>
      </c>
      <c r="H330" s="27" t="s">
        <v>196</v>
      </c>
      <c r="I330" s="42" t="n">
        <f aca="false">(D330-INDEX('Cohort Summary'!$D$5:$D$14,MATCH($A330,'Cohort Summary'!$A$5:$A$14,0)))/INDEX('Cohort Summary'!$E$5:$E$14,MATCH($A330,'Cohort Summary'!$A$5:$A$14,0))</f>
        <v>1.07055214723926</v>
      </c>
      <c r="J330" s="42" t="n">
        <f aca="false">(E330-INDEX('Cohort Summary'!$F$5:$F$14,MATCH($A330,'Cohort Summary'!$A$5:$A$14,0)))/INDEX('Cohort Summary'!$G$5:$G$14,MATCH($A330,'Cohort Summary'!$A$5:$A$14,0))</f>
        <v>-0.117924528301887</v>
      </c>
      <c r="K330" s="42" t="n">
        <f aca="false">(F330-INDEX('Cohort Summary'!$H$5:$H$14,MATCH($A330,'Cohort Summary'!$A$5:$A$14,0)))/INDEX('Cohort Summary'!$I$5:$I$14,MATCH($A330,'Cohort Summary'!$A$5:$A$14,0))</f>
        <v>-0.153061224489797</v>
      </c>
      <c r="L330" s="42" t="n">
        <f aca="false">(G330-INDEX('Cohort Summary'!$J$5:$J$14,MATCH($A330,'Cohort Summary'!$A$5:$A$14,0)))/INDEX('Cohort Summary'!$K$5:$K$14,MATCH($A330,'Cohort Summary'!$A$5:$A$14,0))</f>
        <v>-0.828125000000002</v>
      </c>
      <c r="M330" s="42" t="n">
        <f aca="false">MAX(I330:K330)</f>
        <v>1.07055214723926</v>
      </c>
      <c r="N330" s="27" t="s">
        <v>197</v>
      </c>
      <c r="O330" s="27"/>
      <c r="P330" s="27" t="str">
        <f aca="false">A330&amp;"|"&amp;N330</f>
        <v>NURSE-02|normal</v>
      </c>
    </row>
    <row r="331" customFormat="false" ht="15" hidden="false" customHeight="true" outlineLevel="0" collapsed="false">
      <c r="A331" s="27" t="s">
        <v>73</v>
      </c>
      <c r="B331" s="41" t="n">
        <v>46303.3364583333</v>
      </c>
      <c r="C331" s="27" t="s">
        <v>200</v>
      </c>
      <c r="D331" s="27" t="n">
        <v>42.4</v>
      </c>
      <c r="E331" s="27" t="n">
        <v>17.4</v>
      </c>
      <c r="F331" s="27" t="n">
        <v>31.9</v>
      </c>
      <c r="G331" s="27" t="n">
        <v>32</v>
      </c>
      <c r="H331" s="27" t="s">
        <v>198</v>
      </c>
      <c r="I331" s="42" t="n">
        <f aca="false">(D331-INDEX('Cohort Summary'!$D$5:$D$14,MATCH($A331,'Cohort Summary'!$A$5:$A$14,0)))/INDEX('Cohort Summary'!$E$5:$E$14,MATCH($A331,'Cohort Summary'!$A$5:$A$14,0))</f>
        <v>-0.432515337423314</v>
      </c>
      <c r="J331" s="42" t="n">
        <f aca="false">(E331-INDEX('Cohort Summary'!$F$5:$F$14,MATCH($A331,'Cohort Summary'!$A$5:$A$14,0)))/INDEX('Cohort Summary'!$G$5:$G$14,MATCH($A331,'Cohort Summary'!$A$5:$A$14,0))</f>
        <v>-0.778301886792454</v>
      </c>
      <c r="K331" s="42" t="n">
        <f aca="false">(F331-INDEX('Cohort Summary'!$H$5:$H$14,MATCH($A331,'Cohort Summary'!$A$5:$A$14,0)))/INDEX('Cohort Summary'!$I$5:$I$14,MATCH($A331,'Cohort Summary'!$A$5:$A$14,0))</f>
        <v>-0.187074829931974</v>
      </c>
      <c r="L331" s="42" t="n">
        <f aca="false">(G331-INDEX('Cohort Summary'!$J$5:$J$14,MATCH($A331,'Cohort Summary'!$A$5:$A$14,0)))/INDEX('Cohort Summary'!$K$5:$K$14,MATCH($A331,'Cohort Summary'!$A$5:$A$14,0))</f>
        <v>-1.296875</v>
      </c>
      <c r="M331" s="42" t="n">
        <f aca="false">MAX(I331:K331)</f>
        <v>-0.187074829931974</v>
      </c>
      <c r="N331" s="27" t="s">
        <v>197</v>
      </c>
      <c r="O331" s="27"/>
      <c r="P331" s="27" t="str">
        <f aca="false">A331&amp;"|"&amp;N331</f>
        <v>NURSE-02|normal</v>
      </c>
    </row>
    <row r="332" customFormat="false" ht="15" hidden="false" customHeight="true" outlineLevel="0" collapsed="false">
      <c r="A332" s="27" t="s">
        <v>73</v>
      </c>
      <c r="B332" s="41" t="n">
        <v>46303.3368055556</v>
      </c>
      <c r="C332" s="27" t="s">
        <v>200</v>
      </c>
      <c r="D332" s="27" t="n">
        <v>42.2</v>
      </c>
      <c r="E332" s="27" t="n">
        <v>18.1</v>
      </c>
      <c r="F332" s="27" t="n">
        <v>32.9</v>
      </c>
      <c r="G332" s="27" t="n">
        <v>33.1</v>
      </c>
      <c r="H332" s="27" t="s">
        <v>198</v>
      </c>
      <c r="I332" s="42" t="n">
        <f aca="false">(D332-INDEX('Cohort Summary'!$D$5:$D$14,MATCH($A332,'Cohort Summary'!$A$5:$A$14,0)))/INDEX('Cohort Summary'!$E$5:$E$14,MATCH($A332,'Cohort Summary'!$A$5:$A$14,0))</f>
        <v>-0.493865030674847</v>
      </c>
      <c r="J332" s="42" t="n">
        <f aca="false">(E332-INDEX('Cohort Summary'!$F$5:$F$14,MATCH($A332,'Cohort Summary'!$A$5:$A$14,0)))/INDEX('Cohort Summary'!$G$5:$G$14,MATCH($A332,'Cohort Summary'!$A$5:$A$14,0))</f>
        <v>-0.448113207547169</v>
      </c>
      <c r="K332" s="42" t="n">
        <f aca="false">(F332-INDEX('Cohort Summary'!$H$5:$H$14,MATCH($A332,'Cohort Summary'!$A$5:$A$14,0)))/INDEX('Cohort Summary'!$I$5:$I$14,MATCH($A332,'Cohort Summary'!$A$5:$A$14,0))</f>
        <v>0.153061224489794</v>
      </c>
      <c r="L332" s="42" t="n">
        <f aca="false">(G332-INDEX('Cohort Summary'!$J$5:$J$14,MATCH($A332,'Cohort Summary'!$A$5:$A$14,0)))/INDEX('Cohort Summary'!$K$5:$K$14,MATCH($A332,'Cohort Summary'!$A$5:$A$14,0))</f>
        <v>0.421875000000005</v>
      </c>
      <c r="M332" s="42" t="n">
        <f aca="false">MAX(I332:K332)</f>
        <v>0.153061224489794</v>
      </c>
      <c r="N332" s="27" t="s">
        <v>197</v>
      </c>
      <c r="O332" s="27"/>
      <c r="P332" s="27" t="str">
        <f aca="false">A332&amp;"|"&amp;N332</f>
        <v>NURSE-02|normal</v>
      </c>
    </row>
    <row r="333" customFormat="false" ht="15" hidden="false" customHeight="true" outlineLevel="0" collapsed="false">
      <c r="A333" s="27" t="s">
        <v>73</v>
      </c>
      <c r="B333" s="41" t="n">
        <v>46303.3371527778</v>
      </c>
      <c r="C333" s="27" t="s">
        <v>200</v>
      </c>
      <c r="D333" s="27" t="n">
        <v>43</v>
      </c>
      <c r="E333" s="27" t="n">
        <v>19.9</v>
      </c>
      <c r="F333" s="27" t="n">
        <v>31.1</v>
      </c>
      <c r="G333" s="27" t="n">
        <v>32.9</v>
      </c>
      <c r="H333" s="27" t="s">
        <v>199</v>
      </c>
      <c r="I333" s="42" t="n">
        <f aca="false">(D333-INDEX('Cohort Summary'!$D$5:$D$14,MATCH($A333,'Cohort Summary'!$A$5:$A$14,0)))/INDEX('Cohort Summary'!$E$5:$E$14,MATCH($A333,'Cohort Summary'!$A$5:$A$14,0))</f>
        <v>-0.248466257668712</v>
      </c>
      <c r="J333" s="42" t="n">
        <f aca="false">(E333-INDEX('Cohort Summary'!$F$5:$F$14,MATCH($A333,'Cohort Summary'!$A$5:$A$14,0)))/INDEX('Cohort Summary'!$G$5:$G$14,MATCH($A333,'Cohort Summary'!$A$5:$A$14,0))</f>
        <v>0.400943396226414</v>
      </c>
      <c r="K333" s="42" t="n">
        <f aca="false">(F333-INDEX('Cohort Summary'!$H$5:$H$14,MATCH($A333,'Cohort Summary'!$A$5:$A$14,0)))/INDEX('Cohort Summary'!$I$5:$I$14,MATCH($A333,'Cohort Summary'!$A$5:$A$14,0))</f>
        <v>-0.459183673469388</v>
      </c>
      <c r="L333" s="42" t="n">
        <f aca="false">(G333-INDEX('Cohort Summary'!$J$5:$J$14,MATCH($A333,'Cohort Summary'!$A$5:$A$14,0)))/INDEX('Cohort Summary'!$K$5:$K$14,MATCH($A333,'Cohort Summary'!$A$5:$A$14,0))</f>
        <v>0.109375</v>
      </c>
      <c r="M333" s="42" t="n">
        <f aca="false">MAX(I333:K333)</f>
        <v>0.400943396226414</v>
      </c>
      <c r="N333" s="27" t="s">
        <v>197</v>
      </c>
      <c r="O333" s="27"/>
      <c r="P333" s="27" t="str">
        <f aca="false">A333&amp;"|"&amp;N333</f>
        <v>NURSE-02|normal</v>
      </c>
    </row>
    <row r="334" customFormat="false" ht="15" hidden="false" customHeight="true" outlineLevel="0" collapsed="false">
      <c r="A334" s="27" t="s">
        <v>73</v>
      </c>
      <c r="B334" s="41" t="n">
        <v>46303.3375</v>
      </c>
      <c r="C334" s="27" t="s">
        <v>200</v>
      </c>
      <c r="D334" s="27" t="n">
        <v>42</v>
      </c>
      <c r="E334" s="27" t="n">
        <v>16</v>
      </c>
      <c r="F334" s="27" t="n">
        <v>28.9</v>
      </c>
      <c r="G334" s="27" t="n">
        <v>33.6</v>
      </c>
      <c r="H334" s="27" t="s">
        <v>196</v>
      </c>
      <c r="I334" s="42" t="n">
        <f aca="false">(D334-INDEX('Cohort Summary'!$D$5:$D$14,MATCH($A334,'Cohort Summary'!$A$5:$A$14,0)))/INDEX('Cohort Summary'!$E$5:$E$14,MATCH($A334,'Cohort Summary'!$A$5:$A$14,0))</f>
        <v>-0.555214723926381</v>
      </c>
      <c r="J334" s="42" t="n">
        <f aca="false">(E334-INDEX('Cohort Summary'!$F$5:$F$14,MATCH($A334,'Cohort Summary'!$A$5:$A$14,0)))/INDEX('Cohort Summary'!$G$5:$G$14,MATCH($A334,'Cohort Summary'!$A$5:$A$14,0))</f>
        <v>-1.43867924528302</v>
      </c>
      <c r="K334" s="42" t="n">
        <f aca="false">(F334-INDEX('Cohort Summary'!$H$5:$H$14,MATCH($A334,'Cohort Summary'!$A$5:$A$14,0)))/INDEX('Cohort Summary'!$I$5:$I$14,MATCH($A334,'Cohort Summary'!$A$5:$A$14,0))</f>
        <v>-1.20748299319728</v>
      </c>
      <c r="L334" s="42" t="n">
        <f aca="false">(G334-INDEX('Cohort Summary'!$J$5:$J$14,MATCH($A334,'Cohort Summary'!$A$5:$A$14,0)))/INDEX('Cohort Summary'!$K$5:$K$14,MATCH($A334,'Cohort Summary'!$A$5:$A$14,0))</f>
        <v>1.203125</v>
      </c>
      <c r="M334" s="42" t="n">
        <f aca="false">MAX(I334:K334)</f>
        <v>-0.555214723926381</v>
      </c>
      <c r="N334" s="27" t="s">
        <v>197</v>
      </c>
      <c r="O334" s="27"/>
      <c r="P334" s="27" t="str">
        <f aca="false">A334&amp;"|"&amp;N334</f>
        <v>NURSE-02|normal</v>
      </c>
    </row>
    <row r="335" customFormat="false" ht="15" hidden="false" customHeight="true" outlineLevel="0" collapsed="false">
      <c r="A335" s="27" t="s">
        <v>73</v>
      </c>
      <c r="B335" s="41" t="n">
        <v>46303.3378472222</v>
      </c>
      <c r="C335" s="27" t="s">
        <v>200</v>
      </c>
      <c r="D335" s="27" t="n">
        <v>46.7</v>
      </c>
      <c r="E335" s="27" t="n">
        <v>16.4</v>
      </c>
      <c r="F335" s="27" t="n">
        <v>32</v>
      </c>
      <c r="G335" s="27" t="n">
        <v>32.9</v>
      </c>
      <c r="H335" s="27" t="s">
        <v>199</v>
      </c>
      <c r="I335" s="42" t="n">
        <f aca="false">(D335-INDEX('Cohort Summary'!$D$5:$D$14,MATCH($A335,'Cohort Summary'!$A$5:$A$14,0)))/INDEX('Cohort Summary'!$E$5:$E$14,MATCH($A335,'Cohort Summary'!$A$5:$A$14,0))</f>
        <v>0.886503067484663</v>
      </c>
      <c r="J335" s="42" t="n">
        <f aca="false">(E335-INDEX('Cohort Summary'!$F$5:$F$14,MATCH($A335,'Cohort Summary'!$A$5:$A$14,0)))/INDEX('Cohort Summary'!$G$5:$G$14,MATCH($A335,'Cohort Summary'!$A$5:$A$14,0))</f>
        <v>-1.25</v>
      </c>
      <c r="K335" s="42" t="n">
        <f aca="false">(F335-INDEX('Cohort Summary'!$H$5:$H$14,MATCH($A335,'Cohort Summary'!$A$5:$A$14,0)))/INDEX('Cohort Summary'!$I$5:$I$14,MATCH($A335,'Cohort Summary'!$A$5:$A$14,0))</f>
        <v>-0.153061224489797</v>
      </c>
      <c r="L335" s="42" t="n">
        <f aca="false">(G335-INDEX('Cohort Summary'!$J$5:$J$14,MATCH($A335,'Cohort Summary'!$A$5:$A$14,0)))/INDEX('Cohort Summary'!$K$5:$K$14,MATCH($A335,'Cohort Summary'!$A$5:$A$14,0))</f>
        <v>0.109375</v>
      </c>
      <c r="M335" s="42" t="n">
        <f aca="false">MAX(I335:K335)</f>
        <v>0.886503067484663</v>
      </c>
      <c r="N335" s="27" t="s">
        <v>197</v>
      </c>
      <c r="O335" s="27"/>
      <c r="P335" s="27" t="str">
        <f aca="false">A335&amp;"|"&amp;N335</f>
        <v>NURSE-02|normal</v>
      </c>
    </row>
    <row r="336" customFormat="false" ht="15" hidden="false" customHeight="true" outlineLevel="0" collapsed="false">
      <c r="A336" s="27" t="s">
        <v>73</v>
      </c>
      <c r="B336" s="41" t="n">
        <v>46303.3381944444</v>
      </c>
      <c r="C336" s="27" t="s">
        <v>200</v>
      </c>
      <c r="D336" s="27" t="n">
        <v>45.2</v>
      </c>
      <c r="E336" s="27" t="n">
        <v>20.4</v>
      </c>
      <c r="F336" s="27" t="n">
        <v>34</v>
      </c>
      <c r="G336" s="27" t="n">
        <v>33</v>
      </c>
      <c r="H336" s="27" t="s">
        <v>196</v>
      </c>
      <c r="I336" s="42" t="n">
        <f aca="false">(D336-INDEX('Cohort Summary'!$D$5:$D$14,MATCH($A336,'Cohort Summary'!$A$5:$A$14,0)))/INDEX('Cohort Summary'!$E$5:$E$14,MATCH($A336,'Cohort Summary'!$A$5:$A$14,0))</f>
        <v>0.42638036809816</v>
      </c>
      <c r="J336" s="42" t="n">
        <f aca="false">(E336-INDEX('Cohort Summary'!$F$5:$F$14,MATCH($A336,'Cohort Summary'!$A$5:$A$14,0)))/INDEX('Cohort Summary'!$G$5:$G$14,MATCH($A336,'Cohort Summary'!$A$5:$A$14,0))</f>
        <v>0.636792452830188</v>
      </c>
      <c r="K336" s="42" t="n">
        <f aca="false">(F336-INDEX('Cohort Summary'!$H$5:$H$14,MATCH($A336,'Cohort Summary'!$A$5:$A$14,0)))/INDEX('Cohort Summary'!$I$5:$I$14,MATCH($A336,'Cohort Summary'!$A$5:$A$14,0))</f>
        <v>0.527210884353741</v>
      </c>
      <c r="L336" s="42" t="n">
        <f aca="false">(G336-INDEX('Cohort Summary'!$J$5:$J$14,MATCH($A336,'Cohort Summary'!$A$5:$A$14,0)))/INDEX('Cohort Summary'!$K$5:$K$14,MATCH($A336,'Cohort Summary'!$A$5:$A$14,0))</f>
        <v>0.265625000000003</v>
      </c>
      <c r="M336" s="42" t="n">
        <f aca="false">MAX(I336:K336)</f>
        <v>0.636792452830188</v>
      </c>
      <c r="N336" s="27" t="s">
        <v>197</v>
      </c>
      <c r="O336" s="27"/>
      <c r="P336" s="27" t="str">
        <f aca="false">A336&amp;"|"&amp;N336</f>
        <v>NURSE-02|normal</v>
      </c>
    </row>
    <row r="337" customFormat="false" ht="15" hidden="false" customHeight="true" outlineLevel="0" collapsed="false">
      <c r="A337" s="27" t="s">
        <v>73</v>
      </c>
      <c r="B337" s="41" t="n">
        <v>46303.3385416667</v>
      </c>
      <c r="C337" s="27" t="s">
        <v>200</v>
      </c>
      <c r="D337" s="27" t="n">
        <v>39.8</v>
      </c>
      <c r="E337" s="27" t="n">
        <v>16.3</v>
      </c>
      <c r="F337" s="27" t="n">
        <v>33.3</v>
      </c>
      <c r="G337" s="27" t="n">
        <v>33.1</v>
      </c>
      <c r="H337" s="27" t="s">
        <v>198</v>
      </c>
      <c r="I337" s="42" t="n">
        <f aca="false">(D337-INDEX('Cohort Summary'!$D$5:$D$14,MATCH($A337,'Cohort Summary'!$A$5:$A$14,0)))/INDEX('Cohort Summary'!$E$5:$E$14,MATCH($A337,'Cohort Summary'!$A$5:$A$14,0))</f>
        <v>-1.23006134969325</v>
      </c>
      <c r="J337" s="42" t="n">
        <f aca="false">(E337-INDEX('Cohort Summary'!$F$5:$F$14,MATCH($A337,'Cohort Summary'!$A$5:$A$14,0)))/INDEX('Cohort Summary'!$G$5:$G$14,MATCH($A337,'Cohort Summary'!$A$5:$A$14,0))</f>
        <v>-1.29716981132075</v>
      </c>
      <c r="K337" s="42" t="n">
        <f aca="false">(F337-INDEX('Cohort Summary'!$H$5:$H$14,MATCH($A337,'Cohort Summary'!$A$5:$A$14,0)))/INDEX('Cohort Summary'!$I$5:$I$14,MATCH($A337,'Cohort Summary'!$A$5:$A$14,0))</f>
        <v>0.289115646258501</v>
      </c>
      <c r="L337" s="42" t="n">
        <f aca="false">(G337-INDEX('Cohort Summary'!$J$5:$J$14,MATCH($A337,'Cohort Summary'!$A$5:$A$14,0)))/INDEX('Cohort Summary'!$K$5:$K$14,MATCH($A337,'Cohort Summary'!$A$5:$A$14,0))</f>
        <v>0.421875000000005</v>
      </c>
      <c r="M337" s="42" t="n">
        <f aca="false">MAX(I337:K337)</f>
        <v>0.289115646258501</v>
      </c>
      <c r="N337" s="27" t="s">
        <v>197</v>
      </c>
      <c r="O337" s="27"/>
      <c r="P337" s="27" t="str">
        <f aca="false">A337&amp;"|"&amp;N337</f>
        <v>NURSE-02|normal</v>
      </c>
    </row>
    <row r="338" customFormat="false" ht="15" hidden="false" customHeight="true" outlineLevel="0" collapsed="false">
      <c r="A338" s="27" t="s">
        <v>73</v>
      </c>
      <c r="B338" s="41" t="n">
        <v>46303.3388888889</v>
      </c>
      <c r="C338" s="27" t="s">
        <v>200</v>
      </c>
      <c r="D338" s="27" t="n">
        <v>40</v>
      </c>
      <c r="E338" s="27" t="n">
        <v>17.3</v>
      </c>
      <c r="F338" s="27" t="n">
        <v>27.4</v>
      </c>
      <c r="G338" s="27" t="n">
        <v>33.3</v>
      </c>
      <c r="H338" s="27" t="s">
        <v>196</v>
      </c>
      <c r="I338" s="42" t="n">
        <f aca="false">(D338-INDEX('Cohort Summary'!$D$5:$D$14,MATCH($A338,'Cohort Summary'!$A$5:$A$14,0)))/INDEX('Cohort Summary'!$E$5:$E$14,MATCH($A338,'Cohort Summary'!$A$5:$A$14,0))</f>
        <v>-1.16871165644172</v>
      </c>
      <c r="J338" s="42" t="n">
        <f aca="false">(E338-INDEX('Cohort Summary'!$F$5:$F$14,MATCH($A338,'Cohort Summary'!$A$5:$A$14,0)))/INDEX('Cohort Summary'!$G$5:$G$14,MATCH($A338,'Cohort Summary'!$A$5:$A$14,0))</f>
        <v>-0.825471698113208</v>
      </c>
      <c r="K338" s="42" t="n">
        <f aca="false">(F338-INDEX('Cohort Summary'!$H$5:$H$14,MATCH($A338,'Cohort Summary'!$A$5:$A$14,0)))/INDEX('Cohort Summary'!$I$5:$I$14,MATCH($A338,'Cohort Summary'!$A$5:$A$14,0))</f>
        <v>-1.71768707482993</v>
      </c>
      <c r="L338" s="42" t="n">
        <f aca="false">(G338-INDEX('Cohort Summary'!$J$5:$J$14,MATCH($A338,'Cohort Summary'!$A$5:$A$14,0)))/INDEX('Cohort Summary'!$K$5:$K$14,MATCH($A338,'Cohort Summary'!$A$5:$A$14,0))</f>
        <v>0.734374999999998</v>
      </c>
      <c r="M338" s="42" t="n">
        <f aca="false">MAX(I338:K338)</f>
        <v>-0.825471698113208</v>
      </c>
      <c r="N338" s="27" t="s">
        <v>197</v>
      </c>
      <c r="O338" s="27"/>
      <c r="P338" s="27" t="str">
        <f aca="false">A338&amp;"|"&amp;N338</f>
        <v>NURSE-02|normal</v>
      </c>
    </row>
    <row r="339" customFormat="false" ht="15" hidden="false" customHeight="true" outlineLevel="0" collapsed="false">
      <c r="A339" s="27" t="s">
        <v>73</v>
      </c>
      <c r="B339" s="41" t="n">
        <v>46303.3392361111</v>
      </c>
      <c r="C339" s="27" t="s">
        <v>200</v>
      </c>
      <c r="D339" s="27" t="n">
        <v>39.1</v>
      </c>
      <c r="E339" s="27" t="n">
        <v>22.1</v>
      </c>
      <c r="F339" s="27" t="n">
        <v>28.4</v>
      </c>
      <c r="G339" s="27" t="n">
        <v>32.4</v>
      </c>
      <c r="H339" s="27" t="s">
        <v>196</v>
      </c>
      <c r="I339" s="42" t="n">
        <f aca="false">(D339-INDEX('Cohort Summary'!$D$5:$D$14,MATCH($A339,'Cohort Summary'!$A$5:$A$14,0)))/INDEX('Cohort Summary'!$E$5:$E$14,MATCH($A339,'Cohort Summary'!$A$5:$A$14,0))</f>
        <v>-1.44478527607362</v>
      </c>
      <c r="J339" s="42" t="n">
        <f aca="false">(E339-INDEX('Cohort Summary'!$F$5:$F$14,MATCH($A339,'Cohort Summary'!$A$5:$A$14,0)))/INDEX('Cohort Summary'!$G$5:$G$14,MATCH($A339,'Cohort Summary'!$A$5:$A$14,0))</f>
        <v>1.43867924528302</v>
      </c>
      <c r="K339" s="42" t="n">
        <f aca="false">(F339-INDEX('Cohort Summary'!$H$5:$H$14,MATCH($A339,'Cohort Summary'!$A$5:$A$14,0)))/INDEX('Cohort Summary'!$I$5:$I$14,MATCH($A339,'Cohort Summary'!$A$5:$A$14,0))</f>
        <v>-1.37755102040816</v>
      </c>
      <c r="L339" s="42" t="n">
        <f aca="false">(G339-INDEX('Cohort Summary'!$J$5:$J$14,MATCH($A339,'Cohort Summary'!$A$5:$A$14,0)))/INDEX('Cohort Summary'!$K$5:$K$14,MATCH($A339,'Cohort Summary'!$A$5:$A$14,0))</f>
        <v>-0.671875</v>
      </c>
      <c r="M339" s="42" t="n">
        <f aca="false">MAX(I339:K339)</f>
        <v>1.43867924528302</v>
      </c>
      <c r="N339" s="27" t="s">
        <v>197</v>
      </c>
      <c r="O339" s="27"/>
      <c r="P339" s="27" t="str">
        <f aca="false">A339&amp;"|"&amp;N339</f>
        <v>NURSE-02|normal</v>
      </c>
    </row>
    <row r="340" customFormat="false" ht="15" hidden="false" customHeight="true" outlineLevel="0" collapsed="false">
      <c r="A340" s="27" t="s">
        <v>73</v>
      </c>
      <c r="B340" s="41" t="n">
        <v>46303.3395833333</v>
      </c>
      <c r="C340" s="27" t="s">
        <v>200</v>
      </c>
      <c r="D340" s="27" t="n">
        <v>41.6</v>
      </c>
      <c r="E340" s="27" t="n">
        <v>18.1</v>
      </c>
      <c r="F340" s="27" t="n">
        <v>31.2</v>
      </c>
      <c r="G340" s="27" t="n">
        <v>32.4</v>
      </c>
      <c r="H340" s="27" t="s">
        <v>199</v>
      </c>
      <c r="I340" s="42" t="n">
        <f aca="false">(D340-INDEX('Cohort Summary'!$D$5:$D$14,MATCH($A340,'Cohort Summary'!$A$5:$A$14,0)))/INDEX('Cohort Summary'!$E$5:$E$14,MATCH($A340,'Cohort Summary'!$A$5:$A$14,0))</f>
        <v>-0.677914110429448</v>
      </c>
      <c r="J340" s="42" t="n">
        <f aca="false">(E340-INDEX('Cohort Summary'!$F$5:$F$14,MATCH($A340,'Cohort Summary'!$A$5:$A$14,0)))/INDEX('Cohort Summary'!$G$5:$G$14,MATCH($A340,'Cohort Summary'!$A$5:$A$14,0))</f>
        <v>-0.448113207547169</v>
      </c>
      <c r="K340" s="42" t="n">
        <f aca="false">(F340-INDEX('Cohort Summary'!$H$5:$H$14,MATCH($A340,'Cohort Summary'!$A$5:$A$14,0)))/INDEX('Cohort Summary'!$I$5:$I$14,MATCH($A340,'Cohort Summary'!$A$5:$A$14,0))</f>
        <v>-0.425170068027212</v>
      </c>
      <c r="L340" s="42" t="n">
        <f aca="false">(G340-INDEX('Cohort Summary'!$J$5:$J$14,MATCH($A340,'Cohort Summary'!$A$5:$A$14,0)))/INDEX('Cohort Summary'!$K$5:$K$14,MATCH($A340,'Cohort Summary'!$A$5:$A$14,0))</f>
        <v>-0.671875</v>
      </c>
      <c r="M340" s="42" t="n">
        <f aca="false">MAX(I340:K340)</f>
        <v>-0.425170068027212</v>
      </c>
      <c r="N340" s="27" t="s">
        <v>197</v>
      </c>
      <c r="O340" s="27"/>
      <c r="P340" s="27" t="str">
        <f aca="false">A340&amp;"|"&amp;N340</f>
        <v>NURSE-02|normal</v>
      </c>
    </row>
    <row r="341" customFormat="false" ht="15" hidden="false" customHeight="true" outlineLevel="0" collapsed="false">
      <c r="A341" s="27" t="s">
        <v>73</v>
      </c>
      <c r="B341" s="41" t="n">
        <v>46303.3399305556</v>
      </c>
      <c r="C341" s="27" t="s">
        <v>200</v>
      </c>
      <c r="D341" s="27" t="n">
        <v>44.7</v>
      </c>
      <c r="E341" s="27" t="n">
        <v>20</v>
      </c>
      <c r="F341" s="27" t="n">
        <v>36.1</v>
      </c>
      <c r="G341" s="27" t="n">
        <v>32.8</v>
      </c>
      <c r="H341" s="27" t="s">
        <v>196</v>
      </c>
      <c r="I341" s="42" t="n">
        <f aca="false">(D341-INDEX('Cohort Summary'!$D$5:$D$14,MATCH($A341,'Cohort Summary'!$A$5:$A$14,0)))/INDEX('Cohort Summary'!$E$5:$E$14,MATCH($A341,'Cohort Summary'!$A$5:$A$14,0))</f>
        <v>0.273006134969325</v>
      </c>
      <c r="J341" s="42" t="n">
        <f aca="false">(E341-INDEX('Cohort Summary'!$F$5:$F$14,MATCH($A341,'Cohort Summary'!$A$5:$A$14,0)))/INDEX('Cohort Summary'!$G$5:$G$14,MATCH($A341,'Cohort Summary'!$A$5:$A$14,0))</f>
        <v>0.448113207547169</v>
      </c>
      <c r="K341" s="42" t="n">
        <f aca="false">(F341-INDEX('Cohort Summary'!$H$5:$H$14,MATCH($A341,'Cohort Summary'!$A$5:$A$14,0)))/INDEX('Cohort Summary'!$I$5:$I$14,MATCH($A341,'Cohort Summary'!$A$5:$A$14,0))</f>
        <v>1.24149659863946</v>
      </c>
      <c r="L341" s="42" t="n">
        <f aca="false">(G341-INDEX('Cohort Summary'!$J$5:$J$14,MATCH($A341,'Cohort Summary'!$A$5:$A$14,0)))/INDEX('Cohort Summary'!$K$5:$K$14,MATCH($A341,'Cohort Summary'!$A$5:$A$14,0))</f>
        <v>-0.0468750000000018</v>
      </c>
      <c r="M341" s="42" t="n">
        <f aca="false">MAX(I341:K341)</f>
        <v>1.24149659863946</v>
      </c>
      <c r="N341" s="27" t="s">
        <v>197</v>
      </c>
      <c r="O341" s="27"/>
      <c r="P341" s="27" t="str">
        <f aca="false">A341&amp;"|"&amp;N341</f>
        <v>NURSE-02|normal</v>
      </c>
    </row>
    <row r="342" customFormat="false" ht="15" hidden="false" customHeight="true" outlineLevel="0" collapsed="false">
      <c r="A342" s="27" t="s">
        <v>73</v>
      </c>
      <c r="B342" s="41" t="n">
        <v>46303.3402777778</v>
      </c>
      <c r="C342" s="27" t="s">
        <v>200</v>
      </c>
      <c r="D342" s="27" t="n">
        <v>39.4</v>
      </c>
      <c r="E342" s="27" t="n">
        <v>16.8</v>
      </c>
      <c r="F342" s="27" t="n">
        <v>35.1</v>
      </c>
      <c r="G342" s="27" t="n">
        <v>33</v>
      </c>
      <c r="H342" s="27" t="s">
        <v>199</v>
      </c>
      <c r="I342" s="42" t="n">
        <f aca="false">(D342-INDEX('Cohort Summary'!$D$5:$D$14,MATCH($A342,'Cohort Summary'!$A$5:$A$14,0)))/INDEX('Cohort Summary'!$E$5:$E$14,MATCH($A342,'Cohort Summary'!$A$5:$A$14,0))</f>
        <v>-1.35276073619632</v>
      </c>
      <c r="J342" s="42" t="n">
        <f aca="false">(E342-INDEX('Cohort Summary'!$F$5:$F$14,MATCH($A342,'Cohort Summary'!$A$5:$A$14,0)))/INDEX('Cohort Summary'!$G$5:$G$14,MATCH($A342,'Cohort Summary'!$A$5:$A$14,0))</f>
        <v>-1.06132075471698</v>
      </c>
      <c r="K342" s="42" t="n">
        <f aca="false">(F342-INDEX('Cohort Summary'!$H$5:$H$14,MATCH($A342,'Cohort Summary'!$A$5:$A$14,0)))/INDEX('Cohort Summary'!$I$5:$I$14,MATCH($A342,'Cohort Summary'!$A$5:$A$14,0))</f>
        <v>0.901360544217687</v>
      </c>
      <c r="L342" s="42" t="n">
        <f aca="false">(G342-INDEX('Cohort Summary'!$J$5:$J$14,MATCH($A342,'Cohort Summary'!$A$5:$A$14,0)))/INDEX('Cohort Summary'!$K$5:$K$14,MATCH($A342,'Cohort Summary'!$A$5:$A$14,0))</f>
        <v>0.265625000000003</v>
      </c>
      <c r="M342" s="42" t="n">
        <f aca="false">MAX(I342:K342)</f>
        <v>0.901360544217687</v>
      </c>
      <c r="N342" s="27" t="s">
        <v>197</v>
      </c>
      <c r="O342" s="27"/>
      <c r="P342" s="27" t="str">
        <f aca="false">A342&amp;"|"&amp;N342</f>
        <v>NURSE-02|normal</v>
      </c>
    </row>
    <row r="343" customFormat="false" ht="15" hidden="false" customHeight="true" outlineLevel="0" collapsed="false">
      <c r="A343" s="27" t="s">
        <v>73</v>
      </c>
      <c r="B343" s="41" t="n">
        <v>46303.340625</v>
      </c>
      <c r="C343" s="27" t="s">
        <v>200</v>
      </c>
      <c r="D343" s="27" t="n">
        <v>43.5</v>
      </c>
      <c r="E343" s="27" t="n">
        <v>16.1</v>
      </c>
      <c r="F343" s="27" t="n">
        <v>30.9</v>
      </c>
      <c r="G343" s="27" t="n">
        <v>33</v>
      </c>
      <c r="H343" s="27" t="s">
        <v>196</v>
      </c>
      <c r="I343" s="42" t="n">
        <f aca="false">(D343-INDEX('Cohort Summary'!$D$5:$D$14,MATCH($A343,'Cohort Summary'!$A$5:$A$14,0)))/INDEX('Cohort Summary'!$E$5:$E$14,MATCH($A343,'Cohort Summary'!$A$5:$A$14,0))</f>
        <v>-0.095092024539878</v>
      </c>
      <c r="J343" s="42" t="n">
        <f aca="false">(E343-INDEX('Cohort Summary'!$F$5:$F$14,MATCH($A343,'Cohort Summary'!$A$5:$A$14,0)))/INDEX('Cohort Summary'!$G$5:$G$14,MATCH($A343,'Cohort Summary'!$A$5:$A$14,0))</f>
        <v>-1.39150943396226</v>
      </c>
      <c r="K343" s="42" t="n">
        <f aca="false">(F343-INDEX('Cohort Summary'!$H$5:$H$14,MATCH($A343,'Cohort Summary'!$A$5:$A$14,0)))/INDEX('Cohort Summary'!$I$5:$I$14,MATCH($A343,'Cohort Summary'!$A$5:$A$14,0))</f>
        <v>-0.527210884353743</v>
      </c>
      <c r="L343" s="42" t="n">
        <f aca="false">(G343-INDEX('Cohort Summary'!$J$5:$J$14,MATCH($A343,'Cohort Summary'!$A$5:$A$14,0)))/INDEX('Cohort Summary'!$K$5:$K$14,MATCH($A343,'Cohort Summary'!$A$5:$A$14,0))</f>
        <v>0.265625000000003</v>
      </c>
      <c r="M343" s="42" t="n">
        <f aca="false">MAX(I343:K343)</f>
        <v>-0.095092024539878</v>
      </c>
      <c r="N343" s="27" t="s">
        <v>197</v>
      </c>
      <c r="O343" s="27"/>
      <c r="P343" s="27" t="str">
        <f aca="false">A343&amp;"|"&amp;N343</f>
        <v>NURSE-02|normal</v>
      </c>
    </row>
    <row r="344" customFormat="false" ht="15" hidden="false" customHeight="true" outlineLevel="0" collapsed="false">
      <c r="A344" s="27" t="s">
        <v>73</v>
      </c>
      <c r="B344" s="41" t="n">
        <v>46303.3409722222</v>
      </c>
      <c r="C344" s="27" t="s">
        <v>200</v>
      </c>
      <c r="D344" s="27" t="n">
        <v>48.8</v>
      </c>
      <c r="E344" s="27" t="n">
        <v>19.3</v>
      </c>
      <c r="F344" s="27" t="n">
        <v>31.1</v>
      </c>
      <c r="G344" s="27" t="n">
        <v>32</v>
      </c>
      <c r="H344" s="27" t="s">
        <v>196</v>
      </c>
      <c r="I344" s="42" t="n">
        <f aca="false">(D344-INDEX('Cohort Summary'!$D$5:$D$14,MATCH($A344,'Cohort Summary'!$A$5:$A$14,0)))/INDEX('Cohort Summary'!$E$5:$E$14,MATCH($A344,'Cohort Summary'!$A$5:$A$14,0))</f>
        <v>1.53067484662577</v>
      </c>
      <c r="J344" s="42" t="n">
        <f aca="false">(E344-INDEX('Cohort Summary'!$F$5:$F$14,MATCH($A344,'Cohort Summary'!$A$5:$A$14,0)))/INDEX('Cohort Summary'!$G$5:$G$14,MATCH($A344,'Cohort Summary'!$A$5:$A$14,0))</f>
        <v>0.117924528301887</v>
      </c>
      <c r="K344" s="42" t="n">
        <f aca="false">(F344-INDEX('Cohort Summary'!$H$5:$H$14,MATCH($A344,'Cohort Summary'!$A$5:$A$14,0)))/INDEX('Cohort Summary'!$I$5:$I$14,MATCH($A344,'Cohort Summary'!$A$5:$A$14,0))</f>
        <v>-0.459183673469388</v>
      </c>
      <c r="L344" s="42" t="n">
        <f aca="false">(G344-INDEX('Cohort Summary'!$J$5:$J$14,MATCH($A344,'Cohort Summary'!$A$5:$A$14,0)))/INDEX('Cohort Summary'!$K$5:$K$14,MATCH($A344,'Cohort Summary'!$A$5:$A$14,0))</f>
        <v>-1.296875</v>
      </c>
      <c r="M344" s="42" t="n">
        <f aca="false">MAX(I344:K344)</f>
        <v>1.53067484662577</v>
      </c>
      <c r="N344" s="27" t="s">
        <v>197</v>
      </c>
      <c r="O344" s="27"/>
      <c r="P344" s="27" t="str">
        <f aca="false">A344&amp;"|"&amp;N344</f>
        <v>NURSE-02|normal</v>
      </c>
    </row>
    <row r="345" customFormat="false" ht="15" hidden="false" customHeight="true" outlineLevel="0" collapsed="false">
      <c r="A345" s="27" t="s">
        <v>73</v>
      </c>
      <c r="B345" s="41" t="n">
        <v>46303.3413194444</v>
      </c>
      <c r="C345" s="27" t="s">
        <v>200</v>
      </c>
      <c r="D345" s="27" t="n">
        <v>43.7</v>
      </c>
      <c r="E345" s="27" t="n">
        <v>22.3</v>
      </c>
      <c r="F345" s="27" t="n">
        <v>33.3</v>
      </c>
      <c r="G345" s="27" t="n">
        <v>32.7</v>
      </c>
      <c r="H345" s="27" t="s">
        <v>198</v>
      </c>
      <c r="I345" s="42" t="n">
        <f aca="false">(D345-INDEX('Cohort Summary'!$D$5:$D$14,MATCH($A345,'Cohort Summary'!$A$5:$A$14,0)))/INDEX('Cohort Summary'!$E$5:$E$14,MATCH($A345,'Cohort Summary'!$A$5:$A$14,0))</f>
        <v>-0.0337423312883434</v>
      </c>
      <c r="J345" s="42" t="n">
        <f aca="false">(E345-INDEX('Cohort Summary'!$F$5:$F$14,MATCH($A345,'Cohort Summary'!$A$5:$A$14,0)))/INDEX('Cohort Summary'!$G$5:$G$14,MATCH($A345,'Cohort Summary'!$A$5:$A$14,0))</f>
        <v>1.53301886792453</v>
      </c>
      <c r="K345" s="42" t="n">
        <f aca="false">(F345-INDEX('Cohort Summary'!$H$5:$H$14,MATCH($A345,'Cohort Summary'!$A$5:$A$14,0)))/INDEX('Cohort Summary'!$I$5:$I$14,MATCH($A345,'Cohort Summary'!$A$5:$A$14,0))</f>
        <v>0.289115646258501</v>
      </c>
      <c r="L345" s="42" t="n">
        <f aca="false">(G345-INDEX('Cohort Summary'!$J$5:$J$14,MATCH($A345,'Cohort Summary'!$A$5:$A$14,0)))/INDEX('Cohort Summary'!$K$5:$K$14,MATCH($A345,'Cohort Summary'!$A$5:$A$14,0))</f>
        <v>-0.203124999999993</v>
      </c>
      <c r="M345" s="42" t="n">
        <f aca="false">MAX(I345:K345)</f>
        <v>1.53301886792453</v>
      </c>
      <c r="N345" s="27" t="s">
        <v>197</v>
      </c>
      <c r="O345" s="27"/>
      <c r="P345" s="27" t="str">
        <f aca="false">A345&amp;"|"&amp;N345</f>
        <v>NURSE-02|normal</v>
      </c>
    </row>
    <row r="346" customFormat="false" ht="15" hidden="false" customHeight="true" outlineLevel="0" collapsed="false">
      <c r="A346" s="27" t="s">
        <v>73</v>
      </c>
      <c r="B346" s="41" t="n">
        <v>46303.3416666667</v>
      </c>
      <c r="C346" s="27" t="s">
        <v>200</v>
      </c>
      <c r="D346" s="27" t="n">
        <v>45.8</v>
      </c>
      <c r="E346" s="27" t="n">
        <v>16.9</v>
      </c>
      <c r="F346" s="27" t="n">
        <v>36.7</v>
      </c>
      <c r="G346" s="27" t="n">
        <v>32</v>
      </c>
      <c r="H346" s="27" t="s">
        <v>198</v>
      </c>
      <c r="I346" s="42" t="n">
        <f aca="false">(D346-INDEX('Cohort Summary'!$D$5:$D$14,MATCH($A346,'Cohort Summary'!$A$5:$A$14,0)))/INDEX('Cohort Summary'!$E$5:$E$14,MATCH($A346,'Cohort Summary'!$A$5:$A$14,0))</f>
        <v>0.610429447852759</v>
      </c>
      <c r="J346" s="42" t="n">
        <f aca="false">(E346-INDEX('Cohort Summary'!$F$5:$F$14,MATCH($A346,'Cohort Summary'!$A$5:$A$14,0)))/INDEX('Cohort Summary'!$G$5:$G$14,MATCH($A346,'Cohort Summary'!$A$5:$A$14,0))</f>
        <v>-1.01415094339623</v>
      </c>
      <c r="K346" s="42" t="n">
        <f aca="false">(F346-INDEX('Cohort Summary'!$H$5:$H$14,MATCH($A346,'Cohort Summary'!$A$5:$A$14,0)))/INDEX('Cohort Summary'!$I$5:$I$14,MATCH($A346,'Cohort Summary'!$A$5:$A$14,0))</f>
        <v>1.44557823129252</v>
      </c>
      <c r="L346" s="42" t="n">
        <f aca="false">(G346-INDEX('Cohort Summary'!$J$5:$J$14,MATCH($A346,'Cohort Summary'!$A$5:$A$14,0)))/INDEX('Cohort Summary'!$K$5:$K$14,MATCH($A346,'Cohort Summary'!$A$5:$A$14,0))</f>
        <v>-1.296875</v>
      </c>
      <c r="M346" s="42" t="n">
        <f aca="false">MAX(I346:K346)</f>
        <v>1.44557823129252</v>
      </c>
      <c r="N346" s="27" t="s">
        <v>197</v>
      </c>
      <c r="O346" s="27"/>
      <c r="P346" s="27" t="str">
        <f aca="false">A346&amp;"|"&amp;N346</f>
        <v>NURSE-02|normal</v>
      </c>
    </row>
    <row r="347" customFormat="false" ht="15" hidden="false" customHeight="true" outlineLevel="0" collapsed="false">
      <c r="A347" s="27" t="s">
        <v>73</v>
      </c>
      <c r="B347" s="41" t="n">
        <v>46303.3420138889</v>
      </c>
      <c r="C347" s="27" t="s">
        <v>200</v>
      </c>
      <c r="D347" s="27" t="n">
        <v>40.3</v>
      </c>
      <c r="E347" s="27" t="n">
        <v>16.1</v>
      </c>
      <c r="F347" s="27" t="n">
        <v>34.2</v>
      </c>
      <c r="G347" s="27" t="n">
        <v>32.3</v>
      </c>
      <c r="H347" s="27" t="s">
        <v>196</v>
      </c>
      <c r="I347" s="42" t="n">
        <f aca="false">(D347-INDEX('Cohort Summary'!$D$5:$D$14,MATCH($A347,'Cohort Summary'!$A$5:$A$14,0)))/INDEX('Cohort Summary'!$E$5:$E$14,MATCH($A347,'Cohort Summary'!$A$5:$A$14,0))</f>
        <v>-1.07668711656442</v>
      </c>
      <c r="J347" s="42" t="n">
        <f aca="false">(E347-INDEX('Cohort Summary'!$F$5:$F$14,MATCH($A347,'Cohort Summary'!$A$5:$A$14,0)))/INDEX('Cohort Summary'!$G$5:$G$14,MATCH($A347,'Cohort Summary'!$A$5:$A$14,0))</f>
        <v>-1.39150943396226</v>
      </c>
      <c r="K347" s="42" t="n">
        <f aca="false">(F347-INDEX('Cohort Summary'!$H$5:$H$14,MATCH($A347,'Cohort Summary'!$A$5:$A$14,0)))/INDEX('Cohort Summary'!$I$5:$I$14,MATCH($A347,'Cohort Summary'!$A$5:$A$14,0))</f>
        <v>0.595238095238095</v>
      </c>
      <c r="L347" s="42" t="n">
        <f aca="false">(G347-INDEX('Cohort Summary'!$J$5:$J$14,MATCH($A347,'Cohort Summary'!$A$5:$A$14,0)))/INDEX('Cohort Summary'!$K$5:$K$14,MATCH($A347,'Cohort Summary'!$A$5:$A$14,0))</f>
        <v>-0.828125000000002</v>
      </c>
      <c r="M347" s="42" t="n">
        <f aca="false">MAX(I347:K347)</f>
        <v>0.595238095238095</v>
      </c>
      <c r="N347" s="27" t="s">
        <v>197</v>
      </c>
      <c r="O347" s="27"/>
      <c r="P347" s="27" t="str">
        <f aca="false">A347&amp;"|"&amp;N347</f>
        <v>NURSE-02|normal</v>
      </c>
    </row>
    <row r="348" customFormat="false" ht="15" hidden="false" customHeight="true" outlineLevel="0" collapsed="false">
      <c r="A348" s="27" t="s">
        <v>73</v>
      </c>
      <c r="B348" s="41" t="n">
        <v>46303.3423611111</v>
      </c>
      <c r="C348" s="27" t="s">
        <v>200</v>
      </c>
      <c r="D348" s="27" t="n">
        <v>46.4</v>
      </c>
      <c r="E348" s="27" t="n">
        <v>22.5</v>
      </c>
      <c r="F348" s="27" t="n">
        <v>30.7</v>
      </c>
      <c r="G348" s="27" t="n">
        <v>33.3</v>
      </c>
      <c r="H348" s="27" t="s">
        <v>196</v>
      </c>
      <c r="I348" s="42" t="n">
        <f aca="false">(D348-INDEX('Cohort Summary'!$D$5:$D$14,MATCH($A348,'Cohort Summary'!$A$5:$A$14,0)))/INDEX('Cohort Summary'!$E$5:$E$14,MATCH($A348,'Cohort Summary'!$A$5:$A$14,0))</f>
        <v>0.794478527607361</v>
      </c>
      <c r="J348" s="42" t="n">
        <f aca="false">(E348-INDEX('Cohort Summary'!$F$5:$F$14,MATCH($A348,'Cohort Summary'!$A$5:$A$14,0)))/INDEX('Cohort Summary'!$G$5:$G$14,MATCH($A348,'Cohort Summary'!$A$5:$A$14,0))</f>
        <v>1.62735849056604</v>
      </c>
      <c r="K348" s="42" t="n">
        <f aca="false">(F348-INDEX('Cohort Summary'!$H$5:$H$14,MATCH($A348,'Cohort Summary'!$A$5:$A$14,0)))/INDEX('Cohort Summary'!$I$5:$I$14,MATCH($A348,'Cohort Summary'!$A$5:$A$14,0))</f>
        <v>-0.595238095238097</v>
      </c>
      <c r="L348" s="42" t="n">
        <f aca="false">(G348-INDEX('Cohort Summary'!$J$5:$J$14,MATCH($A348,'Cohort Summary'!$A$5:$A$14,0)))/INDEX('Cohort Summary'!$K$5:$K$14,MATCH($A348,'Cohort Summary'!$A$5:$A$14,0))</f>
        <v>0.734374999999998</v>
      </c>
      <c r="M348" s="42" t="n">
        <f aca="false">MAX(I348:K348)</f>
        <v>1.62735849056604</v>
      </c>
      <c r="N348" s="27" t="s">
        <v>197</v>
      </c>
      <c r="O348" s="27"/>
      <c r="P348" s="27" t="str">
        <f aca="false">A348&amp;"|"&amp;N348</f>
        <v>NURSE-02|normal</v>
      </c>
    </row>
    <row r="349" customFormat="false" ht="15" hidden="false" customHeight="true" outlineLevel="0" collapsed="false">
      <c r="A349" s="27" t="s">
        <v>73</v>
      </c>
      <c r="B349" s="41" t="n">
        <v>46303.3427083333</v>
      </c>
      <c r="C349" s="27" t="s">
        <v>200</v>
      </c>
      <c r="D349" s="27" t="n">
        <v>47.6</v>
      </c>
      <c r="E349" s="27" t="n">
        <v>21.1</v>
      </c>
      <c r="F349" s="27" t="n">
        <v>27.8</v>
      </c>
      <c r="G349" s="27" t="n">
        <v>33.1</v>
      </c>
      <c r="H349" s="27" t="s">
        <v>196</v>
      </c>
      <c r="I349" s="42" t="n">
        <f aca="false">(D349-INDEX('Cohort Summary'!$D$5:$D$14,MATCH($A349,'Cohort Summary'!$A$5:$A$14,0)))/INDEX('Cohort Summary'!$E$5:$E$14,MATCH($A349,'Cohort Summary'!$A$5:$A$14,0))</f>
        <v>1.16257668711656</v>
      </c>
      <c r="J349" s="42" t="n">
        <f aca="false">(E349-INDEX('Cohort Summary'!$F$5:$F$14,MATCH($A349,'Cohort Summary'!$A$5:$A$14,0)))/INDEX('Cohort Summary'!$G$5:$G$14,MATCH($A349,'Cohort Summary'!$A$5:$A$14,0))</f>
        <v>0.966981132075472</v>
      </c>
      <c r="K349" s="42" t="n">
        <f aca="false">(F349-INDEX('Cohort Summary'!$H$5:$H$14,MATCH($A349,'Cohort Summary'!$A$5:$A$14,0)))/INDEX('Cohort Summary'!$I$5:$I$14,MATCH($A349,'Cohort Summary'!$A$5:$A$14,0))</f>
        <v>-1.58163265306123</v>
      </c>
      <c r="L349" s="42" t="n">
        <f aca="false">(G349-INDEX('Cohort Summary'!$J$5:$J$14,MATCH($A349,'Cohort Summary'!$A$5:$A$14,0)))/INDEX('Cohort Summary'!$K$5:$K$14,MATCH($A349,'Cohort Summary'!$A$5:$A$14,0))</f>
        <v>0.421875000000005</v>
      </c>
      <c r="M349" s="42" t="n">
        <f aca="false">MAX(I349:K349)</f>
        <v>1.16257668711656</v>
      </c>
      <c r="N349" s="27" t="s">
        <v>197</v>
      </c>
      <c r="O349" s="27"/>
      <c r="P349" s="27" t="str">
        <f aca="false">A349&amp;"|"&amp;N349</f>
        <v>NURSE-02|normal</v>
      </c>
    </row>
    <row r="350" customFormat="false" ht="15" hidden="false" customHeight="true" outlineLevel="0" collapsed="false">
      <c r="A350" s="27" t="s">
        <v>73</v>
      </c>
      <c r="B350" s="41" t="n">
        <v>46303.3430555556</v>
      </c>
      <c r="C350" s="27" t="s">
        <v>200</v>
      </c>
      <c r="D350" s="27" t="n">
        <v>44</v>
      </c>
      <c r="E350" s="27" t="n">
        <v>20.7</v>
      </c>
      <c r="F350" s="27" t="n">
        <v>35.9</v>
      </c>
      <c r="G350" s="27" t="n">
        <v>33.6</v>
      </c>
      <c r="H350" s="27" t="s">
        <v>198</v>
      </c>
      <c r="I350" s="42" t="n">
        <f aca="false">(D350-INDEX('Cohort Summary'!$D$5:$D$14,MATCH($A350,'Cohort Summary'!$A$5:$A$14,0)))/INDEX('Cohort Summary'!$E$5:$E$14,MATCH($A350,'Cohort Summary'!$A$5:$A$14,0))</f>
        <v>0.0582822085889564</v>
      </c>
      <c r="J350" s="42" t="n">
        <f aca="false">(E350-INDEX('Cohort Summary'!$F$5:$F$14,MATCH($A350,'Cohort Summary'!$A$5:$A$14,0)))/INDEX('Cohort Summary'!$G$5:$G$14,MATCH($A350,'Cohort Summary'!$A$5:$A$14,0))</f>
        <v>0.778301886792452</v>
      </c>
      <c r="K350" s="42" t="n">
        <f aca="false">(F350-INDEX('Cohort Summary'!$H$5:$H$14,MATCH($A350,'Cohort Summary'!$A$5:$A$14,0)))/INDEX('Cohort Summary'!$I$5:$I$14,MATCH($A350,'Cohort Summary'!$A$5:$A$14,0))</f>
        <v>1.1734693877551</v>
      </c>
      <c r="L350" s="42" t="n">
        <f aca="false">(G350-INDEX('Cohort Summary'!$J$5:$J$14,MATCH($A350,'Cohort Summary'!$A$5:$A$14,0)))/INDEX('Cohort Summary'!$K$5:$K$14,MATCH($A350,'Cohort Summary'!$A$5:$A$14,0))</f>
        <v>1.203125</v>
      </c>
      <c r="M350" s="42" t="n">
        <f aca="false">MAX(I350:K350)</f>
        <v>1.1734693877551</v>
      </c>
      <c r="N350" s="27" t="s">
        <v>197</v>
      </c>
      <c r="O350" s="27"/>
      <c r="P350" s="27" t="str">
        <f aca="false">A350&amp;"|"&amp;N350</f>
        <v>NURSE-02|normal</v>
      </c>
    </row>
    <row r="351" customFormat="false" ht="15" hidden="false" customHeight="true" outlineLevel="0" collapsed="false">
      <c r="A351" s="27" t="s">
        <v>73</v>
      </c>
      <c r="B351" s="41" t="n">
        <v>46303.3434027778</v>
      </c>
      <c r="C351" s="27" t="s">
        <v>200</v>
      </c>
      <c r="D351" s="27" t="n">
        <v>46.2</v>
      </c>
      <c r="E351" s="27" t="n">
        <v>16.1</v>
      </c>
      <c r="F351" s="27" t="n">
        <v>27.1</v>
      </c>
      <c r="G351" s="27" t="n">
        <v>33.1</v>
      </c>
      <c r="H351" s="27" t="s">
        <v>196</v>
      </c>
      <c r="I351" s="42" t="n">
        <f aca="false">(D351-INDEX('Cohort Summary'!$D$5:$D$14,MATCH($A351,'Cohort Summary'!$A$5:$A$14,0)))/INDEX('Cohort Summary'!$E$5:$E$14,MATCH($A351,'Cohort Summary'!$A$5:$A$14,0))</f>
        <v>0.733128834355828</v>
      </c>
      <c r="J351" s="42" t="n">
        <f aca="false">(E351-INDEX('Cohort Summary'!$F$5:$F$14,MATCH($A351,'Cohort Summary'!$A$5:$A$14,0)))/INDEX('Cohort Summary'!$G$5:$G$14,MATCH($A351,'Cohort Summary'!$A$5:$A$14,0))</f>
        <v>-1.39150943396226</v>
      </c>
      <c r="K351" s="42" t="n">
        <f aca="false">(F351-INDEX('Cohort Summary'!$H$5:$H$14,MATCH($A351,'Cohort Summary'!$A$5:$A$14,0)))/INDEX('Cohort Summary'!$I$5:$I$14,MATCH($A351,'Cohort Summary'!$A$5:$A$14,0))</f>
        <v>-1.81972789115646</v>
      </c>
      <c r="L351" s="42" t="n">
        <f aca="false">(G351-INDEX('Cohort Summary'!$J$5:$J$14,MATCH($A351,'Cohort Summary'!$A$5:$A$14,0)))/INDEX('Cohort Summary'!$K$5:$K$14,MATCH($A351,'Cohort Summary'!$A$5:$A$14,0))</f>
        <v>0.421875000000005</v>
      </c>
      <c r="M351" s="42" t="n">
        <f aca="false">MAX(I351:K351)</f>
        <v>0.733128834355828</v>
      </c>
      <c r="N351" s="27" t="s">
        <v>197</v>
      </c>
      <c r="O351" s="27"/>
      <c r="P351" s="27" t="str">
        <f aca="false">A351&amp;"|"&amp;N351</f>
        <v>NURSE-02|normal</v>
      </c>
    </row>
    <row r="352" customFormat="false" ht="15" hidden="false" customHeight="true" outlineLevel="0" collapsed="false">
      <c r="A352" s="27" t="s">
        <v>73</v>
      </c>
      <c r="B352" s="41" t="n">
        <v>46303.34375</v>
      </c>
      <c r="C352" s="27" t="s">
        <v>200</v>
      </c>
      <c r="D352" s="27" t="n">
        <v>39.8</v>
      </c>
      <c r="E352" s="27" t="n">
        <v>18.2</v>
      </c>
      <c r="F352" s="27" t="n">
        <v>34.3</v>
      </c>
      <c r="G352" s="27" t="n">
        <v>32.1</v>
      </c>
      <c r="H352" s="27" t="s">
        <v>199</v>
      </c>
      <c r="I352" s="42" t="n">
        <f aca="false">(D352-INDEX('Cohort Summary'!$D$5:$D$14,MATCH($A352,'Cohort Summary'!$A$5:$A$14,0)))/INDEX('Cohort Summary'!$E$5:$E$14,MATCH($A352,'Cohort Summary'!$A$5:$A$14,0))</f>
        <v>-1.23006134969325</v>
      </c>
      <c r="J352" s="42" t="n">
        <f aca="false">(E352-INDEX('Cohort Summary'!$F$5:$F$14,MATCH($A352,'Cohort Summary'!$A$5:$A$14,0)))/INDEX('Cohort Summary'!$G$5:$G$14,MATCH($A352,'Cohort Summary'!$A$5:$A$14,0))</f>
        <v>-0.400943396226416</v>
      </c>
      <c r="K352" s="42" t="n">
        <f aca="false">(F352-INDEX('Cohort Summary'!$H$5:$H$14,MATCH($A352,'Cohort Summary'!$A$5:$A$14,0)))/INDEX('Cohort Summary'!$I$5:$I$14,MATCH($A352,'Cohort Summary'!$A$5:$A$14,0))</f>
        <v>0.62925170068027</v>
      </c>
      <c r="L352" s="42" t="n">
        <f aca="false">(G352-INDEX('Cohort Summary'!$J$5:$J$14,MATCH($A352,'Cohort Summary'!$A$5:$A$14,0)))/INDEX('Cohort Summary'!$K$5:$K$14,MATCH($A352,'Cohort Summary'!$A$5:$A$14,0))</f>
        <v>-1.140625</v>
      </c>
      <c r="M352" s="42" t="n">
        <f aca="false">MAX(I352:K352)</f>
        <v>0.62925170068027</v>
      </c>
      <c r="N352" s="27" t="s">
        <v>197</v>
      </c>
      <c r="O352" s="27"/>
      <c r="P352" s="27" t="str">
        <f aca="false">A352&amp;"|"&amp;N352</f>
        <v>NURSE-02|normal</v>
      </c>
    </row>
    <row r="353" customFormat="false" ht="15" hidden="false" customHeight="true" outlineLevel="0" collapsed="false">
      <c r="A353" s="27" t="s">
        <v>73</v>
      </c>
      <c r="B353" s="41" t="n">
        <v>46303.3440972222</v>
      </c>
      <c r="C353" s="27" t="s">
        <v>200</v>
      </c>
      <c r="D353" s="27" t="n">
        <v>45.1</v>
      </c>
      <c r="E353" s="27" t="n">
        <v>18.2</v>
      </c>
      <c r="F353" s="27" t="n">
        <v>36.5</v>
      </c>
      <c r="G353" s="27" t="n">
        <v>33.3</v>
      </c>
      <c r="H353" s="27" t="s">
        <v>199</v>
      </c>
      <c r="I353" s="42" t="n">
        <f aca="false">(D353-INDEX('Cohort Summary'!$D$5:$D$14,MATCH($A353,'Cohort Summary'!$A$5:$A$14,0)))/INDEX('Cohort Summary'!$E$5:$E$14,MATCH($A353,'Cohort Summary'!$A$5:$A$14,0))</f>
        <v>0.395705521472392</v>
      </c>
      <c r="J353" s="42" t="n">
        <f aca="false">(E353-INDEX('Cohort Summary'!$F$5:$F$14,MATCH($A353,'Cohort Summary'!$A$5:$A$14,0)))/INDEX('Cohort Summary'!$G$5:$G$14,MATCH($A353,'Cohort Summary'!$A$5:$A$14,0))</f>
        <v>-0.400943396226416</v>
      </c>
      <c r="K353" s="42" t="n">
        <f aca="false">(F353-INDEX('Cohort Summary'!$H$5:$H$14,MATCH($A353,'Cohort Summary'!$A$5:$A$14,0)))/INDEX('Cohort Summary'!$I$5:$I$14,MATCH($A353,'Cohort Summary'!$A$5:$A$14,0))</f>
        <v>1.37755102040816</v>
      </c>
      <c r="L353" s="42" t="n">
        <f aca="false">(G353-INDEX('Cohort Summary'!$J$5:$J$14,MATCH($A353,'Cohort Summary'!$A$5:$A$14,0)))/INDEX('Cohort Summary'!$K$5:$K$14,MATCH($A353,'Cohort Summary'!$A$5:$A$14,0))</f>
        <v>0.734374999999998</v>
      </c>
      <c r="M353" s="42" t="n">
        <f aca="false">MAX(I353:K353)</f>
        <v>1.37755102040816</v>
      </c>
      <c r="N353" s="27" t="s">
        <v>197</v>
      </c>
      <c r="O353" s="27"/>
      <c r="P353" s="27" t="str">
        <f aca="false">A353&amp;"|"&amp;N353</f>
        <v>NURSE-02|normal</v>
      </c>
    </row>
    <row r="354" customFormat="false" ht="15" hidden="false" customHeight="true" outlineLevel="0" collapsed="false">
      <c r="A354" s="27" t="s">
        <v>73</v>
      </c>
      <c r="B354" s="41" t="n">
        <v>46303.3444444445</v>
      </c>
      <c r="C354" s="27" t="s">
        <v>200</v>
      </c>
      <c r="D354" s="27" t="n">
        <v>45.8</v>
      </c>
      <c r="E354" s="27" t="n">
        <v>17</v>
      </c>
      <c r="F354" s="27" t="n">
        <v>35</v>
      </c>
      <c r="G354" s="27" t="n">
        <v>32.5</v>
      </c>
      <c r="H354" s="27" t="s">
        <v>196</v>
      </c>
      <c r="I354" s="42" t="n">
        <f aca="false">(D354-INDEX('Cohort Summary'!$D$5:$D$14,MATCH($A354,'Cohort Summary'!$A$5:$A$14,0)))/INDEX('Cohort Summary'!$E$5:$E$14,MATCH($A354,'Cohort Summary'!$A$5:$A$14,0))</f>
        <v>0.610429447852759</v>
      </c>
      <c r="J354" s="42" t="n">
        <f aca="false">(E354-INDEX('Cohort Summary'!$F$5:$F$14,MATCH($A354,'Cohort Summary'!$A$5:$A$14,0)))/INDEX('Cohort Summary'!$G$5:$G$14,MATCH($A354,'Cohort Summary'!$A$5:$A$14,0))</f>
        <v>-0.966981132075472</v>
      </c>
      <c r="K354" s="42" t="n">
        <f aca="false">(F354-INDEX('Cohort Summary'!$H$5:$H$14,MATCH($A354,'Cohort Summary'!$A$5:$A$14,0)))/INDEX('Cohort Summary'!$I$5:$I$14,MATCH($A354,'Cohort Summary'!$A$5:$A$14,0))</f>
        <v>0.867346938775509</v>
      </c>
      <c r="L354" s="42" t="n">
        <f aca="false">(G354-INDEX('Cohort Summary'!$J$5:$J$14,MATCH($A354,'Cohort Summary'!$A$5:$A$14,0)))/INDEX('Cohort Summary'!$K$5:$K$14,MATCH($A354,'Cohort Summary'!$A$5:$A$14,0))</f>
        <v>-0.515624999999997</v>
      </c>
      <c r="M354" s="42" t="n">
        <f aca="false">MAX(I354:K354)</f>
        <v>0.867346938775509</v>
      </c>
      <c r="N354" s="27" t="s">
        <v>197</v>
      </c>
      <c r="O354" s="27"/>
      <c r="P354" s="27" t="str">
        <f aca="false">A354&amp;"|"&amp;N354</f>
        <v>NURSE-02|normal</v>
      </c>
    </row>
    <row r="355" customFormat="false" ht="15" hidden="false" customHeight="true" outlineLevel="0" collapsed="false">
      <c r="A355" s="27" t="s">
        <v>73</v>
      </c>
      <c r="B355" s="41" t="n">
        <v>46303.3447916667</v>
      </c>
      <c r="C355" s="27" t="s">
        <v>200</v>
      </c>
      <c r="D355" s="27" t="n">
        <v>40.6</v>
      </c>
      <c r="E355" s="27" t="n">
        <v>21.6</v>
      </c>
      <c r="F355" s="27" t="n">
        <v>31.8</v>
      </c>
      <c r="G355" s="27" t="n">
        <v>33.4</v>
      </c>
      <c r="H355" s="27" t="s">
        <v>199</v>
      </c>
      <c r="I355" s="42" t="n">
        <f aca="false">(D355-INDEX('Cohort Summary'!$D$5:$D$14,MATCH($A355,'Cohort Summary'!$A$5:$A$14,0)))/INDEX('Cohort Summary'!$E$5:$E$14,MATCH($A355,'Cohort Summary'!$A$5:$A$14,0))</f>
        <v>-0.984662576687117</v>
      </c>
      <c r="J355" s="42" t="n">
        <f aca="false">(E355-INDEX('Cohort Summary'!$F$5:$F$14,MATCH($A355,'Cohort Summary'!$A$5:$A$14,0)))/INDEX('Cohort Summary'!$G$5:$G$14,MATCH($A355,'Cohort Summary'!$A$5:$A$14,0))</f>
        <v>1.20283018867925</v>
      </c>
      <c r="K355" s="42" t="n">
        <f aca="false">(F355-INDEX('Cohort Summary'!$H$5:$H$14,MATCH($A355,'Cohort Summary'!$A$5:$A$14,0)))/INDEX('Cohort Summary'!$I$5:$I$14,MATCH($A355,'Cohort Summary'!$A$5:$A$14,0))</f>
        <v>-0.22108843537415</v>
      </c>
      <c r="L355" s="42" t="n">
        <f aca="false">(G355-INDEX('Cohort Summary'!$J$5:$J$14,MATCH($A355,'Cohort Summary'!$A$5:$A$14,0)))/INDEX('Cohort Summary'!$K$5:$K$14,MATCH($A355,'Cohort Summary'!$A$5:$A$14,0))</f>
        <v>0.890625</v>
      </c>
      <c r="M355" s="42" t="n">
        <f aca="false">MAX(I355:K355)</f>
        <v>1.20283018867925</v>
      </c>
      <c r="N355" s="27" t="s">
        <v>197</v>
      </c>
      <c r="O355" s="27"/>
      <c r="P355" s="27" t="str">
        <f aca="false">A355&amp;"|"&amp;N355</f>
        <v>NURSE-02|normal</v>
      </c>
    </row>
    <row r="356" customFormat="false" ht="15" hidden="false" customHeight="true" outlineLevel="0" collapsed="false">
      <c r="A356" s="27" t="s">
        <v>73</v>
      </c>
      <c r="B356" s="41" t="n">
        <v>46303.3451388889</v>
      </c>
      <c r="C356" s="27" t="s">
        <v>200</v>
      </c>
      <c r="D356" s="27" t="n">
        <v>48.4</v>
      </c>
      <c r="E356" s="27" t="n">
        <v>21.5</v>
      </c>
      <c r="F356" s="27" t="n">
        <v>32.7</v>
      </c>
      <c r="G356" s="27" t="n">
        <v>32.4</v>
      </c>
      <c r="H356" s="27" t="s">
        <v>198</v>
      </c>
      <c r="I356" s="42" t="n">
        <f aca="false">(D356-INDEX('Cohort Summary'!$D$5:$D$14,MATCH($A356,'Cohort Summary'!$A$5:$A$14,0)))/INDEX('Cohort Summary'!$E$5:$E$14,MATCH($A356,'Cohort Summary'!$A$5:$A$14,0))</f>
        <v>1.4079754601227</v>
      </c>
      <c r="J356" s="42" t="n">
        <f aca="false">(E356-INDEX('Cohort Summary'!$F$5:$F$14,MATCH($A356,'Cohort Summary'!$A$5:$A$14,0)))/INDEX('Cohort Summary'!$G$5:$G$14,MATCH($A356,'Cohort Summary'!$A$5:$A$14,0))</f>
        <v>1.15566037735849</v>
      </c>
      <c r="K356" s="42" t="n">
        <f aca="false">(F356-INDEX('Cohort Summary'!$H$5:$H$14,MATCH($A356,'Cohort Summary'!$A$5:$A$14,0)))/INDEX('Cohort Summary'!$I$5:$I$14,MATCH($A356,'Cohort Summary'!$A$5:$A$14,0))</f>
        <v>0.0850340136054422</v>
      </c>
      <c r="L356" s="42" t="n">
        <f aca="false">(G356-INDEX('Cohort Summary'!$J$5:$J$14,MATCH($A356,'Cohort Summary'!$A$5:$A$14,0)))/INDEX('Cohort Summary'!$K$5:$K$14,MATCH($A356,'Cohort Summary'!$A$5:$A$14,0))</f>
        <v>-0.671875</v>
      </c>
      <c r="M356" s="42" t="n">
        <f aca="false">MAX(I356:K356)</f>
        <v>1.4079754601227</v>
      </c>
      <c r="N356" s="27" t="s">
        <v>197</v>
      </c>
      <c r="O356" s="27"/>
      <c r="P356" s="27" t="str">
        <f aca="false">A356&amp;"|"&amp;N356</f>
        <v>NURSE-02|normal</v>
      </c>
    </row>
    <row r="357" customFormat="false" ht="15" hidden="false" customHeight="true" outlineLevel="0" collapsed="false">
      <c r="A357" s="27" t="s">
        <v>73</v>
      </c>
      <c r="B357" s="41" t="n">
        <v>46303.3454861111</v>
      </c>
      <c r="C357" s="27" t="s">
        <v>200</v>
      </c>
      <c r="D357" s="27" t="n">
        <v>45.2</v>
      </c>
      <c r="E357" s="27" t="n">
        <v>20.6</v>
      </c>
      <c r="F357" s="27" t="n">
        <v>35</v>
      </c>
      <c r="G357" s="27" t="n">
        <v>33</v>
      </c>
      <c r="H357" s="27" t="s">
        <v>196</v>
      </c>
      <c r="I357" s="42" t="n">
        <f aca="false">(D357-INDEX('Cohort Summary'!$D$5:$D$14,MATCH($A357,'Cohort Summary'!$A$5:$A$14,0)))/INDEX('Cohort Summary'!$E$5:$E$14,MATCH($A357,'Cohort Summary'!$A$5:$A$14,0))</f>
        <v>0.42638036809816</v>
      </c>
      <c r="J357" s="42" t="n">
        <f aca="false">(E357-INDEX('Cohort Summary'!$F$5:$F$14,MATCH($A357,'Cohort Summary'!$A$5:$A$14,0)))/INDEX('Cohort Summary'!$G$5:$G$14,MATCH($A357,'Cohort Summary'!$A$5:$A$14,0))</f>
        <v>0.731132075471699</v>
      </c>
      <c r="K357" s="42" t="n">
        <f aca="false">(F357-INDEX('Cohort Summary'!$H$5:$H$14,MATCH($A357,'Cohort Summary'!$A$5:$A$14,0)))/INDEX('Cohort Summary'!$I$5:$I$14,MATCH($A357,'Cohort Summary'!$A$5:$A$14,0))</f>
        <v>0.867346938775509</v>
      </c>
      <c r="L357" s="42" t="n">
        <f aca="false">(G357-INDEX('Cohort Summary'!$J$5:$J$14,MATCH($A357,'Cohort Summary'!$A$5:$A$14,0)))/INDEX('Cohort Summary'!$K$5:$K$14,MATCH($A357,'Cohort Summary'!$A$5:$A$14,0))</f>
        <v>0.265625000000003</v>
      </c>
      <c r="M357" s="42" t="n">
        <f aca="false">MAX(I357:K357)</f>
        <v>0.867346938775509</v>
      </c>
      <c r="N357" s="27" t="s">
        <v>197</v>
      </c>
      <c r="O357" s="27"/>
      <c r="P357" s="27" t="str">
        <f aca="false">A357&amp;"|"&amp;N357</f>
        <v>NURSE-02|normal</v>
      </c>
    </row>
    <row r="358" customFormat="false" ht="15" hidden="false" customHeight="true" outlineLevel="0" collapsed="false">
      <c r="A358" s="27" t="s">
        <v>73</v>
      </c>
      <c r="B358" s="41" t="n">
        <v>46303.3458333333</v>
      </c>
      <c r="C358" s="27" t="s">
        <v>200</v>
      </c>
      <c r="D358" s="27" t="n">
        <v>46.3</v>
      </c>
      <c r="E358" s="27" t="n">
        <v>16.1</v>
      </c>
      <c r="F358" s="27" t="n">
        <v>28.5</v>
      </c>
      <c r="G358" s="27" t="n">
        <v>33.5</v>
      </c>
      <c r="H358" s="27" t="s">
        <v>196</v>
      </c>
      <c r="I358" s="42" t="n">
        <f aca="false">(D358-INDEX('Cohort Summary'!$D$5:$D$14,MATCH($A358,'Cohort Summary'!$A$5:$A$14,0)))/INDEX('Cohort Summary'!$E$5:$E$14,MATCH($A358,'Cohort Summary'!$A$5:$A$14,0))</f>
        <v>0.763803680981594</v>
      </c>
      <c r="J358" s="42" t="n">
        <f aca="false">(E358-INDEX('Cohort Summary'!$F$5:$F$14,MATCH($A358,'Cohort Summary'!$A$5:$A$14,0)))/INDEX('Cohort Summary'!$G$5:$G$14,MATCH($A358,'Cohort Summary'!$A$5:$A$14,0))</f>
        <v>-1.39150943396226</v>
      </c>
      <c r="K358" s="42" t="n">
        <f aca="false">(F358-INDEX('Cohort Summary'!$H$5:$H$14,MATCH($A358,'Cohort Summary'!$A$5:$A$14,0)))/INDEX('Cohort Summary'!$I$5:$I$14,MATCH($A358,'Cohort Summary'!$A$5:$A$14,0))</f>
        <v>-1.34353741496599</v>
      </c>
      <c r="L358" s="42" t="n">
        <f aca="false">(G358-INDEX('Cohort Summary'!$J$5:$J$14,MATCH($A358,'Cohort Summary'!$A$5:$A$14,0)))/INDEX('Cohort Summary'!$K$5:$K$14,MATCH($A358,'Cohort Summary'!$A$5:$A$14,0))</f>
        <v>1.046875</v>
      </c>
      <c r="M358" s="42" t="n">
        <f aca="false">MAX(I358:K358)</f>
        <v>0.763803680981594</v>
      </c>
      <c r="N358" s="27" t="s">
        <v>197</v>
      </c>
      <c r="O358" s="27"/>
      <c r="P358" s="27" t="str">
        <f aca="false">A358&amp;"|"&amp;N358</f>
        <v>NURSE-02|normal</v>
      </c>
    </row>
    <row r="359" customFormat="false" ht="15" hidden="false" customHeight="true" outlineLevel="0" collapsed="false">
      <c r="A359" s="27" t="s">
        <v>73</v>
      </c>
      <c r="B359" s="41" t="n">
        <v>46303.3461805556</v>
      </c>
      <c r="C359" s="27" t="s">
        <v>200</v>
      </c>
      <c r="D359" s="27" t="n">
        <v>43.3</v>
      </c>
      <c r="E359" s="27" t="n">
        <v>22.2</v>
      </c>
      <c r="F359" s="27" t="n">
        <v>30.8</v>
      </c>
      <c r="G359" s="27" t="n">
        <v>33.2</v>
      </c>
      <c r="H359" s="27" t="s">
        <v>196</v>
      </c>
      <c r="I359" s="42" t="n">
        <f aca="false">(D359-INDEX('Cohort Summary'!$D$5:$D$14,MATCH($A359,'Cohort Summary'!$A$5:$A$14,0)))/INDEX('Cohort Summary'!$E$5:$E$14,MATCH($A359,'Cohort Summary'!$A$5:$A$14,0))</f>
        <v>-0.156441717791413</v>
      </c>
      <c r="J359" s="42" t="n">
        <f aca="false">(E359-INDEX('Cohort Summary'!$F$5:$F$14,MATCH($A359,'Cohort Summary'!$A$5:$A$14,0)))/INDEX('Cohort Summary'!$G$5:$G$14,MATCH($A359,'Cohort Summary'!$A$5:$A$14,0))</f>
        <v>1.48584905660377</v>
      </c>
      <c r="K359" s="42" t="n">
        <f aca="false">(F359-INDEX('Cohort Summary'!$H$5:$H$14,MATCH($A359,'Cohort Summary'!$A$5:$A$14,0)))/INDEX('Cohort Summary'!$I$5:$I$14,MATCH($A359,'Cohort Summary'!$A$5:$A$14,0))</f>
        <v>-0.561224489795919</v>
      </c>
      <c r="L359" s="42" t="n">
        <f aca="false">(G359-INDEX('Cohort Summary'!$J$5:$J$14,MATCH($A359,'Cohort Summary'!$A$5:$A$14,0)))/INDEX('Cohort Summary'!$K$5:$K$14,MATCH($A359,'Cohort Summary'!$A$5:$A$14,0))</f>
        <v>0.578125000000007</v>
      </c>
      <c r="M359" s="42" t="n">
        <f aca="false">MAX(I359:K359)</f>
        <v>1.48584905660377</v>
      </c>
      <c r="N359" s="27" t="s">
        <v>197</v>
      </c>
      <c r="O359" s="27"/>
      <c r="P359" s="27" t="str">
        <f aca="false">A359&amp;"|"&amp;N359</f>
        <v>NURSE-02|normal</v>
      </c>
    </row>
    <row r="360" customFormat="false" ht="15" hidden="false" customHeight="true" outlineLevel="0" collapsed="false">
      <c r="A360" s="27" t="s">
        <v>73</v>
      </c>
      <c r="B360" s="41" t="n">
        <v>46303.3465277778</v>
      </c>
      <c r="C360" s="27" t="s">
        <v>200</v>
      </c>
      <c r="D360" s="27" t="n">
        <v>46.7</v>
      </c>
      <c r="E360" s="27" t="n">
        <v>17.6</v>
      </c>
      <c r="F360" s="27" t="n">
        <v>31.5</v>
      </c>
      <c r="G360" s="27" t="n">
        <v>33.2</v>
      </c>
      <c r="H360" s="27" t="s">
        <v>199</v>
      </c>
      <c r="I360" s="42" t="n">
        <f aca="false">(D360-INDEX('Cohort Summary'!$D$5:$D$14,MATCH($A360,'Cohort Summary'!$A$5:$A$14,0)))/INDEX('Cohort Summary'!$E$5:$E$14,MATCH($A360,'Cohort Summary'!$A$5:$A$14,0))</f>
        <v>0.886503067484663</v>
      </c>
      <c r="J360" s="42" t="n">
        <f aca="false">(E360-INDEX('Cohort Summary'!$F$5:$F$14,MATCH($A360,'Cohort Summary'!$A$5:$A$14,0)))/INDEX('Cohort Summary'!$G$5:$G$14,MATCH($A360,'Cohort Summary'!$A$5:$A$14,0))</f>
        <v>-0.683962264150943</v>
      </c>
      <c r="K360" s="42" t="n">
        <f aca="false">(F360-INDEX('Cohort Summary'!$H$5:$H$14,MATCH($A360,'Cohort Summary'!$A$5:$A$14,0)))/INDEX('Cohort Summary'!$I$5:$I$14,MATCH($A360,'Cohort Summary'!$A$5:$A$14,0))</f>
        <v>-0.323129251700681</v>
      </c>
      <c r="L360" s="42" t="n">
        <f aca="false">(G360-INDEX('Cohort Summary'!$J$5:$J$14,MATCH($A360,'Cohort Summary'!$A$5:$A$14,0)))/INDEX('Cohort Summary'!$K$5:$K$14,MATCH($A360,'Cohort Summary'!$A$5:$A$14,0))</f>
        <v>0.578125000000007</v>
      </c>
      <c r="M360" s="42" t="n">
        <f aca="false">MAX(I360:K360)</f>
        <v>0.886503067484663</v>
      </c>
      <c r="N360" s="27" t="s">
        <v>197</v>
      </c>
      <c r="O360" s="27"/>
      <c r="P360" s="27" t="str">
        <f aca="false">A360&amp;"|"&amp;N360</f>
        <v>NURSE-02|normal</v>
      </c>
    </row>
    <row r="361" customFormat="false" ht="15" hidden="false" customHeight="true" outlineLevel="0" collapsed="false">
      <c r="A361" s="27" t="s">
        <v>73</v>
      </c>
      <c r="B361" s="41" t="n">
        <v>46303.346875</v>
      </c>
      <c r="C361" s="27" t="s">
        <v>200</v>
      </c>
      <c r="D361" s="27" t="n">
        <v>41.6</v>
      </c>
      <c r="E361" s="27" t="n">
        <v>19</v>
      </c>
      <c r="F361" s="27" t="n">
        <v>32.9</v>
      </c>
      <c r="G361" s="27" t="n">
        <v>33.4</v>
      </c>
      <c r="H361" s="27" t="s">
        <v>198</v>
      </c>
      <c r="I361" s="42" t="n">
        <f aca="false">(D361-INDEX('Cohort Summary'!$D$5:$D$14,MATCH($A361,'Cohort Summary'!$A$5:$A$14,0)))/INDEX('Cohort Summary'!$E$5:$E$14,MATCH($A361,'Cohort Summary'!$A$5:$A$14,0))</f>
        <v>-0.677914110429448</v>
      </c>
      <c r="J361" s="42" t="n">
        <f aca="false">(E361-INDEX('Cohort Summary'!$F$5:$F$14,MATCH($A361,'Cohort Summary'!$A$5:$A$14,0)))/INDEX('Cohort Summary'!$G$5:$G$14,MATCH($A361,'Cohort Summary'!$A$5:$A$14,0))</f>
        <v>-0.0235849056603777</v>
      </c>
      <c r="K361" s="42" t="n">
        <f aca="false">(F361-INDEX('Cohort Summary'!$H$5:$H$14,MATCH($A361,'Cohort Summary'!$A$5:$A$14,0)))/INDEX('Cohort Summary'!$I$5:$I$14,MATCH($A361,'Cohort Summary'!$A$5:$A$14,0))</f>
        <v>0.153061224489794</v>
      </c>
      <c r="L361" s="42" t="n">
        <f aca="false">(G361-INDEX('Cohort Summary'!$J$5:$J$14,MATCH($A361,'Cohort Summary'!$A$5:$A$14,0)))/INDEX('Cohort Summary'!$K$5:$K$14,MATCH($A361,'Cohort Summary'!$A$5:$A$14,0))</f>
        <v>0.890625</v>
      </c>
      <c r="M361" s="42" t="n">
        <f aca="false">MAX(I361:K361)</f>
        <v>0.153061224489794</v>
      </c>
      <c r="N361" s="27" t="s">
        <v>197</v>
      </c>
      <c r="O361" s="27"/>
      <c r="P361" s="27" t="str">
        <f aca="false">A361&amp;"|"&amp;N361</f>
        <v>NURSE-02|normal</v>
      </c>
    </row>
    <row r="362" customFormat="false" ht="15" hidden="false" customHeight="true" outlineLevel="0" collapsed="false">
      <c r="A362" s="27" t="s">
        <v>73</v>
      </c>
      <c r="B362" s="41" t="n">
        <v>46303.3472222222</v>
      </c>
      <c r="C362" s="27" t="s">
        <v>200</v>
      </c>
      <c r="D362" s="27" t="n">
        <v>48.9</v>
      </c>
      <c r="E362" s="27" t="n">
        <v>17</v>
      </c>
      <c r="F362" s="27" t="n">
        <v>35.9</v>
      </c>
      <c r="G362" s="27" t="n">
        <v>33.8</v>
      </c>
      <c r="H362" s="27" t="s">
        <v>198</v>
      </c>
      <c r="I362" s="42" t="n">
        <f aca="false">(D362-INDEX('Cohort Summary'!$D$5:$D$14,MATCH($A362,'Cohort Summary'!$A$5:$A$14,0)))/INDEX('Cohort Summary'!$E$5:$E$14,MATCH($A362,'Cohort Summary'!$A$5:$A$14,0))</f>
        <v>1.56134969325153</v>
      </c>
      <c r="J362" s="42" t="n">
        <f aca="false">(E362-INDEX('Cohort Summary'!$F$5:$F$14,MATCH($A362,'Cohort Summary'!$A$5:$A$14,0)))/INDEX('Cohort Summary'!$G$5:$G$14,MATCH($A362,'Cohort Summary'!$A$5:$A$14,0))</f>
        <v>-0.966981132075472</v>
      </c>
      <c r="K362" s="42" t="n">
        <f aca="false">(F362-INDEX('Cohort Summary'!$H$5:$H$14,MATCH($A362,'Cohort Summary'!$A$5:$A$14,0)))/INDEX('Cohort Summary'!$I$5:$I$14,MATCH($A362,'Cohort Summary'!$A$5:$A$14,0))</f>
        <v>1.1734693877551</v>
      </c>
      <c r="L362" s="42" t="n">
        <f aca="false">(G362-INDEX('Cohort Summary'!$J$5:$J$14,MATCH($A362,'Cohort Summary'!$A$5:$A$14,0)))/INDEX('Cohort Summary'!$K$5:$K$14,MATCH($A362,'Cohort Summary'!$A$5:$A$14,0))</f>
        <v>1.515625</v>
      </c>
      <c r="M362" s="42" t="n">
        <f aca="false">MAX(I362:K362)</f>
        <v>1.56134969325153</v>
      </c>
      <c r="N362" s="27" t="s">
        <v>197</v>
      </c>
      <c r="O362" s="27"/>
      <c r="P362" s="27" t="str">
        <f aca="false">A362&amp;"|"&amp;N362</f>
        <v>NURSE-02|normal</v>
      </c>
    </row>
    <row r="363" customFormat="false" ht="15" hidden="false" customHeight="true" outlineLevel="0" collapsed="false">
      <c r="A363" s="27" t="s">
        <v>73</v>
      </c>
      <c r="B363" s="41" t="n">
        <v>46303.3475694444</v>
      </c>
      <c r="C363" s="27" t="s">
        <v>200</v>
      </c>
      <c r="D363" s="27" t="n">
        <v>48.7</v>
      </c>
      <c r="E363" s="27" t="n">
        <v>22</v>
      </c>
      <c r="F363" s="27" t="n">
        <v>35.1</v>
      </c>
      <c r="G363" s="27" t="n">
        <v>33.2</v>
      </c>
      <c r="H363" s="27" t="s">
        <v>199</v>
      </c>
      <c r="I363" s="42" t="n">
        <f aca="false">(D363-INDEX('Cohort Summary'!$D$5:$D$14,MATCH($A363,'Cohort Summary'!$A$5:$A$14,0)))/INDEX('Cohort Summary'!$E$5:$E$14,MATCH($A363,'Cohort Summary'!$A$5:$A$14,0))</f>
        <v>1.5</v>
      </c>
      <c r="J363" s="42" t="n">
        <f aca="false">(E363-INDEX('Cohort Summary'!$F$5:$F$14,MATCH($A363,'Cohort Summary'!$A$5:$A$14,0)))/INDEX('Cohort Summary'!$G$5:$G$14,MATCH($A363,'Cohort Summary'!$A$5:$A$14,0))</f>
        <v>1.39150943396226</v>
      </c>
      <c r="K363" s="42" t="n">
        <f aca="false">(F363-INDEX('Cohort Summary'!$H$5:$H$14,MATCH($A363,'Cohort Summary'!$A$5:$A$14,0)))/INDEX('Cohort Summary'!$I$5:$I$14,MATCH($A363,'Cohort Summary'!$A$5:$A$14,0))</f>
        <v>0.901360544217687</v>
      </c>
      <c r="L363" s="42" t="n">
        <f aca="false">(G363-INDEX('Cohort Summary'!$J$5:$J$14,MATCH($A363,'Cohort Summary'!$A$5:$A$14,0)))/INDEX('Cohort Summary'!$K$5:$K$14,MATCH($A363,'Cohort Summary'!$A$5:$A$14,0))</f>
        <v>0.578125000000007</v>
      </c>
      <c r="M363" s="42" t="n">
        <f aca="false">MAX(I363:K363)</f>
        <v>1.5</v>
      </c>
      <c r="N363" s="27" t="s">
        <v>197</v>
      </c>
      <c r="O363" s="27"/>
      <c r="P363" s="27" t="str">
        <f aca="false">A363&amp;"|"&amp;N363</f>
        <v>NURSE-02|normal</v>
      </c>
    </row>
    <row r="364" customFormat="false" ht="15" hidden="false" customHeight="true" outlineLevel="0" collapsed="false">
      <c r="A364" s="27" t="s">
        <v>73</v>
      </c>
      <c r="B364" s="41" t="n">
        <v>46303.3479166667</v>
      </c>
      <c r="C364" s="27" t="s">
        <v>200</v>
      </c>
      <c r="D364" s="27" t="n">
        <v>49.5</v>
      </c>
      <c r="E364" s="27" t="n">
        <v>16.6</v>
      </c>
      <c r="F364" s="27" t="n">
        <v>32.5</v>
      </c>
      <c r="G364" s="27" t="n">
        <v>33.4</v>
      </c>
      <c r="H364" s="27" t="s">
        <v>198</v>
      </c>
      <c r="I364" s="42" t="n">
        <f aca="false">(D364-INDEX('Cohort Summary'!$D$5:$D$14,MATCH($A364,'Cohort Summary'!$A$5:$A$14,0)))/INDEX('Cohort Summary'!$E$5:$E$14,MATCH($A364,'Cohort Summary'!$A$5:$A$14,0))</f>
        <v>1.74539877300613</v>
      </c>
      <c r="J364" s="42" t="n">
        <f aca="false">(E364-INDEX('Cohort Summary'!$F$5:$F$14,MATCH($A364,'Cohort Summary'!$A$5:$A$14,0)))/INDEX('Cohort Summary'!$G$5:$G$14,MATCH($A364,'Cohort Summary'!$A$5:$A$14,0))</f>
        <v>-1.15566037735849</v>
      </c>
      <c r="K364" s="42" t="n">
        <f aca="false">(F364-INDEX('Cohort Summary'!$H$5:$H$14,MATCH($A364,'Cohort Summary'!$A$5:$A$14,0)))/INDEX('Cohort Summary'!$I$5:$I$14,MATCH($A364,'Cohort Summary'!$A$5:$A$14,0))</f>
        <v>0.0170068027210875</v>
      </c>
      <c r="L364" s="42" t="n">
        <f aca="false">(G364-INDEX('Cohort Summary'!$J$5:$J$14,MATCH($A364,'Cohort Summary'!$A$5:$A$14,0)))/INDEX('Cohort Summary'!$K$5:$K$14,MATCH($A364,'Cohort Summary'!$A$5:$A$14,0))</f>
        <v>0.890625</v>
      </c>
      <c r="M364" s="42" t="n">
        <f aca="false">MAX(I364:K364)</f>
        <v>1.74539877300613</v>
      </c>
      <c r="N364" s="27" t="s">
        <v>197</v>
      </c>
      <c r="O364" s="27"/>
      <c r="P364" s="27" t="str">
        <f aca="false">A364&amp;"|"&amp;N364</f>
        <v>NURSE-02|normal</v>
      </c>
    </row>
    <row r="365" customFormat="false" ht="15" hidden="false" customHeight="true" outlineLevel="0" collapsed="false">
      <c r="A365" s="27" t="s">
        <v>73</v>
      </c>
      <c r="B365" s="41" t="n">
        <v>46303.3482638889</v>
      </c>
      <c r="C365" s="27" t="s">
        <v>200</v>
      </c>
      <c r="D365" s="27" t="n">
        <v>53.9</v>
      </c>
      <c r="E365" s="27" t="n">
        <v>21.1</v>
      </c>
      <c r="F365" s="27" t="n">
        <v>36.8</v>
      </c>
      <c r="G365" s="27" t="n">
        <v>32.4</v>
      </c>
      <c r="H365" s="27" t="s">
        <v>198</v>
      </c>
      <c r="I365" s="42" t="n">
        <f aca="false">(D365-INDEX('Cohort Summary'!$D$5:$D$14,MATCH($A365,'Cohort Summary'!$A$5:$A$14,0)))/INDEX('Cohort Summary'!$E$5:$E$14,MATCH($A365,'Cohort Summary'!$A$5:$A$14,0))</f>
        <v>3.09509202453988</v>
      </c>
      <c r="J365" s="42" t="n">
        <f aca="false">(E365-INDEX('Cohort Summary'!$F$5:$F$14,MATCH($A365,'Cohort Summary'!$A$5:$A$14,0)))/INDEX('Cohort Summary'!$G$5:$G$14,MATCH($A365,'Cohort Summary'!$A$5:$A$14,0))</f>
        <v>0.966981132075472</v>
      </c>
      <c r="K365" s="42" t="n">
        <f aca="false">(F365-INDEX('Cohort Summary'!$H$5:$H$14,MATCH($A365,'Cohort Summary'!$A$5:$A$14,0)))/INDEX('Cohort Summary'!$I$5:$I$14,MATCH($A365,'Cohort Summary'!$A$5:$A$14,0))</f>
        <v>1.47959183673469</v>
      </c>
      <c r="L365" s="42" t="n">
        <f aca="false">(G365-INDEX('Cohort Summary'!$J$5:$J$14,MATCH($A365,'Cohort Summary'!$A$5:$A$14,0)))/INDEX('Cohort Summary'!$K$5:$K$14,MATCH($A365,'Cohort Summary'!$A$5:$A$14,0))</f>
        <v>-0.671875</v>
      </c>
      <c r="M365" s="42" t="n">
        <f aca="false">MAX(I365:K365)</f>
        <v>3.09509202453988</v>
      </c>
      <c r="N365" s="27" t="s">
        <v>201</v>
      </c>
      <c r="O365" s="27" t="s">
        <v>218</v>
      </c>
      <c r="P365" s="27" t="str">
        <f aca="false">A365&amp;"|"&amp;N365</f>
        <v>NURSE-02|caution</v>
      </c>
    </row>
    <row r="366" customFormat="false" ht="15" hidden="false" customHeight="true" outlineLevel="0" collapsed="false">
      <c r="A366" s="27" t="s">
        <v>73</v>
      </c>
      <c r="B366" s="41" t="n">
        <v>46303.3486111111</v>
      </c>
      <c r="C366" s="27" t="s">
        <v>200</v>
      </c>
      <c r="D366" s="27" t="n">
        <v>52.8</v>
      </c>
      <c r="E366" s="27" t="n">
        <v>19.3</v>
      </c>
      <c r="F366" s="27" t="n">
        <v>29.1</v>
      </c>
      <c r="G366" s="27" t="n">
        <v>32.3</v>
      </c>
      <c r="H366" s="27" t="s">
        <v>198</v>
      </c>
      <c r="I366" s="42" t="n">
        <f aca="false">(D366-INDEX('Cohort Summary'!$D$5:$D$14,MATCH($A366,'Cohort Summary'!$A$5:$A$14,0)))/INDEX('Cohort Summary'!$E$5:$E$14,MATCH($A366,'Cohort Summary'!$A$5:$A$14,0))</f>
        <v>2.75766871165644</v>
      </c>
      <c r="J366" s="42" t="n">
        <f aca="false">(E366-INDEX('Cohort Summary'!$F$5:$F$14,MATCH($A366,'Cohort Summary'!$A$5:$A$14,0)))/INDEX('Cohort Summary'!$G$5:$G$14,MATCH($A366,'Cohort Summary'!$A$5:$A$14,0))</f>
        <v>0.117924528301887</v>
      </c>
      <c r="K366" s="42" t="n">
        <f aca="false">(F366-INDEX('Cohort Summary'!$H$5:$H$14,MATCH($A366,'Cohort Summary'!$A$5:$A$14,0)))/INDEX('Cohort Summary'!$I$5:$I$14,MATCH($A366,'Cohort Summary'!$A$5:$A$14,0))</f>
        <v>-1.13945578231293</v>
      </c>
      <c r="L366" s="42" t="n">
        <f aca="false">(G366-INDEX('Cohort Summary'!$J$5:$J$14,MATCH($A366,'Cohort Summary'!$A$5:$A$14,0)))/INDEX('Cohort Summary'!$K$5:$K$14,MATCH($A366,'Cohort Summary'!$A$5:$A$14,0))</f>
        <v>-0.828125000000002</v>
      </c>
      <c r="M366" s="42" t="n">
        <f aca="false">MAX(I366:K366)</f>
        <v>2.75766871165644</v>
      </c>
      <c r="N366" s="27" t="s">
        <v>201</v>
      </c>
      <c r="O366" s="27" t="s">
        <v>219</v>
      </c>
      <c r="P366" s="27" t="str">
        <f aca="false">A366&amp;"|"&amp;N366</f>
        <v>NURSE-02|caution</v>
      </c>
    </row>
    <row r="367" customFormat="false" ht="15" hidden="false" customHeight="true" outlineLevel="0" collapsed="false">
      <c r="A367" s="27" t="s">
        <v>73</v>
      </c>
      <c r="B367" s="41" t="n">
        <v>46303.3489583333</v>
      </c>
      <c r="C367" s="27" t="s">
        <v>200</v>
      </c>
      <c r="D367" s="27" t="n">
        <v>53.9</v>
      </c>
      <c r="E367" s="27" t="n">
        <v>19.2</v>
      </c>
      <c r="F367" s="27" t="n">
        <v>27.9</v>
      </c>
      <c r="G367" s="27" t="n">
        <v>33.4</v>
      </c>
      <c r="H367" s="27" t="s">
        <v>198</v>
      </c>
      <c r="I367" s="42" t="n">
        <f aca="false">(D367-INDEX('Cohort Summary'!$D$5:$D$14,MATCH($A367,'Cohort Summary'!$A$5:$A$14,0)))/INDEX('Cohort Summary'!$E$5:$E$14,MATCH($A367,'Cohort Summary'!$A$5:$A$14,0))</f>
        <v>3.09509202453988</v>
      </c>
      <c r="J367" s="42" t="n">
        <f aca="false">(E367-INDEX('Cohort Summary'!$F$5:$F$14,MATCH($A367,'Cohort Summary'!$A$5:$A$14,0)))/INDEX('Cohort Summary'!$G$5:$G$14,MATCH($A367,'Cohort Summary'!$A$5:$A$14,0))</f>
        <v>0.0707547169811314</v>
      </c>
      <c r="K367" s="42" t="n">
        <f aca="false">(F367-INDEX('Cohort Summary'!$H$5:$H$14,MATCH($A367,'Cohort Summary'!$A$5:$A$14,0)))/INDEX('Cohort Summary'!$I$5:$I$14,MATCH($A367,'Cohort Summary'!$A$5:$A$14,0))</f>
        <v>-1.54761904761905</v>
      </c>
      <c r="L367" s="42" t="n">
        <f aca="false">(G367-INDEX('Cohort Summary'!$J$5:$J$14,MATCH($A367,'Cohort Summary'!$A$5:$A$14,0)))/INDEX('Cohort Summary'!$K$5:$K$14,MATCH($A367,'Cohort Summary'!$A$5:$A$14,0))</f>
        <v>0.890625</v>
      </c>
      <c r="M367" s="42" t="n">
        <f aca="false">MAX(I367:K367)</f>
        <v>3.09509202453988</v>
      </c>
      <c r="N367" s="27" t="s">
        <v>201</v>
      </c>
      <c r="O367" s="27" t="s">
        <v>218</v>
      </c>
      <c r="P367" s="27" t="str">
        <f aca="false">A367&amp;"|"&amp;N367</f>
        <v>NURSE-02|caution</v>
      </c>
    </row>
    <row r="368" customFormat="false" ht="15" hidden="false" customHeight="true" outlineLevel="0" collapsed="false">
      <c r="A368" s="27" t="s">
        <v>73</v>
      </c>
      <c r="B368" s="41" t="n">
        <v>46303.3493055556</v>
      </c>
      <c r="C368" s="27" t="s">
        <v>200</v>
      </c>
      <c r="D368" s="27" t="n">
        <v>41.3</v>
      </c>
      <c r="E368" s="27" t="n">
        <v>20.1</v>
      </c>
      <c r="F368" s="27" t="n">
        <v>36</v>
      </c>
      <c r="G368" s="27" t="n">
        <v>33.6</v>
      </c>
      <c r="H368" s="27" t="s">
        <v>196</v>
      </c>
      <c r="I368" s="42" t="n">
        <f aca="false">(D368-INDEX('Cohort Summary'!$D$5:$D$14,MATCH($A368,'Cohort Summary'!$A$5:$A$14,0)))/INDEX('Cohort Summary'!$E$5:$E$14,MATCH($A368,'Cohort Summary'!$A$5:$A$14,0))</f>
        <v>-0.76993865030675</v>
      </c>
      <c r="J368" s="42" t="n">
        <f aca="false">(E368-INDEX('Cohort Summary'!$F$5:$F$14,MATCH($A368,'Cohort Summary'!$A$5:$A$14,0)))/INDEX('Cohort Summary'!$G$5:$G$14,MATCH($A368,'Cohort Summary'!$A$5:$A$14,0))</f>
        <v>0.495283018867925</v>
      </c>
      <c r="K368" s="42" t="n">
        <f aca="false">(F368-INDEX('Cohort Summary'!$H$5:$H$14,MATCH($A368,'Cohort Summary'!$A$5:$A$14,0)))/INDEX('Cohort Summary'!$I$5:$I$14,MATCH($A368,'Cohort Summary'!$A$5:$A$14,0))</f>
        <v>1.20748299319728</v>
      </c>
      <c r="L368" s="42" t="n">
        <f aca="false">(G368-INDEX('Cohort Summary'!$J$5:$J$14,MATCH($A368,'Cohort Summary'!$A$5:$A$14,0)))/INDEX('Cohort Summary'!$K$5:$K$14,MATCH($A368,'Cohort Summary'!$A$5:$A$14,0))</f>
        <v>1.203125</v>
      </c>
      <c r="M368" s="42" t="n">
        <f aca="false">MAX(I368:K368)</f>
        <v>1.20748299319728</v>
      </c>
      <c r="N368" s="27" t="s">
        <v>197</v>
      </c>
      <c r="O368" s="27"/>
      <c r="P368" s="27" t="str">
        <f aca="false">A368&amp;"|"&amp;N368</f>
        <v>NURSE-02|normal</v>
      </c>
    </row>
    <row r="369" customFormat="false" ht="15" hidden="false" customHeight="true" outlineLevel="0" collapsed="false">
      <c r="A369" s="27" t="s">
        <v>73</v>
      </c>
      <c r="B369" s="41" t="n">
        <v>46303.3496527778</v>
      </c>
      <c r="C369" s="27" t="s">
        <v>200</v>
      </c>
      <c r="D369" s="27" t="n">
        <v>42.2</v>
      </c>
      <c r="E369" s="27" t="n">
        <v>19.5</v>
      </c>
      <c r="F369" s="27" t="n">
        <v>29</v>
      </c>
      <c r="G369" s="27" t="n">
        <v>32.2</v>
      </c>
      <c r="H369" s="27" t="s">
        <v>198</v>
      </c>
      <c r="I369" s="42" t="n">
        <f aca="false">(D369-INDEX('Cohort Summary'!$D$5:$D$14,MATCH($A369,'Cohort Summary'!$A$5:$A$14,0)))/INDEX('Cohort Summary'!$E$5:$E$14,MATCH($A369,'Cohort Summary'!$A$5:$A$14,0))</f>
        <v>-0.493865030674847</v>
      </c>
      <c r="J369" s="42" t="n">
        <f aca="false">(E369-INDEX('Cohort Summary'!$F$5:$F$14,MATCH($A369,'Cohort Summary'!$A$5:$A$14,0)))/INDEX('Cohort Summary'!$G$5:$G$14,MATCH($A369,'Cohort Summary'!$A$5:$A$14,0))</f>
        <v>0.212264150943396</v>
      </c>
      <c r="K369" s="42" t="n">
        <f aca="false">(F369-INDEX('Cohort Summary'!$H$5:$H$14,MATCH($A369,'Cohort Summary'!$A$5:$A$14,0)))/INDEX('Cohort Summary'!$I$5:$I$14,MATCH($A369,'Cohort Summary'!$A$5:$A$14,0))</f>
        <v>-1.1734693877551</v>
      </c>
      <c r="L369" s="42" t="n">
        <f aca="false">(G369-INDEX('Cohort Summary'!$J$5:$J$14,MATCH($A369,'Cohort Summary'!$A$5:$A$14,0)))/INDEX('Cohort Summary'!$K$5:$K$14,MATCH($A369,'Cohort Summary'!$A$5:$A$14,0))</f>
        <v>-0.984374999999993</v>
      </c>
      <c r="M369" s="42" t="n">
        <f aca="false">MAX(I369:K369)</f>
        <v>0.212264150943396</v>
      </c>
      <c r="N369" s="27" t="s">
        <v>197</v>
      </c>
      <c r="O369" s="27"/>
      <c r="P369" s="27" t="str">
        <f aca="false">A369&amp;"|"&amp;N369</f>
        <v>NURSE-02|normal</v>
      </c>
    </row>
    <row r="370" customFormat="false" ht="15" hidden="false" customHeight="true" outlineLevel="0" collapsed="false">
      <c r="A370" s="27" t="s">
        <v>73</v>
      </c>
      <c r="B370" s="41" t="n">
        <v>46303.35</v>
      </c>
      <c r="C370" s="27" t="s">
        <v>200</v>
      </c>
      <c r="D370" s="27" t="n">
        <v>40.8</v>
      </c>
      <c r="E370" s="27" t="n">
        <v>20.9</v>
      </c>
      <c r="F370" s="27" t="n">
        <v>30.6</v>
      </c>
      <c r="G370" s="27" t="n">
        <v>32.9</v>
      </c>
      <c r="H370" s="27" t="s">
        <v>199</v>
      </c>
      <c r="I370" s="42" t="n">
        <f aca="false">(D370-INDEX('Cohort Summary'!$D$5:$D$14,MATCH($A370,'Cohort Summary'!$A$5:$A$14,0)))/INDEX('Cohort Summary'!$E$5:$E$14,MATCH($A370,'Cohort Summary'!$A$5:$A$14,0))</f>
        <v>-0.923312883435585</v>
      </c>
      <c r="J370" s="42" t="n">
        <f aca="false">(E370-INDEX('Cohort Summary'!$F$5:$F$14,MATCH($A370,'Cohort Summary'!$A$5:$A$14,0)))/INDEX('Cohort Summary'!$G$5:$G$14,MATCH($A370,'Cohort Summary'!$A$5:$A$14,0))</f>
        <v>0.872641509433961</v>
      </c>
      <c r="K370" s="42" t="n">
        <f aca="false">(F370-INDEX('Cohort Summary'!$H$5:$H$14,MATCH($A370,'Cohort Summary'!$A$5:$A$14,0)))/INDEX('Cohort Summary'!$I$5:$I$14,MATCH($A370,'Cohort Summary'!$A$5:$A$14,0))</f>
        <v>-0.629251700680273</v>
      </c>
      <c r="L370" s="42" t="n">
        <f aca="false">(G370-INDEX('Cohort Summary'!$J$5:$J$14,MATCH($A370,'Cohort Summary'!$A$5:$A$14,0)))/INDEX('Cohort Summary'!$K$5:$K$14,MATCH($A370,'Cohort Summary'!$A$5:$A$14,0))</f>
        <v>0.109375</v>
      </c>
      <c r="M370" s="42" t="n">
        <f aca="false">MAX(I370:K370)</f>
        <v>0.872641509433961</v>
      </c>
      <c r="N370" s="27" t="s">
        <v>197</v>
      </c>
      <c r="O370" s="27"/>
      <c r="P370" s="27" t="str">
        <f aca="false">A370&amp;"|"&amp;N370</f>
        <v>NURSE-02|normal</v>
      </c>
    </row>
    <row r="371" customFormat="false" ht="15" hidden="false" customHeight="true" outlineLevel="0" collapsed="false">
      <c r="A371" s="27" t="s">
        <v>73</v>
      </c>
      <c r="B371" s="41" t="n">
        <v>46303.3503472222</v>
      </c>
      <c r="C371" s="27" t="s">
        <v>200</v>
      </c>
      <c r="D371" s="27" t="n">
        <v>46.8</v>
      </c>
      <c r="E371" s="27" t="n">
        <v>22</v>
      </c>
      <c r="F371" s="27" t="n">
        <v>29.5</v>
      </c>
      <c r="G371" s="27" t="n">
        <v>33.6</v>
      </c>
      <c r="H371" s="27" t="s">
        <v>199</v>
      </c>
      <c r="I371" s="42" t="n">
        <f aca="false">(D371-INDEX('Cohort Summary'!$D$5:$D$14,MATCH($A371,'Cohort Summary'!$A$5:$A$14,0)))/INDEX('Cohort Summary'!$E$5:$E$14,MATCH($A371,'Cohort Summary'!$A$5:$A$14,0))</f>
        <v>0.917177914110428</v>
      </c>
      <c r="J371" s="42" t="n">
        <f aca="false">(E371-INDEX('Cohort Summary'!$F$5:$F$14,MATCH($A371,'Cohort Summary'!$A$5:$A$14,0)))/INDEX('Cohort Summary'!$G$5:$G$14,MATCH($A371,'Cohort Summary'!$A$5:$A$14,0))</f>
        <v>1.39150943396226</v>
      </c>
      <c r="K371" s="42" t="n">
        <f aca="false">(F371-INDEX('Cohort Summary'!$H$5:$H$14,MATCH($A371,'Cohort Summary'!$A$5:$A$14,0)))/INDEX('Cohort Summary'!$I$5:$I$14,MATCH($A371,'Cohort Summary'!$A$5:$A$14,0))</f>
        <v>-1.00340136054422</v>
      </c>
      <c r="L371" s="42" t="n">
        <f aca="false">(G371-INDEX('Cohort Summary'!$J$5:$J$14,MATCH($A371,'Cohort Summary'!$A$5:$A$14,0)))/INDEX('Cohort Summary'!$K$5:$K$14,MATCH($A371,'Cohort Summary'!$A$5:$A$14,0))</f>
        <v>1.203125</v>
      </c>
      <c r="M371" s="42" t="n">
        <f aca="false">MAX(I371:K371)</f>
        <v>1.39150943396226</v>
      </c>
      <c r="N371" s="27" t="s">
        <v>197</v>
      </c>
      <c r="O371" s="27"/>
      <c r="P371" s="27" t="str">
        <f aca="false">A371&amp;"|"&amp;N371</f>
        <v>NURSE-02|normal</v>
      </c>
    </row>
    <row r="372" customFormat="false" ht="15" hidden="false" customHeight="true" outlineLevel="0" collapsed="false">
      <c r="A372" s="27" t="s">
        <v>73</v>
      </c>
      <c r="B372" s="41" t="n">
        <v>46303.3506944445</v>
      </c>
      <c r="C372" s="27" t="s">
        <v>200</v>
      </c>
      <c r="D372" s="27" t="n">
        <v>42.7</v>
      </c>
      <c r="E372" s="27" t="n">
        <v>16.7</v>
      </c>
      <c r="F372" s="27" t="n">
        <v>33.3</v>
      </c>
      <c r="G372" s="27" t="n">
        <v>33.4</v>
      </c>
      <c r="H372" s="27" t="s">
        <v>198</v>
      </c>
      <c r="I372" s="42" t="n">
        <f aca="false">(D372-INDEX('Cohort Summary'!$D$5:$D$14,MATCH($A372,'Cohort Summary'!$A$5:$A$14,0)))/INDEX('Cohort Summary'!$E$5:$E$14,MATCH($A372,'Cohort Summary'!$A$5:$A$14,0))</f>
        <v>-0.340490797546012</v>
      </c>
      <c r="J372" s="42" t="n">
        <f aca="false">(E372-INDEX('Cohort Summary'!$F$5:$F$14,MATCH($A372,'Cohort Summary'!$A$5:$A$14,0)))/INDEX('Cohort Summary'!$G$5:$G$14,MATCH($A372,'Cohort Summary'!$A$5:$A$14,0))</f>
        <v>-1.10849056603774</v>
      </c>
      <c r="K372" s="42" t="n">
        <f aca="false">(F372-INDEX('Cohort Summary'!$H$5:$H$14,MATCH($A372,'Cohort Summary'!$A$5:$A$14,0)))/INDEX('Cohort Summary'!$I$5:$I$14,MATCH($A372,'Cohort Summary'!$A$5:$A$14,0))</f>
        <v>0.289115646258501</v>
      </c>
      <c r="L372" s="42" t="n">
        <f aca="false">(G372-INDEX('Cohort Summary'!$J$5:$J$14,MATCH($A372,'Cohort Summary'!$A$5:$A$14,0)))/INDEX('Cohort Summary'!$K$5:$K$14,MATCH($A372,'Cohort Summary'!$A$5:$A$14,0))</f>
        <v>0.890625</v>
      </c>
      <c r="M372" s="42" t="n">
        <f aca="false">MAX(I372:K372)</f>
        <v>0.289115646258501</v>
      </c>
      <c r="N372" s="27" t="s">
        <v>197</v>
      </c>
      <c r="O372" s="27"/>
      <c r="P372" s="27" t="str">
        <f aca="false">A372&amp;"|"&amp;N372</f>
        <v>NURSE-02|normal</v>
      </c>
    </row>
    <row r="373" customFormat="false" ht="15" hidden="false" customHeight="true" outlineLevel="0" collapsed="false">
      <c r="A373" s="27" t="s">
        <v>73</v>
      </c>
      <c r="B373" s="41" t="n">
        <v>46303.3510416667</v>
      </c>
      <c r="C373" s="27" t="s">
        <v>200</v>
      </c>
      <c r="D373" s="27" t="n">
        <v>42.2</v>
      </c>
      <c r="E373" s="27" t="n">
        <v>16.2</v>
      </c>
      <c r="F373" s="27" t="n">
        <v>29.8</v>
      </c>
      <c r="G373" s="27" t="n">
        <v>33</v>
      </c>
      <c r="H373" s="27" t="s">
        <v>198</v>
      </c>
      <c r="I373" s="42" t="n">
        <f aca="false">(D373-INDEX('Cohort Summary'!$D$5:$D$14,MATCH($A373,'Cohort Summary'!$A$5:$A$14,0)))/INDEX('Cohort Summary'!$E$5:$E$14,MATCH($A373,'Cohort Summary'!$A$5:$A$14,0))</f>
        <v>-0.493865030674847</v>
      </c>
      <c r="J373" s="42" t="n">
        <f aca="false">(E373-INDEX('Cohort Summary'!$F$5:$F$14,MATCH($A373,'Cohort Summary'!$A$5:$A$14,0)))/INDEX('Cohort Summary'!$G$5:$G$14,MATCH($A373,'Cohort Summary'!$A$5:$A$14,0))</f>
        <v>-1.34433962264151</v>
      </c>
      <c r="K373" s="42" t="n">
        <f aca="false">(F373-INDEX('Cohort Summary'!$H$5:$H$14,MATCH($A373,'Cohort Summary'!$A$5:$A$14,0)))/INDEX('Cohort Summary'!$I$5:$I$14,MATCH($A373,'Cohort Summary'!$A$5:$A$14,0))</f>
        <v>-0.901360544217688</v>
      </c>
      <c r="L373" s="42" t="n">
        <f aca="false">(G373-INDEX('Cohort Summary'!$J$5:$J$14,MATCH($A373,'Cohort Summary'!$A$5:$A$14,0)))/INDEX('Cohort Summary'!$K$5:$K$14,MATCH($A373,'Cohort Summary'!$A$5:$A$14,0))</f>
        <v>0.265625000000003</v>
      </c>
      <c r="M373" s="42" t="n">
        <f aca="false">MAX(I373:K373)</f>
        <v>-0.493865030674847</v>
      </c>
      <c r="N373" s="27" t="s">
        <v>197</v>
      </c>
      <c r="O373" s="27"/>
      <c r="P373" s="27" t="str">
        <f aca="false">A373&amp;"|"&amp;N373</f>
        <v>NURSE-02|normal</v>
      </c>
    </row>
    <row r="374" customFormat="false" ht="15" hidden="false" customHeight="true" outlineLevel="0" collapsed="false">
      <c r="A374" s="27" t="s">
        <v>73</v>
      </c>
      <c r="B374" s="41" t="n">
        <v>46303.3513888889</v>
      </c>
      <c r="C374" s="27" t="s">
        <v>200</v>
      </c>
      <c r="D374" s="27" t="n">
        <v>39.3</v>
      </c>
      <c r="E374" s="27" t="n">
        <v>22.9</v>
      </c>
      <c r="F374" s="27" t="n">
        <v>35.7</v>
      </c>
      <c r="G374" s="27" t="n">
        <v>32.8</v>
      </c>
      <c r="H374" s="27" t="s">
        <v>196</v>
      </c>
      <c r="I374" s="42" t="n">
        <f aca="false">(D374-INDEX('Cohort Summary'!$D$5:$D$14,MATCH($A374,'Cohort Summary'!$A$5:$A$14,0)))/INDEX('Cohort Summary'!$E$5:$E$14,MATCH($A374,'Cohort Summary'!$A$5:$A$14,0))</f>
        <v>-1.38343558282209</v>
      </c>
      <c r="J374" s="42" t="n">
        <f aca="false">(E374-INDEX('Cohort Summary'!$F$5:$F$14,MATCH($A374,'Cohort Summary'!$A$5:$A$14,0)))/INDEX('Cohort Summary'!$G$5:$G$14,MATCH($A374,'Cohort Summary'!$A$5:$A$14,0))</f>
        <v>1.81603773584906</v>
      </c>
      <c r="K374" s="42" t="n">
        <f aca="false">(F374-INDEX('Cohort Summary'!$H$5:$H$14,MATCH($A374,'Cohort Summary'!$A$5:$A$14,0)))/INDEX('Cohort Summary'!$I$5:$I$14,MATCH($A374,'Cohort Summary'!$A$5:$A$14,0))</f>
        <v>1.10544217687075</v>
      </c>
      <c r="L374" s="42" t="n">
        <f aca="false">(G374-INDEX('Cohort Summary'!$J$5:$J$14,MATCH($A374,'Cohort Summary'!$A$5:$A$14,0)))/INDEX('Cohort Summary'!$K$5:$K$14,MATCH($A374,'Cohort Summary'!$A$5:$A$14,0))</f>
        <v>-0.0468750000000018</v>
      </c>
      <c r="M374" s="42" t="n">
        <f aca="false">MAX(I374:K374)</f>
        <v>1.81603773584906</v>
      </c>
      <c r="N374" s="27" t="s">
        <v>197</v>
      </c>
      <c r="O374" s="27"/>
      <c r="P374" s="27" t="str">
        <f aca="false">A374&amp;"|"&amp;N374</f>
        <v>NURSE-02|normal</v>
      </c>
    </row>
    <row r="375" customFormat="false" ht="15" hidden="false" customHeight="true" outlineLevel="0" collapsed="false">
      <c r="A375" s="27" t="s">
        <v>73</v>
      </c>
      <c r="B375" s="41" t="n">
        <v>46303.3517361111</v>
      </c>
      <c r="C375" s="27" t="s">
        <v>200</v>
      </c>
      <c r="D375" s="27" t="n">
        <v>41.1</v>
      </c>
      <c r="E375" s="27" t="n">
        <v>22.5</v>
      </c>
      <c r="F375" s="27" t="n">
        <v>29.8</v>
      </c>
      <c r="G375" s="27" t="n">
        <v>32</v>
      </c>
      <c r="H375" s="27" t="s">
        <v>199</v>
      </c>
      <c r="I375" s="42" t="n">
        <f aca="false">(D375-INDEX('Cohort Summary'!$D$5:$D$14,MATCH($A375,'Cohort Summary'!$A$5:$A$14,0)))/INDEX('Cohort Summary'!$E$5:$E$14,MATCH($A375,'Cohort Summary'!$A$5:$A$14,0))</f>
        <v>-0.831288343558283</v>
      </c>
      <c r="J375" s="42" t="n">
        <f aca="false">(E375-INDEX('Cohort Summary'!$F$5:$F$14,MATCH($A375,'Cohort Summary'!$A$5:$A$14,0)))/INDEX('Cohort Summary'!$G$5:$G$14,MATCH($A375,'Cohort Summary'!$A$5:$A$14,0))</f>
        <v>1.62735849056604</v>
      </c>
      <c r="K375" s="42" t="n">
        <f aca="false">(F375-INDEX('Cohort Summary'!$H$5:$H$14,MATCH($A375,'Cohort Summary'!$A$5:$A$14,0)))/INDEX('Cohort Summary'!$I$5:$I$14,MATCH($A375,'Cohort Summary'!$A$5:$A$14,0))</f>
        <v>-0.901360544217688</v>
      </c>
      <c r="L375" s="42" t="n">
        <f aca="false">(G375-INDEX('Cohort Summary'!$J$5:$J$14,MATCH($A375,'Cohort Summary'!$A$5:$A$14,0)))/INDEX('Cohort Summary'!$K$5:$K$14,MATCH($A375,'Cohort Summary'!$A$5:$A$14,0))</f>
        <v>-1.296875</v>
      </c>
      <c r="M375" s="42" t="n">
        <f aca="false">MAX(I375:K375)</f>
        <v>1.62735849056604</v>
      </c>
      <c r="N375" s="27" t="s">
        <v>197</v>
      </c>
      <c r="O375" s="27"/>
      <c r="P375" s="27" t="str">
        <f aca="false">A375&amp;"|"&amp;N375</f>
        <v>NURSE-02|normal</v>
      </c>
    </row>
    <row r="376" customFormat="false" ht="15" hidden="false" customHeight="true" outlineLevel="0" collapsed="false">
      <c r="A376" s="27" t="s">
        <v>73</v>
      </c>
      <c r="B376" s="41" t="n">
        <v>46303.3520833333</v>
      </c>
      <c r="C376" s="27" t="s">
        <v>200</v>
      </c>
      <c r="D376" s="27" t="n">
        <v>46.7</v>
      </c>
      <c r="E376" s="27" t="n">
        <v>21.7</v>
      </c>
      <c r="F376" s="27" t="n">
        <v>36.6</v>
      </c>
      <c r="G376" s="27" t="n">
        <v>32.3</v>
      </c>
      <c r="H376" s="27" t="s">
        <v>198</v>
      </c>
      <c r="I376" s="42" t="n">
        <f aca="false">(D376-INDEX('Cohort Summary'!$D$5:$D$14,MATCH($A376,'Cohort Summary'!$A$5:$A$14,0)))/INDEX('Cohort Summary'!$E$5:$E$14,MATCH($A376,'Cohort Summary'!$A$5:$A$14,0))</f>
        <v>0.886503067484663</v>
      </c>
      <c r="J376" s="42" t="n">
        <f aca="false">(E376-INDEX('Cohort Summary'!$F$5:$F$14,MATCH($A376,'Cohort Summary'!$A$5:$A$14,0)))/INDEX('Cohort Summary'!$G$5:$G$14,MATCH($A376,'Cohort Summary'!$A$5:$A$14,0))</f>
        <v>1.25</v>
      </c>
      <c r="K376" s="42" t="n">
        <f aca="false">(F376-INDEX('Cohort Summary'!$H$5:$H$14,MATCH($A376,'Cohort Summary'!$A$5:$A$14,0)))/INDEX('Cohort Summary'!$I$5:$I$14,MATCH($A376,'Cohort Summary'!$A$5:$A$14,0))</f>
        <v>1.41156462585034</v>
      </c>
      <c r="L376" s="42" t="n">
        <f aca="false">(G376-INDEX('Cohort Summary'!$J$5:$J$14,MATCH($A376,'Cohort Summary'!$A$5:$A$14,0)))/INDEX('Cohort Summary'!$K$5:$K$14,MATCH($A376,'Cohort Summary'!$A$5:$A$14,0))</f>
        <v>-0.828125000000002</v>
      </c>
      <c r="M376" s="42" t="n">
        <f aca="false">MAX(I376:K376)</f>
        <v>1.41156462585034</v>
      </c>
      <c r="N376" s="27" t="s">
        <v>197</v>
      </c>
      <c r="O376" s="27"/>
      <c r="P376" s="27" t="str">
        <f aca="false">A376&amp;"|"&amp;N376</f>
        <v>NURSE-02|normal</v>
      </c>
    </row>
    <row r="377" customFormat="false" ht="15" hidden="false" customHeight="true" outlineLevel="0" collapsed="false">
      <c r="A377" s="27" t="s">
        <v>73</v>
      </c>
      <c r="B377" s="41" t="n">
        <v>46303.3524305556</v>
      </c>
      <c r="C377" s="27" t="s">
        <v>200</v>
      </c>
      <c r="D377" s="27" t="n">
        <v>42.4</v>
      </c>
      <c r="E377" s="27" t="n">
        <v>23</v>
      </c>
      <c r="F377" s="27" t="n">
        <v>30.8</v>
      </c>
      <c r="G377" s="27" t="n">
        <v>31.9</v>
      </c>
      <c r="H377" s="27" t="s">
        <v>198</v>
      </c>
      <c r="I377" s="42" t="n">
        <f aca="false">(D377-INDEX('Cohort Summary'!$D$5:$D$14,MATCH($A377,'Cohort Summary'!$A$5:$A$14,0)))/INDEX('Cohort Summary'!$E$5:$E$14,MATCH($A377,'Cohort Summary'!$A$5:$A$14,0))</f>
        <v>-0.432515337423314</v>
      </c>
      <c r="J377" s="42" t="n">
        <f aca="false">(E377-INDEX('Cohort Summary'!$F$5:$F$14,MATCH($A377,'Cohort Summary'!$A$5:$A$14,0)))/INDEX('Cohort Summary'!$G$5:$G$14,MATCH($A377,'Cohort Summary'!$A$5:$A$14,0))</f>
        <v>1.86320754716981</v>
      </c>
      <c r="K377" s="42" t="n">
        <f aca="false">(F377-INDEX('Cohort Summary'!$H$5:$H$14,MATCH($A377,'Cohort Summary'!$A$5:$A$14,0)))/INDEX('Cohort Summary'!$I$5:$I$14,MATCH($A377,'Cohort Summary'!$A$5:$A$14,0))</f>
        <v>-0.561224489795919</v>
      </c>
      <c r="L377" s="42" t="n">
        <f aca="false">(G377-INDEX('Cohort Summary'!$J$5:$J$14,MATCH($A377,'Cohort Summary'!$A$5:$A$14,0)))/INDEX('Cohort Summary'!$K$5:$K$14,MATCH($A377,'Cohort Summary'!$A$5:$A$14,0))</f>
        <v>-1.453125</v>
      </c>
      <c r="M377" s="42" t="n">
        <f aca="false">MAX(I377:K377)</f>
        <v>1.86320754716981</v>
      </c>
      <c r="N377" s="27" t="s">
        <v>197</v>
      </c>
      <c r="O377" s="27"/>
      <c r="P377" s="27" t="str">
        <f aca="false">A377&amp;"|"&amp;N377</f>
        <v>NURSE-02|normal</v>
      </c>
    </row>
    <row r="378" customFormat="false" ht="15" hidden="false" customHeight="true" outlineLevel="0" collapsed="false">
      <c r="A378" s="27" t="s">
        <v>73</v>
      </c>
      <c r="B378" s="41" t="n">
        <v>46303.3527777778</v>
      </c>
      <c r="C378" s="27" t="s">
        <v>200</v>
      </c>
      <c r="D378" s="27" t="n">
        <v>44.6</v>
      </c>
      <c r="E378" s="27" t="n">
        <v>22.1</v>
      </c>
      <c r="F378" s="27" t="n">
        <v>31.6</v>
      </c>
      <c r="G378" s="27" t="n">
        <v>33.7</v>
      </c>
      <c r="H378" s="27" t="s">
        <v>198</v>
      </c>
      <c r="I378" s="42" t="n">
        <f aca="false">(D378-INDEX('Cohort Summary'!$D$5:$D$14,MATCH($A378,'Cohort Summary'!$A$5:$A$14,0)))/INDEX('Cohort Summary'!$E$5:$E$14,MATCH($A378,'Cohort Summary'!$A$5:$A$14,0))</f>
        <v>0.242331288343558</v>
      </c>
      <c r="J378" s="42" t="n">
        <f aca="false">(E378-INDEX('Cohort Summary'!$F$5:$F$14,MATCH($A378,'Cohort Summary'!$A$5:$A$14,0)))/INDEX('Cohort Summary'!$G$5:$G$14,MATCH($A378,'Cohort Summary'!$A$5:$A$14,0))</f>
        <v>1.43867924528302</v>
      </c>
      <c r="K378" s="42" t="n">
        <f aca="false">(F378-INDEX('Cohort Summary'!$H$5:$H$14,MATCH($A378,'Cohort Summary'!$A$5:$A$14,0)))/INDEX('Cohort Summary'!$I$5:$I$14,MATCH($A378,'Cohort Summary'!$A$5:$A$14,0))</f>
        <v>-0.289115646258504</v>
      </c>
      <c r="L378" s="42" t="n">
        <f aca="false">(G378-INDEX('Cohort Summary'!$J$5:$J$14,MATCH($A378,'Cohort Summary'!$A$5:$A$14,0)))/INDEX('Cohort Summary'!$K$5:$K$14,MATCH($A378,'Cohort Summary'!$A$5:$A$14,0))</f>
        <v>1.35937500000001</v>
      </c>
      <c r="M378" s="42" t="n">
        <f aca="false">MAX(I378:K378)</f>
        <v>1.43867924528302</v>
      </c>
      <c r="N378" s="27" t="s">
        <v>197</v>
      </c>
      <c r="O378" s="27"/>
      <c r="P378" s="27" t="str">
        <f aca="false">A378&amp;"|"&amp;N378</f>
        <v>NURSE-02|normal</v>
      </c>
    </row>
    <row r="379" customFormat="false" ht="15" hidden="false" customHeight="true" outlineLevel="0" collapsed="false">
      <c r="A379" s="27" t="s">
        <v>73</v>
      </c>
      <c r="B379" s="41" t="n">
        <v>46303.353125</v>
      </c>
      <c r="C379" s="27" t="s">
        <v>200</v>
      </c>
      <c r="D379" s="27" t="n">
        <v>47.6</v>
      </c>
      <c r="E379" s="27" t="n">
        <v>20.5</v>
      </c>
      <c r="F379" s="27" t="n">
        <v>36.2</v>
      </c>
      <c r="G379" s="27" t="n">
        <v>33.2</v>
      </c>
      <c r="H379" s="27" t="s">
        <v>198</v>
      </c>
      <c r="I379" s="42" t="n">
        <f aca="false">(D379-INDEX('Cohort Summary'!$D$5:$D$14,MATCH($A379,'Cohort Summary'!$A$5:$A$14,0)))/INDEX('Cohort Summary'!$E$5:$E$14,MATCH($A379,'Cohort Summary'!$A$5:$A$14,0))</f>
        <v>1.16257668711656</v>
      </c>
      <c r="J379" s="42" t="n">
        <f aca="false">(E379-INDEX('Cohort Summary'!$F$5:$F$14,MATCH($A379,'Cohort Summary'!$A$5:$A$14,0)))/INDEX('Cohort Summary'!$G$5:$G$14,MATCH($A379,'Cohort Summary'!$A$5:$A$14,0))</f>
        <v>0.683962264150943</v>
      </c>
      <c r="K379" s="42" t="n">
        <f aca="false">(F379-INDEX('Cohort Summary'!$H$5:$H$14,MATCH($A379,'Cohort Summary'!$A$5:$A$14,0)))/INDEX('Cohort Summary'!$I$5:$I$14,MATCH($A379,'Cohort Summary'!$A$5:$A$14,0))</f>
        <v>1.27551020408163</v>
      </c>
      <c r="L379" s="42" t="n">
        <f aca="false">(G379-INDEX('Cohort Summary'!$J$5:$J$14,MATCH($A379,'Cohort Summary'!$A$5:$A$14,0)))/INDEX('Cohort Summary'!$K$5:$K$14,MATCH($A379,'Cohort Summary'!$A$5:$A$14,0))</f>
        <v>0.578125000000007</v>
      </c>
      <c r="M379" s="42" t="n">
        <f aca="false">MAX(I379:K379)</f>
        <v>1.27551020408163</v>
      </c>
      <c r="N379" s="27" t="s">
        <v>197</v>
      </c>
      <c r="O379" s="27"/>
      <c r="P379" s="27" t="str">
        <f aca="false">A379&amp;"|"&amp;N379</f>
        <v>NURSE-02|normal</v>
      </c>
    </row>
    <row r="380" customFormat="false" ht="15" hidden="false" customHeight="true" outlineLevel="0" collapsed="false">
      <c r="A380" s="27" t="s">
        <v>73</v>
      </c>
      <c r="B380" s="41" t="n">
        <v>46303.3534722222</v>
      </c>
      <c r="C380" s="27" t="s">
        <v>200</v>
      </c>
      <c r="D380" s="27" t="n">
        <v>41.6</v>
      </c>
      <c r="E380" s="27" t="n">
        <v>20</v>
      </c>
      <c r="F380" s="27" t="n">
        <v>33.4</v>
      </c>
      <c r="G380" s="27" t="n">
        <v>33.7</v>
      </c>
      <c r="H380" s="27" t="s">
        <v>196</v>
      </c>
      <c r="I380" s="42" t="n">
        <f aca="false">(D380-INDEX('Cohort Summary'!$D$5:$D$14,MATCH($A380,'Cohort Summary'!$A$5:$A$14,0)))/INDEX('Cohort Summary'!$E$5:$E$14,MATCH($A380,'Cohort Summary'!$A$5:$A$14,0))</f>
        <v>-0.677914110429448</v>
      </c>
      <c r="J380" s="42" t="n">
        <f aca="false">(E380-INDEX('Cohort Summary'!$F$5:$F$14,MATCH($A380,'Cohort Summary'!$A$5:$A$14,0)))/INDEX('Cohort Summary'!$G$5:$G$14,MATCH($A380,'Cohort Summary'!$A$5:$A$14,0))</f>
        <v>0.448113207547169</v>
      </c>
      <c r="K380" s="42" t="n">
        <f aca="false">(F380-INDEX('Cohort Summary'!$H$5:$H$14,MATCH($A380,'Cohort Summary'!$A$5:$A$14,0)))/INDEX('Cohort Summary'!$I$5:$I$14,MATCH($A380,'Cohort Summary'!$A$5:$A$14,0))</f>
        <v>0.323129251700679</v>
      </c>
      <c r="L380" s="42" t="n">
        <f aca="false">(G380-INDEX('Cohort Summary'!$J$5:$J$14,MATCH($A380,'Cohort Summary'!$A$5:$A$14,0)))/INDEX('Cohort Summary'!$K$5:$K$14,MATCH($A380,'Cohort Summary'!$A$5:$A$14,0))</f>
        <v>1.35937500000001</v>
      </c>
      <c r="M380" s="42" t="n">
        <f aca="false">MAX(I380:K380)</f>
        <v>0.448113207547169</v>
      </c>
      <c r="N380" s="27" t="s">
        <v>197</v>
      </c>
      <c r="O380" s="27"/>
      <c r="P380" s="27" t="str">
        <f aca="false">A380&amp;"|"&amp;N380</f>
        <v>NURSE-02|normal</v>
      </c>
    </row>
    <row r="381" customFormat="false" ht="15" hidden="false" customHeight="true" outlineLevel="0" collapsed="false">
      <c r="A381" s="27" t="s">
        <v>73</v>
      </c>
      <c r="B381" s="41" t="n">
        <v>46303.3538194444</v>
      </c>
      <c r="C381" s="27" t="s">
        <v>200</v>
      </c>
      <c r="D381" s="27" t="n">
        <v>44.1</v>
      </c>
      <c r="E381" s="27" t="n">
        <v>17.3</v>
      </c>
      <c r="F381" s="27" t="n">
        <v>35.5</v>
      </c>
      <c r="G381" s="27" t="n">
        <v>32.5</v>
      </c>
      <c r="H381" s="27" t="s">
        <v>198</v>
      </c>
      <c r="I381" s="42" t="n">
        <f aca="false">(D381-INDEX('Cohort Summary'!$D$5:$D$14,MATCH($A381,'Cohort Summary'!$A$5:$A$14,0)))/INDEX('Cohort Summary'!$E$5:$E$14,MATCH($A381,'Cohort Summary'!$A$5:$A$14,0))</f>
        <v>0.0889570552147237</v>
      </c>
      <c r="J381" s="42" t="n">
        <f aca="false">(E381-INDEX('Cohort Summary'!$F$5:$F$14,MATCH($A381,'Cohort Summary'!$A$5:$A$14,0)))/INDEX('Cohort Summary'!$G$5:$G$14,MATCH($A381,'Cohort Summary'!$A$5:$A$14,0))</f>
        <v>-0.825471698113208</v>
      </c>
      <c r="K381" s="42" t="n">
        <f aca="false">(F381-INDEX('Cohort Summary'!$H$5:$H$14,MATCH($A381,'Cohort Summary'!$A$5:$A$14,0)))/INDEX('Cohort Summary'!$I$5:$I$14,MATCH($A381,'Cohort Summary'!$A$5:$A$14,0))</f>
        <v>1.03741496598639</v>
      </c>
      <c r="L381" s="42" t="n">
        <f aca="false">(G381-INDEX('Cohort Summary'!$J$5:$J$14,MATCH($A381,'Cohort Summary'!$A$5:$A$14,0)))/INDEX('Cohort Summary'!$K$5:$K$14,MATCH($A381,'Cohort Summary'!$A$5:$A$14,0))</f>
        <v>-0.515624999999997</v>
      </c>
      <c r="M381" s="42" t="n">
        <f aca="false">MAX(I381:K381)</f>
        <v>1.03741496598639</v>
      </c>
      <c r="N381" s="27" t="s">
        <v>197</v>
      </c>
      <c r="O381" s="27"/>
      <c r="P381" s="27" t="str">
        <f aca="false">A381&amp;"|"&amp;N381</f>
        <v>NURSE-02|normal</v>
      </c>
    </row>
    <row r="382" customFormat="false" ht="15" hidden="false" customHeight="true" outlineLevel="0" collapsed="false">
      <c r="A382" s="27" t="s">
        <v>73</v>
      </c>
      <c r="B382" s="41" t="n">
        <v>46303.3541666667</v>
      </c>
      <c r="C382" s="27" t="s">
        <v>200</v>
      </c>
      <c r="D382" s="27" t="n">
        <v>48.9</v>
      </c>
      <c r="E382" s="27" t="n">
        <v>17.6</v>
      </c>
      <c r="F382" s="27" t="n">
        <v>27.4</v>
      </c>
      <c r="G382" s="27" t="n">
        <v>32.3</v>
      </c>
      <c r="H382" s="27" t="s">
        <v>199</v>
      </c>
      <c r="I382" s="42" t="n">
        <f aca="false">(D382-INDEX('Cohort Summary'!$D$5:$D$14,MATCH($A382,'Cohort Summary'!$A$5:$A$14,0)))/INDEX('Cohort Summary'!$E$5:$E$14,MATCH($A382,'Cohort Summary'!$A$5:$A$14,0))</f>
        <v>1.56134969325153</v>
      </c>
      <c r="J382" s="42" t="n">
        <f aca="false">(E382-INDEX('Cohort Summary'!$F$5:$F$14,MATCH($A382,'Cohort Summary'!$A$5:$A$14,0)))/INDEX('Cohort Summary'!$G$5:$G$14,MATCH($A382,'Cohort Summary'!$A$5:$A$14,0))</f>
        <v>-0.683962264150943</v>
      </c>
      <c r="K382" s="42" t="n">
        <f aca="false">(F382-INDEX('Cohort Summary'!$H$5:$H$14,MATCH($A382,'Cohort Summary'!$A$5:$A$14,0)))/INDEX('Cohort Summary'!$I$5:$I$14,MATCH($A382,'Cohort Summary'!$A$5:$A$14,0))</f>
        <v>-1.71768707482993</v>
      </c>
      <c r="L382" s="42" t="n">
        <f aca="false">(G382-INDEX('Cohort Summary'!$J$5:$J$14,MATCH($A382,'Cohort Summary'!$A$5:$A$14,0)))/INDEX('Cohort Summary'!$K$5:$K$14,MATCH($A382,'Cohort Summary'!$A$5:$A$14,0))</f>
        <v>-0.828125000000002</v>
      </c>
      <c r="M382" s="42" t="n">
        <f aca="false">MAX(I382:K382)</f>
        <v>1.56134969325153</v>
      </c>
      <c r="N382" s="27" t="s">
        <v>197</v>
      </c>
      <c r="O382" s="27"/>
      <c r="P382" s="27" t="str">
        <f aca="false">A382&amp;"|"&amp;N382</f>
        <v>NURSE-02|normal</v>
      </c>
    </row>
    <row r="383" customFormat="false" ht="15" hidden="false" customHeight="true" outlineLevel="0" collapsed="false">
      <c r="A383" s="27" t="s">
        <v>73</v>
      </c>
      <c r="B383" s="41" t="n">
        <v>46303.3545138889</v>
      </c>
      <c r="C383" s="27" t="s">
        <v>200</v>
      </c>
      <c r="D383" s="27" t="n">
        <v>39.6</v>
      </c>
      <c r="E383" s="27" t="n">
        <v>19.9</v>
      </c>
      <c r="F383" s="27" t="n">
        <v>27.3</v>
      </c>
      <c r="G383" s="27" t="n">
        <v>33.6</v>
      </c>
      <c r="H383" s="27" t="s">
        <v>199</v>
      </c>
      <c r="I383" s="42" t="n">
        <f aca="false">(D383-INDEX('Cohort Summary'!$D$5:$D$14,MATCH($A383,'Cohort Summary'!$A$5:$A$14,0)))/INDEX('Cohort Summary'!$E$5:$E$14,MATCH($A383,'Cohort Summary'!$A$5:$A$14,0))</f>
        <v>-1.29141104294479</v>
      </c>
      <c r="J383" s="42" t="n">
        <f aca="false">(E383-INDEX('Cohort Summary'!$F$5:$F$14,MATCH($A383,'Cohort Summary'!$A$5:$A$14,0)))/INDEX('Cohort Summary'!$G$5:$G$14,MATCH($A383,'Cohort Summary'!$A$5:$A$14,0))</f>
        <v>0.400943396226414</v>
      </c>
      <c r="K383" s="42" t="n">
        <f aca="false">(F383-INDEX('Cohort Summary'!$H$5:$H$14,MATCH($A383,'Cohort Summary'!$A$5:$A$14,0)))/INDEX('Cohort Summary'!$I$5:$I$14,MATCH($A383,'Cohort Summary'!$A$5:$A$14,0))</f>
        <v>-1.75170068027211</v>
      </c>
      <c r="L383" s="42" t="n">
        <f aca="false">(G383-INDEX('Cohort Summary'!$J$5:$J$14,MATCH($A383,'Cohort Summary'!$A$5:$A$14,0)))/INDEX('Cohort Summary'!$K$5:$K$14,MATCH($A383,'Cohort Summary'!$A$5:$A$14,0))</f>
        <v>1.203125</v>
      </c>
      <c r="M383" s="42" t="n">
        <f aca="false">MAX(I383:K383)</f>
        <v>0.400943396226414</v>
      </c>
      <c r="N383" s="27" t="s">
        <v>197</v>
      </c>
      <c r="O383" s="27"/>
      <c r="P383" s="27" t="str">
        <f aca="false">A383&amp;"|"&amp;N383</f>
        <v>NURSE-02|normal</v>
      </c>
    </row>
    <row r="384" customFormat="false" ht="15" hidden="false" customHeight="true" outlineLevel="0" collapsed="false">
      <c r="A384" s="27" t="s">
        <v>73</v>
      </c>
      <c r="B384" s="41" t="n">
        <v>46303.3548611111</v>
      </c>
      <c r="C384" s="27" t="s">
        <v>200</v>
      </c>
      <c r="D384" s="27" t="n">
        <v>46.9</v>
      </c>
      <c r="E384" s="27" t="n">
        <v>21</v>
      </c>
      <c r="F384" s="27" t="n">
        <v>33.5</v>
      </c>
      <c r="G384" s="27" t="n">
        <v>33.8</v>
      </c>
      <c r="H384" s="27" t="s">
        <v>198</v>
      </c>
      <c r="I384" s="42" t="n">
        <f aca="false">(D384-INDEX('Cohort Summary'!$D$5:$D$14,MATCH($A384,'Cohort Summary'!$A$5:$A$14,0)))/INDEX('Cohort Summary'!$E$5:$E$14,MATCH($A384,'Cohort Summary'!$A$5:$A$14,0))</f>
        <v>0.947852760736195</v>
      </c>
      <c r="J384" s="42" t="n">
        <f aca="false">(E384-INDEX('Cohort Summary'!$F$5:$F$14,MATCH($A384,'Cohort Summary'!$A$5:$A$14,0)))/INDEX('Cohort Summary'!$G$5:$G$14,MATCH($A384,'Cohort Summary'!$A$5:$A$14,0))</f>
        <v>0.919811320754717</v>
      </c>
      <c r="K384" s="42" t="n">
        <f aca="false">(F384-INDEX('Cohort Summary'!$H$5:$H$14,MATCH($A384,'Cohort Summary'!$A$5:$A$14,0)))/INDEX('Cohort Summary'!$I$5:$I$14,MATCH($A384,'Cohort Summary'!$A$5:$A$14,0))</f>
        <v>0.357142857142856</v>
      </c>
      <c r="L384" s="42" t="n">
        <f aca="false">(G384-INDEX('Cohort Summary'!$J$5:$J$14,MATCH($A384,'Cohort Summary'!$A$5:$A$14,0)))/INDEX('Cohort Summary'!$K$5:$K$14,MATCH($A384,'Cohort Summary'!$A$5:$A$14,0))</f>
        <v>1.515625</v>
      </c>
      <c r="M384" s="42" t="n">
        <f aca="false">MAX(I384:K384)</f>
        <v>0.947852760736195</v>
      </c>
      <c r="N384" s="27" t="s">
        <v>197</v>
      </c>
      <c r="O384" s="27"/>
      <c r="P384" s="27" t="str">
        <f aca="false">A384&amp;"|"&amp;N384</f>
        <v>NURSE-02|normal</v>
      </c>
    </row>
    <row r="385" customFormat="false" ht="15" hidden="false" customHeight="true" outlineLevel="0" collapsed="false">
      <c r="A385" s="27" t="s">
        <v>73</v>
      </c>
      <c r="B385" s="41" t="n">
        <v>46303.3552083333</v>
      </c>
      <c r="C385" s="27" t="s">
        <v>200</v>
      </c>
      <c r="D385" s="27" t="n">
        <v>40</v>
      </c>
      <c r="E385" s="27" t="n">
        <v>18.2</v>
      </c>
      <c r="F385" s="27" t="n">
        <v>27.1</v>
      </c>
      <c r="G385" s="27" t="n">
        <v>32.2</v>
      </c>
      <c r="H385" s="27" t="s">
        <v>196</v>
      </c>
      <c r="I385" s="42" t="n">
        <f aca="false">(D385-INDEX('Cohort Summary'!$D$5:$D$14,MATCH($A385,'Cohort Summary'!$A$5:$A$14,0)))/INDEX('Cohort Summary'!$E$5:$E$14,MATCH($A385,'Cohort Summary'!$A$5:$A$14,0))</f>
        <v>-1.16871165644172</v>
      </c>
      <c r="J385" s="42" t="n">
        <f aca="false">(E385-INDEX('Cohort Summary'!$F$5:$F$14,MATCH($A385,'Cohort Summary'!$A$5:$A$14,0)))/INDEX('Cohort Summary'!$G$5:$G$14,MATCH($A385,'Cohort Summary'!$A$5:$A$14,0))</f>
        <v>-0.400943396226416</v>
      </c>
      <c r="K385" s="42" t="n">
        <f aca="false">(F385-INDEX('Cohort Summary'!$H$5:$H$14,MATCH($A385,'Cohort Summary'!$A$5:$A$14,0)))/INDEX('Cohort Summary'!$I$5:$I$14,MATCH($A385,'Cohort Summary'!$A$5:$A$14,0))</f>
        <v>-1.81972789115646</v>
      </c>
      <c r="L385" s="42" t="n">
        <f aca="false">(G385-INDEX('Cohort Summary'!$J$5:$J$14,MATCH($A385,'Cohort Summary'!$A$5:$A$14,0)))/INDEX('Cohort Summary'!$K$5:$K$14,MATCH($A385,'Cohort Summary'!$A$5:$A$14,0))</f>
        <v>-0.984374999999993</v>
      </c>
      <c r="M385" s="42" t="n">
        <f aca="false">MAX(I385:K385)</f>
        <v>-0.400943396226416</v>
      </c>
      <c r="N385" s="27" t="s">
        <v>197</v>
      </c>
      <c r="O385" s="27"/>
      <c r="P385" s="27" t="str">
        <f aca="false">A385&amp;"|"&amp;N385</f>
        <v>NURSE-02|normal</v>
      </c>
    </row>
    <row r="386" customFormat="false" ht="15" hidden="false" customHeight="true" outlineLevel="0" collapsed="false">
      <c r="A386" s="27" t="s">
        <v>73</v>
      </c>
      <c r="B386" s="41" t="n">
        <v>46303.3555555556</v>
      </c>
      <c r="C386" s="27" t="s">
        <v>200</v>
      </c>
      <c r="D386" s="27" t="n">
        <v>42</v>
      </c>
      <c r="E386" s="27" t="n">
        <v>20.1</v>
      </c>
      <c r="F386" s="27" t="n">
        <v>34.6</v>
      </c>
      <c r="G386" s="27" t="n">
        <v>32</v>
      </c>
      <c r="H386" s="27" t="s">
        <v>199</v>
      </c>
      <c r="I386" s="42" t="n">
        <f aca="false">(D386-INDEX('Cohort Summary'!$D$5:$D$14,MATCH($A386,'Cohort Summary'!$A$5:$A$14,0)))/INDEX('Cohort Summary'!$E$5:$E$14,MATCH($A386,'Cohort Summary'!$A$5:$A$14,0))</f>
        <v>-0.555214723926381</v>
      </c>
      <c r="J386" s="42" t="n">
        <f aca="false">(E386-INDEX('Cohort Summary'!$F$5:$F$14,MATCH($A386,'Cohort Summary'!$A$5:$A$14,0)))/INDEX('Cohort Summary'!$G$5:$G$14,MATCH($A386,'Cohort Summary'!$A$5:$A$14,0))</f>
        <v>0.495283018867925</v>
      </c>
      <c r="K386" s="42" t="n">
        <f aca="false">(F386-INDEX('Cohort Summary'!$H$5:$H$14,MATCH($A386,'Cohort Summary'!$A$5:$A$14,0)))/INDEX('Cohort Summary'!$I$5:$I$14,MATCH($A386,'Cohort Summary'!$A$5:$A$14,0))</f>
        <v>0.731292517006802</v>
      </c>
      <c r="L386" s="42" t="n">
        <f aca="false">(G386-INDEX('Cohort Summary'!$J$5:$J$14,MATCH($A386,'Cohort Summary'!$A$5:$A$14,0)))/INDEX('Cohort Summary'!$K$5:$K$14,MATCH($A386,'Cohort Summary'!$A$5:$A$14,0))</f>
        <v>-1.296875</v>
      </c>
      <c r="M386" s="42" t="n">
        <f aca="false">MAX(I386:K386)</f>
        <v>0.731292517006802</v>
      </c>
      <c r="N386" s="27" t="s">
        <v>197</v>
      </c>
      <c r="O386" s="27"/>
      <c r="P386" s="27" t="str">
        <f aca="false">A386&amp;"|"&amp;N386</f>
        <v>NURSE-02|normal</v>
      </c>
    </row>
    <row r="387" customFormat="false" ht="15" hidden="false" customHeight="true" outlineLevel="0" collapsed="false">
      <c r="A387" s="27" t="s">
        <v>73</v>
      </c>
      <c r="B387" s="41" t="n">
        <v>46303.3559027778</v>
      </c>
      <c r="C387" s="27" t="s">
        <v>200</v>
      </c>
      <c r="D387" s="27" t="n">
        <v>42.7</v>
      </c>
      <c r="E387" s="27" t="n">
        <v>18.7</v>
      </c>
      <c r="F387" s="27" t="n">
        <v>30.7</v>
      </c>
      <c r="G387" s="27" t="n">
        <v>32.6</v>
      </c>
      <c r="H387" s="27" t="s">
        <v>199</v>
      </c>
      <c r="I387" s="42" t="n">
        <f aca="false">(D387-INDEX('Cohort Summary'!$D$5:$D$14,MATCH($A387,'Cohort Summary'!$A$5:$A$14,0)))/INDEX('Cohort Summary'!$E$5:$E$14,MATCH($A387,'Cohort Summary'!$A$5:$A$14,0))</f>
        <v>-0.340490797546012</v>
      </c>
      <c r="J387" s="42" t="n">
        <f aca="false">(E387-INDEX('Cohort Summary'!$F$5:$F$14,MATCH($A387,'Cohort Summary'!$A$5:$A$14,0)))/INDEX('Cohort Summary'!$G$5:$G$14,MATCH($A387,'Cohort Summary'!$A$5:$A$14,0))</f>
        <v>-0.165094339622642</v>
      </c>
      <c r="K387" s="42" t="n">
        <f aca="false">(F387-INDEX('Cohort Summary'!$H$5:$H$14,MATCH($A387,'Cohort Summary'!$A$5:$A$14,0)))/INDEX('Cohort Summary'!$I$5:$I$14,MATCH($A387,'Cohort Summary'!$A$5:$A$14,0))</f>
        <v>-0.595238095238097</v>
      </c>
      <c r="L387" s="42" t="n">
        <f aca="false">(G387-INDEX('Cohort Summary'!$J$5:$J$14,MATCH($A387,'Cohort Summary'!$A$5:$A$14,0)))/INDEX('Cohort Summary'!$K$5:$K$14,MATCH($A387,'Cohort Summary'!$A$5:$A$14,0))</f>
        <v>-0.359374999999995</v>
      </c>
      <c r="M387" s="42" t="n">
        <f aca="false">MAX(I387:K387)</f>
        <v>-0.165094339622642</v>
      </c>
      <c r="N387" s="27" t="s">
        <v>197</v>
      </c>
      <c r="O387" s="27"/>
      <c r="P387" s="27" t="str">
        <f aca="false">A387&amp;"|"&amp;N387</f>
        <v>NURSE-02|normal</v>
      </c>
    </row>
    <row r="388" customFormat="false" ht="15" hidden="false" customHeight="true" outlineLevel="0" collapsed="false">
      <c r="A388" s="27" t="s">
        <v>73</v>
      </c>
      <c r="B388" s="41" t="n">
        <v>46303.35625</v>
      </c>
      <c r="C388" s="27" t="s">
        <v>200</v>
      </c>
      <c r="D388" s="27" t="n">
        <v>41.4</v>
      </c>
      <c r="E388" s="27" t="n">
        <v>17</v>
      </c>
      <c r="F388" s="27" t="n">
        <v>33.8</v>
      </c>
      <c r="G388" s="27" t="n">
        <v>31.8</v>
      </c>
      <c r="H388" s="27" t="s">
        <v>196</v>
      </c>
      <c r="I388" s="42" t="n">
        <f aca="false">(D388-INDEX('Cohort Summary'!$D$5:$D$14,MATCH($A388,'Cohort Summary'!$A$5:$A$14,0)))/INDEX('Cohort Summary'!$E$5:$E$14,MATCH($A388,'Cohort Summary'!$A$5:$A$14,0))</f>
        <v>-0.739263803680983</v>
      </c>
      <c r="J388" s="42" t="n">
        <f aca="false">(E388-INDEX('Cohort Summary'!$F$5:$F$14,MATCH($A388,'Cohort Summary'!$A$5:$A$14,0)))/INDEX('Cohort Summary'!$G$5:$G$14,MATCH($A388,'Cohort Summary'!$A$5:$A$14,0))</f>
        <v>-0.966981132075472</v>
      </c>
      <c r="K388" s="42" t="n">
        <f aca="false">(F388-INDEX('Cohort Summary'!$H$5:$H$14,MATCH($A388,'Cohort Summary'!$A$5:$A$14,0)))/INDEX('Cohort Summary'!$I$5:$I$14,MATCH($A388,'Cohort Summary'!$A$5:$A$14,0))</f>
        <v>0.459183673469386</v>
      </c>
      <c r="L388" s="42" t="n">
        <f aca="false">(G388-INDEX('Cohort Summary'!$J$5:$J$14,MATCH($A388,'Cohort Summary'!$A$5:$A$14,0)))/INDEX('Cohort Summary'!$K$5:$K$14,MATCH($A388,'Cohort Summary'!$A$5:$A$14,0))</f>
        <v>-1.609375</v>
      </c>
      <c r="M388" s="42" t="n">
        <f aca="false">MAX(I388:K388)</f>
        <v>0.459183673469386</v>
      </c>
      <c r="N388" s="27" t="s">
        <v>197</v>
      </c>
      <c r="O388" s="27"/>
      <c r="P388" s="27" t="str">
        <f aca="false">A388&amp;"|"&amp;N388</f>
        <v>NURSE-02|normal</v>
      </c>
    </row>
    <row r="389" customFormat="false" ht="15" hidden="false" customHeight="true" outlineLevel="0" collapsed="false">
      <c r="A389" s="27" t="s">
        <v>73</v>
      </c>
      <c r="B389" s="41" t="n">
        <v>46303.3565972222</v>
      </c>
      <c r="C389" s="27" t="s">
        <v>200</v>
      </c>
      <c r="D389" s="27" t="n">
        <v>48.1</v>
      </c>
      <c r="E389" s="27" t="n">
        <v>21.6</v>
      </c>
      <c r="F389" s="27" t="n">
        <v>28.6</v>
      </c>
      <c r="G389" s="27" t="n">
        <v>33.5</v>
      </c>
      <c r="H389" s="27" t="s">
        <v>198</v>
      </c>
      <c r="I389" s="42" t="n">
        <f aca="false">(D389-INDEX('Cohort Summary'!$D$5:$D$14,MATCH($A389,'Cohort Summary'!$A$5:$A$14,0)))/INDEX('Cohort Summary'!$E$5:$E$14,MATCH($A389,'Cohort Summary'!$A$5:$A$14,0))</f>
        <v>1.3159509202454</v>
      </c>
      <c r="J389" s="42" t="n">
        <f aca="false">(E389-INDEX('Cohort Summary'!$F$5:$F$14,MATCH($A389,'Cohort Summary'!$A$5:$A$14,0)))/INDEX('Cohort Summary'!$G$5:$G$14,MATCH($A389,'Cohort Summary'!$A$5:$A$14,0))</f>
        <v>1.20283018867925</v>
      </c>
      <c r="K389" s="42" t="n">
        <f aca="false">(F389-INDEX('Cohort Summary'!$H$5:$H$14,MATCH($A389,'Cohort Summary'!$A$5:$A$14,0)))/INDEX('Cohort Summary'!$I$5:$I$14,MATCH($A389,'Cohort Summary'!$A$5:$A$14,0))</f>
        <v>-1.30952380952381</v>
      </c>
      <c r="L389" s="42" t="n">
        <f aca="false">(G389-INDEX('Cohort Summary'!$J$5:$J$14,MATCH($A389,'Cohort Summary'!$A$5:$A$14,0)))/INDEX('Cohort Summary'!$K$5:$K$14,MATCH($A389,'Cohort Summary'!$A$5:$A$14,0))</f>
        <v>1.046875</v>
      </c>
      <c r="M389" s="42" t="n">
        <f aca="false">MAX(I389:K389)</f>
        <v>1.3159509202454</v>
      </c>
      <c r="N389" s="27" t="s">
        <v>197</v>
      </c>
      <c r="O389" s="27"/>
      <c r="P389" s="27" t="str">
        <f aca="false">A389&amp;"|"&amp;N389</f>
        <v>NURSE-02|normal</v>
      </c>
    </row>
    <row r="390" customFormat="false" ht="15" hidden="false" customHeight="true" outlineLevel="0" collapsed="false">
      <c r="A390" s="27" t="s">
        <v>73</v>
      </c>
      <c r="B390" s="41" t="n">
        <v>46303.3569444444</v>
      </c>
      <c r="C390" s="27" t="s">
        <v>200</v>
      </c>
      <c r="D390" s="27" t="n">
        <v>48.3</v>
      </c>
      <c r="E390" s="27" t="n">
        <v>22.1</v>
      </c>
      <c r="F390" s="27" t="n">
        <v>35.9</v>
      </c>
      <c r="G390" s="27" t="n">
        <v>32.1</v>
      </c>
      <c r="H390" s="27" t="s">
        <v>199</v>
      </c>
      <c r="I390" s="42" t="n">
        <f aca="false">(D390-INDEX('Cohort Summary'!$D$5:$D$14,MATCH($A390,'Cohort Summary'!$A$5:$A$14,0)))/INDEX('Cohort Summary'!$E$5:$E$14,MATCH($A390,'Cohort Summary'!$A$5:$A$14,0))</f>
        <v>1.37730061349693</v>
      </c>
      <c r="J390" s="42" t="n">
        <f aca="false">(E390-INDEX('Cohort Summary'!$F$5:$F$14,MATCH($A390,'Cohort Summary'!$A$5:$A$14,0)))/INDEX('Cohort Summary'!$G$5:$G$14,MATCH($A390,'Cohort Summary'!$A$5:$A$14,0))</f>
        <v>1.43867924528302</v>
      </c>
      <c r="K390" s="42" t="n">
        <f aca="false">(F390-INDEX('Cohort Summary'!$H$5:$H$14,MATCH($A390,'Cohort Summary'!$A$5:$A$14,0)))/INDEX('Cohort Summary'!$I$5:$I$14,MATCH($A390,'Cohort Summary'!$A$5:$A$14,0))</f>
        <v>1.1734693877551</v>
      </c>
      <c r="L390" s="42" t="n">
        <f aca="false">(G390-INDEX('Cohort Summary'!$J$5:$J$14,MATCH($A390,'Cohort Summary'!$A$5:$A$14,0)))/INDEX('Cohort Summary'!$K$5:$K$14,MATCH($A390,'Cohort Summary'!$A$5:$A$14,0))</f>
        <v>-1.140625</v>
      </c>
      <c r="M390" s="42" t="n">
        <f aca="false">MAX(I390:K390)</f>
        <v>1.43867924528302</v>
      </c>
      <c r="N390" s="27" t="s">
        <v>197</v>
      </c>
      <c r="O390" s="27"/>
      <c r="P390" s="27" t="str">
        <f aca="false">A390&amp;"|"&amp;N390</f>
        <v>NURSE-02|normal</v>
      </c>
    </row>
    <row r="391" customFormat="false" ht="15" hidden="false" customHeight="true" outlineLevel="0" collapsed="false">
      <c r="A391" s="27" t="s">
        <v>73</v>
      </c>
      <c r="B391" s="41" t="n">
        <v>46303.3572916667</v>
      </c>
      <c r="C391" s="27" t="s">
        <v>200</v>
      </c>
      <c r="D391" s="27" t="n">
        <v>48.6</v>
      </c>
      <c r="E391" s="27" t="n">
        <v>22.5</v>
      </c>
      <c r="F391" s="27" t="n">
        <v>30.9</v>
      </c>
      <c r="G391" s="27" t="n">
        <v>31.8</v>
      </c>
      <c r="H391" s="27" t="s">
        <v>198</v>
      </c>
      <c r="I391" s="42" t="n">
        <f aca="false">(D391-INDEX('Cohort Summary'!$D$5:$D$14,MATCH($A391,'Cohort Summary'!$A$5:$A$14,0)))/INDEX('Cohort Summary'!$E$5:$E$14,MATCH($A391,'Cohort Summary'!$A$5:$A$14,0))</f>
        <v>1.46932515337423</v>
      </c>
      <c r="J391" s="42" t="n">
        <f aca="false">(E391-INDEX('Cohort Summary'!$F$5:$F$14,MATCH($A391,'Cohort Summary'!$A$5:$A$14,0)))/INDEX('Cohort Summary'!$G$5:$G$14,MATCH($A391,'Cohort Summary'!$A$5:$A$14,0))</f>
        <v>1.62735849056604</v>
      </c>
      <c r="K391" s="42" t="n">
        <f aca="false">(F391-INDEX('Cohort Summary'!$H$5:$H$14,MATCH($A391,'Cohort Summary'!$A$5:$A$14,0)))/INDEX('Cohort Summary'!$I$5:$I$14,MATCH($A391,'Cohort Summary'!$A$5:$A$14,0))</f>
        <v>-0.527210884353743</v>
      </c>
      <c r="L391" s="42" t="n">
        <f aca="false">(G391-INDEX('Cohort Summary'!$J$5:$J$14,MATCH($A391,'Cohort Summary'!$A$5:$A$14,0)))/INDEX('Cohort Summary'!$K$5:$K$14,MATCH($A391,'Cohort Summary'!$A$5:$A$14,0))</f>
        <v>-1.609375</v>
      </c>
      <c r="M391" s="42" t="n">
        <f aca="false">MAX(I391:K391)</f>
        <v>1.62735849056604</v>
      </c>
      <c r="N391" s="27" t="s">
        <v>197</v>
      </c>
      <c r="O391" s="27"/>
      <c r="P391" s="27" t="str">
        <f aca="false">A391&amp;"|"&amp;N391</f>
        <v>NURSE-02|normal</v>
      </c>
    </row>
    <row r="392" customFormat="false" ht="15" hidden="false" customHeight="true" outlineLevel="0" collapsed="false">
      <c r="A392" s="27" t="s">
        <v>73</v>
      </c>
      <c r="B392" s="41" t="n">
        <v>46303.3576388889</v>
      </c>
      <c r="C392" s="27" t="s">
        <v>200</v>
      </c>
      <c r="D392" s="27" t="n">
        <v>43.5</v>
      </c>
      <c r="E392" s="27" t="n">
        <v>18.4</v>
      </c>
      <c r="F392" s="27" t="n">
        <v>35.2</v>
      </c>
      <c r="G392" s="27" t="n">
        <v>32.8</v>
      </c>
      <c r="H392" s="27" t="s">
        <v>196</v>
      </c>
      <c r="I392" s="42" t="n">
        <f aca="false">(D392-INDEX('Cohort Summary'!$D$5:$D$14,MATCH($A392,'Cohort Summary'!$A$5:$A$14,0)))/INDEX('Cohort Summary'!$E$5:$E$14,MATCH($A392,'Cohort Summary'!$A$5:$A$14,0))</f>
        <v>-0.095092024539878</v>
      </c>
      <c r="J392" s="42" t="n">
        <f aca="false">(E392-INDEX('Cohort Summary'!$F$5:$F$14,MATCH($A392,'Cohort Summary'!$A$5:$A$14,0)))/INDEX('Cohort Summary'!$G$5:$G$14,MATCH($A392,'Cohort Summary'!$A$5:$A$14,0))</f>
        <v>-0.306603773584907</v>
      </c>
      <c r="K392" s="42" t="n">
        <f aca="false">(F392-INDEX('Cohort Summary'!$H$5:$H$14,MATCH($A392,'Cohort Summary'!$A$5:$A$14,0)))/INDEX('Cohort Summary'!$I$5:$I$14,MATCH($A392,'Cohort Summary'!$A$5:$A$14,0))</f>
        <v>0.935374149659864</v>
      </c>
      <c r="L392" s="42" t="n">
        <f aca="false">(G392-INDEX('Cohort Summary'!$J$5:$J$14,MATCH($A392,'Cohort Summary'!$A$5:$A$14,0)))/INDEX('Cohort Summary'!$K$5:$K$14,MATCH($A392,'Cohort Summary'!$A$5:$A$14,0))</f>
        <v>-0.0468750000000018</v>
      </c>
      <c r="M392" s="42" t="n">
        <f aca="false">MAX(I392:K392)</f>
        <v>0.935374149659864</v>
      </c>
      <c r="N392" s="27" t="s">
        <v>197</v>
      </c>
      <c r="O392" s="27"/>
      <c r="P392" s="27" t="str">
        <f aca="false">A392&amp;"|"&amp;N392</f>
        <v>NURSE-02|normal</v>
      </c>
    </row>
    <row r="393" customFormat="false" ht="15" hidden="false" customHeight="true" outlineLevel="0" collapsed="false">
      <c r="A393" s="27" t="s">
        <v>73</v>
      </c>
      <c r="B393" s="41" t="n">
        <v>46303.3579861111</v>
      </c>
      <c r="C393" s="27" t="s">
        <v>200</v>
      </c>
      <c r="D393" s="27" t="n">
        <v>42.7</v>
      </c>
      <c r="E393" s="27" t="n">
        <v>18.3</v>
      </c>
      <c r="F393" s="27" t="n">
        <v>34.4</v>
      </c>
      <c r="G393" s="27" t="n">
        <v>32.2</v>
      </c>
      <c r="H393" s="27" t="s">
        <v>199</v>
      </c>
      <c r="I393" s="42" t="n">
        <f aca="false">(D393-INDEX('Cohort Summary'!$D$5:$D$14,MATCH($A393,'Cohort Summary'!$A$5:$A$14,0)))/INDEX('Cohort Summary'!$E$5:$E$14,MATCH($A393,'Cohort Summary'!$A$5:$A$14,0))</f>
        <v>-0.340490797546012</v>
      </c>
      <c r="J393" s="42" t="n">
        <f aca="false">(E393-INDEX('Cohort Summary'!$F$5:$F$14,MATCH($A393,'Cohort Summary'!$A$5:$A$14,0)))/INDEX('Cohort Summary'!$G$5:$G$14,MATCH($A393,'Cohort Summary'!$A$5:$A$14,0))</f>
        <v>-0.35377358490566</v>
      </c>
      <c r="K393" s="42" t="n">
        <f aca="false">(F393-INDEX('Cohort Summary'!$H$5:$H$14,MATCH($A393,'Cohort Summary'!$A$5:$A$14,0)))/INDEX('Cohort Summary'!$I$5:$I$14,MATCH($A393,'Cohort Summary'!$A$5:$A$14,0))</f>
        <v>0.663265306122448</v>
      </c>
      <c r="L393" s="42" t="n">
        <f aca="false">(G393-INDEX('Cohort Summary'!$J$5:$J$14,MATCH($A393,'Cohort Summary'!$A$5:$A$14,0)))/INDEX('Cohort Summary'!$K$5:$K$14,MATCH($A393,'Cohort Summary'!$A$5:$A$14,0))</f>
        <v>-0.984374999999993</v>
      </c>
      <c r="M393" s="42" t="n">
        <f aca="false">MAX(I393:K393)</f>
        <v>0.663265306122448</v>
      </c>
      <c r="N393" s="27" t="s">
        <v>197</v>
      </c>
      <c r="O393" s="27"/>
      <c r="P393" s="27" t="str">
        <f aca="false">A393&amp;"|"&amp;N393</f>
        <v>NURSE-02|normal</v>
      </c>
    </row>
    <row r="394" customFormat="false" ht="15" hidden="false" customHeight="true" outlineLevel="0" collapsed="false">
      <c r="A394" s="27" t="s">
        <v>73</v>
      </c>
      <c r="B394" s="41" t="n">
        <v>46303.3583333333</v>
      </c>
      <c r="C394" s="27" t="s">
        <v>200</v>
      </c>
      <c r="D394" s="27" t="n">
        <v>44.5</v>
      </c>
      <c r="E394" s="27" t="n">
        <v>17</v>
      </c>
      <c r="F394" s="27" t="n">
        <v>35.7</v>
      </c>
      <c r="G394" s="27" t="n">
        <v>32.3</v>
      </c>
      <c r="H394" s="27" t="s">
        <v>199</v>
      </c>
      <c r="I394" s="42" t="n">
        <f aca="false">(D394-INDEX('Cohort Summary'!$D$5:$D$14,MATCH($A394,'Cohort Summary'!$A$5:$A$14,0)))/INDEX('Cohort Summary'!$E$5:$E$14,MATCH($A394,'Cohort Summary'!$A$5:$A$14,0))</f>
        <v>0.211656441717791</v>
      </c>
      <c r="J394" s="42" t="n">
        <f aca="false">(E394-INDEX('Cohort Summary'!$F$5:$F$14,MATCH($A394,'Cohort Summary'!$A$5:$A$14,0)))/INDEX('Cohort Summary'!$G$5:$G$14,MATCH($A394,'Cohort Summary'!$A$5:$A$14,0))</f>
        <v>-0.966981132075472</v>
      </c>
      <c r="K394" s="42" t="n">
        <f aca="false">(F394-INDEX('Cohort Summary'!$H$5:$H$14,MATCH($A394,'Cohort Summary'!$A$5:$A$14,0)))/INDEX('Cohort Summary'!$I$5:$I$14,MATCH($A394,'Cohort Summary'!$A$5:$A$14,0))</f>
        <v>1.10544217687075</v>
      </c>
      <c r="L394" s="42" t="n">
        <f aca="false">(G394-INDEX('Cohort Summary'!$J$5:$J$14,MATCH($A394,'Cohort Summary'!$A$5:$A$14,0)))/INDEX('Cohort Summary'!$K$5:$K$14,MATCH($A394,'Cohort Summary'!$A$5:$A$14,0))</f>
        <v>-0.828125000000002</v>
      </c>
      <c r="M394" s="42" t="n">
        <f aca="false">MAX(I394:K394)</f>
        <v>1.10544217687075</v>
      </c>
      <c r="N394" s="27" t="s">
        <v>197</v>
      </c>
      <c r="O394" s="27"/>
      <c r="P394" s="27" t="str">
        <f aca="false">A394&amp;"|"&amp;N394</f>
        <v>NURSE-02|normal</v>
      </c>
    </row>
    <row r="395" customFormat="false" ht="15" hidden="false" customHeight="true" outlineLevel="0" collapsed="false">
      <c r="A395" s="27" t="s">
        <v>73</v>
      </c>
      <c r="B395" s="41" t="n">
        <v>46303.3586805556</v>
      </c>
      <c r="C395" s="27" t="s">
        <v>200</v>
      </c>
      <c r="D395" s="27" t="n">
        <v>41.5</v>
      </c>
      <c r="E395" s="27" t="n">
        <v>16.2</v>
      </c>
      <c r="F395" s="27" t="n">
        <v>32.7</v>
      </c>
      <c r="G395" s="27" t="n">
        <v>32.4</v>
      </c>
      <c r="H395" s="27" t="s">
        <v>198</v>
      </c>
      <c r="I395" s="42" t="n">
        <f aca="false">(D395-INDEX('Cohort Summary'!$D$5:$D$14,MATCH($A395,'Cohort Summary'!$A$5:$A$14,0)))/INDEX('Cohort Summary'!$E$5:$E$14,MATCH($A395,'Cohort Summary'!$A$5:$A$14,0))</f>
        <v>-0.708588957055216</v>
      </c>
      <c r="J395" s="42" t="n">
        <f aca="false">(E395-INDEX('Cohort Summary'!$F$5:$F$14,MATCH($A395,'Cohort Summary'!$A$5:$A$14,0)))/INDEX('Cohort Summary'!$G$5:$G$14,MATCH($A395,'Cohort Summary'!$A$5:$A$14,0))</f>
        <v>-1.34433962264151</v>
      </c>
      <c r="K395" s="42" t="n">
        <f aca="false">(F395-INDEX('Cohort Summary'!$H$5:$H$14,MATCH($A395,'Cohort Summary'!$A$5:$A$14,0)))/INDEX('Cohort Summary'!$I$5:$I$14,MATCH($A395,'Cohort Summary'!$A$5:$A$14,0))</f>
        <v>0.0850340136054422</v>
      </c>
      <c r="L395" s="42" t="n">
        <f aca="false">(G395-INDEX('Cohort Summary'!$J$5:$J$14,MATCH($A395,'Cohort Summary'!$A$5:$A$14,0)))/INDEX('Cohort Summary'!$K$5:$K$14,MATCH($A395,'Cohort Summary'!$A$5:$A$14,0))</f>
        <v>-0.671875</v>
      </c>
      <c r="M395" s="42" t="n">
        <f aca="false">MAX(I395:K395)</f>
        <v>0.0850340136054422</v>
      </c>
      <c r="N395" s="27" t="s">
        <v>197</v>
      </c>
      <c r="O395" s="27"/>
      <c r="P395" s="27" t="str">
        <f aca="false">A395&amp;"|"&amp;N395</f>
        <v>NURSE-02|normal</v>
      </c>
    </row>
    <row r="396" customFormat="false" ht="15" hidden="false" customHeight="true" outlineLevel="0" collapsed="false">
      <c r="A396" s="27" t="s">
        <v>73</v>
      </c>
      <c r="B396" s="41" t="n">
        <v>46303.3590277778</v>
      </c>
      <c r="C396" s="27" t="s">
        <v>200</v>
      </c>
      <c r="D396" s="27" t="n">
        <v>41.6</v>
      </c>
      <c r="E396" s="27" t="n">
        <v>16.8</v>
      </c>
      <c r="F396" s="27" t="n">
        <v>31.6</v>
      </c>
      <c r="G396" s="27" t="n">
        <v>32.8</v>
      </c>
      <c r="H396" s="27" t="s">
        <v>198</v>
      </c>
      <c r="I396" s="42" t="n">
        <f aca="false">(D396-INDEX('Cohort Summary'!$D$5:$D$14,MATCH($A396,'Cohort Summary'!$A$5:$A$14,0)))/INDEX('Cohort Summary'!$E$5:$E$14,MATCH($A396,'Cohort Summary'!$A$5:$A$14,0))</f>
        <v>-0.677914110429448</v>
      </c>
      <c r="J396" s="42" t="n">
        <f aca="false">(E396-INDEX('Cohort Summary'!$F$5:$F$14,MATCH($A396,'Cohort Summary'!$A$5:$A$14,0)))/INDEX('Cohort Summary'!$G$5:$G$14,MATCH($A396,'Cohort Summary'!$A$5:$A$14,0))</f>
        <v>-1.06132075471698</v>
      </c>
      <c r="K396" s="42" t="n">
        <f aca="false">(F396-INDEX('Cohort Summary'!$H$5:$H$14,MATCH($A396,'Cohort Summary'!$A$5:$A$14,0)))/INDEX('Cohort Summary'!$I$5:$I$14,MATCH($A396,'Cohort Summary'!$A$5:$A$14,0))</f>
        <v>-0.289115646258504</v>
      </c>
      <c r="L396" s="42" t="n">
        <f aca="false">(G396-INDEX('Cohort Summary'!$J$5:$J$14,MATCH($A396,'Cohort Summary'!$A$5:$A$14,0)))/INDEX('Cohort Summary'!$K$5:$K$14,MATCH($A396,'Cohort Summary'!$A$5:$A$14,0))</f>
        <v>-0.0468750000000018</v>
      </c>
      <c r="M396" s="42" t="n">
        <f aca="false">MAX(I396:K396)</f>
        <v>-0.289115646258504</v>
      </c>
      <c r="N396" s="27" t="s">
        <v>197</v>
      </c>
      <c r="O396" s="27"/>
      <c r="P396" s="27" t="str">
        <f aca="false">A396&amp;"|"&amp;N396</f>
        <v>NURSE-02|normal</v>
      </c>
    </row>
    <row r="397" customFormat="false" ht="15" hidden="false" customHeight="true" outlineLevel="0" collapsed="false">
      <c r="A397" s="27" t="s">
        <v>73</v>
      </c>
      <c r="B397" s="41" t="n">
        <v>46303.359375</v>
      </c>
      <c r="C397" s="27" t="s">
        <v>200</v>
      </c>
      <c r="D397" s="27" t="n">
        <v>48.8</v>
      </c>
      <c r="E397" s="27" t="n">
        <v>16.4</v>
      </c>
      <c r="F397" s="27" t="n">
        <v>36</v>
      </c>
      <c r="G397" s="27" t="n">
        <v>33.1</v>
      </c>
      <c r="H397" s="27" t="s">
        <v>198</v>
      </c>
      <c r="I397" s="42" t="n">
        <f aca="false">(D397-INDEX('Cohort Summary'!$D$5:$D$14,MATCH($A397,'Cohort Summary'!$A$5:$A$14,0)))/INDEX('Cohort Summary'!$E$5:$E$14,MATCH($A397,'Cohort Summary'!$A$5:$A$14,0))</f>
        <v>1.53067484662577</v>
      </c>
      <c r="J397" s="42" t="n">
        <f aca="false">(E397-INDEX('Cohort Summary'!$F$5:$F$14,MATCH($A397,'Cohort Summary'!$A$5:$A$14,0)))/INDEX('Cohort Summary'!$G$5:$G$14,MATCH($A397,'Cohort Summary'!$A$5:$A$14,0))</f>
        <v>-1.25</v>
      </c>
      <c r="K397" s="42" t="n">
        <f aca="false">(F397-INDEX('Cohort Summary'!$H$5:$H$14,MATCH($A397,'Cohort Summary'!$A$5:$A$14,0)))/INDEX('Cohort Summary'!$I$5:$I$14,MATCH($A397,'Cohort Summary'!$A$5:$A$14,0))</f>
        <v>1.20748299319728</v>
      </c>
      <c r="L397" s="42" t="n">
        <f aca="false">(G397-INDEX('Cohort Summary'!$J$5:$J$14,MATCH($A397,'Cohort Summary'!$A$5:$A$14,0)))/INDEX('Cohort Summary'!$K$5:$K$14,MATCH($A397,'Cohort Summary'!$A$5:$A$14,0))</f>
        <v>0.421875000000005</v>
      </c>
      <c r="M397" s="42" t="n">
        <f aca="false">MAX(I397:K397)</f>
        <v>1.53067484662577</v>
      </c>
      <c r="N397" s="27" t="s">
        <v>197</v>
      </c>
      <c r="O397" s="27"/>
      <c r="P397" s="27" t="str">
        <f aca="false">A397&amp;"|"&amp;N397</f>
        <v>NURSE-02|normal</v>
      </c>
    </row>
    <row r="398" customFormat="false" ht="15" hidden="false" customHeight="true" outlineLevel="0" collapsed="false">
      <c r="A398" s="27" t="s">
        <v>73</v>
      </c>
      <c r="B398" s="41" t="n">
        <v>46303.3597222222</v>
      </c>
      <c r="C398" s="27" t="s">
        <v>200</v>
      </c>
      <c r="D398" s="27" t="n">
        <v>44.6</v>
      </c>
      <c r="E398" s="27" t="n">
        <v>21.8</v>
      </c>
      <c r="F398" s="27" t="n">
        <v>28.2</v>
      </c>
      <c r="G398" s="27" t="n">
        <v>33.3</v>
      </c>
      <c r="H398" s="27" t="s">
        <v>199</v>
      </c>
      <c r="I398" s="42" t="n">
        <f aca="false">(D398-INDEX('Cohort Summary'!$D$5:$D$14,MATCH($A398,'Cohort Summary'!$A$5:$A$14,0)))/INDEX('Cohort Summary'!$E$5:$E$14,MATCH($A398,'Cohort Summary'!$A$5:$A$14,0))</f>
        <v>0.242331288343558</v>
      </c>
      <c r="J398" s="42" t="n">
        <f aca="false">(E398-INDEX('Cohort Summary'!$F$5:$F$14,MATCH($A398,'Cohort Summary'!$A$5:$A$14,0)))/INDEX('Cohort Summary'!$G$5:$G$14,MATCH($A398,'Cohort Summary'!$A$5:$A$14,0))</f>
        <v>1.29716981132075</v>
      </c>
      <c r="K398" s="42" t="n">
        <f aca="false">(F398-INDEX('Cohort Summary'!$H$5:$H$14,MATCH($A398,'Cohort Summary'!$A$5:$A$14,0)))/INDEX('Cohort Summary'!$I$5:$I$14,MATCH($A398,'Cohort Summary'!$A$5:$A$14,0))</f>
        <v>-1.44557823129252</v>
      </c>
      <c r="L398" s="42" t="n">
        <f aca="false">(G398-INDEX('Cohort Summary'!$J$5:$J$14,MATCH($A398,'Cohort Summary'!$A$5:$A$14,0)))/INDEX('Cohort Summary'!$K$5:$K$14,MATCH($A398,'Cohort Summary'!$A$5:$A$14,0))</f>
        <v>0.734374999999998</v>
      </c>
      <c r="M398" s="42" t="n">
        <f aca="false">MAX(I398:K398)</f>
        <v>1.29716981132075</v>
      </c>
      <c r="N398" s="27" t="s">
        <v>197</v>
      </c>
      <c r="O398" s="27"/>
      <c r="P398" s="27" t="str">
        <f aca="false">A398&amp;"|"&amp;N398</f>
        <v>NURSE-02|normal</v>
      </c>
    </row>
    <row r="399" customFormat="false" ht="15" hidden="false" customHeight="true" outlineLevel="0" collapsed="false">
      <c r="A399" s="27" t="s">
        <v>73</v>
      </c>
      <c r="B399" s="41" t="n">
        <v>46303.3600694445</v>
      </c>
      <c r="C399" s="27" t="s">
        <v>200</v>
      </c>
      <c r="D399" s="27" t="n">
        <v>43.3</v>
      </c>
      <c r="E399" s="27" t="n">
        <v>17.8</v>
      </c>
      <c r="F399" s="27" t="n">
        <v>29.4</v>
      </c>
      <c r="G399" s="27" t="n">
        <v>32.3</v>
      </c>
      <c r="H399" s="27" t="s">
        <v>199</v>
      </c>
      <c r="I399" s="42" t="n">
        <f aca="false">(D399-INDEX('Cohort Summary'!$D$5:$D$14,MATCH($A399,'Cohort Summary'!$A$5:$A$14,0)))/INDEX('Cohort Summary'!$E$5:$E$14,MATCH($A399,'Cohort Summary'!$A$5:$A$14,0))</f>
        <v>-0.156441717791413</v>
      </c>
      <c r="J399" s="42" t="n">
        <f aca="false">(E399-INDEX('Cohort Summary'!$F$5:$F$14,MATCH($A399,'Cohort Summary'!$A$5:$A$14,0)))/INDEX('Cohort Summary'!$G$5:$G$14,MATCH($A399,'Cohort Summary'!$A$5:$A$14,0))</f>
        <v>-0.589622641509434</v>
      </c>
      <c r="K399" s="42" t="n">
        <f aca="false">(F399-INDEX('Cohort Summary'!$H$5:$H$14,MATCH($A399,'Cohort Summary'!$A$5:$A$14,0)))/INDEX('Cohort Summary'!$I$5:$I$14,MATCH($A399,'Cohort Summary'!$A$5:$A$14,0))</f>
        <v>-1.0374149659864</v>
      </c>
      <c r="L399" s="42" t="n">
        <f aca="false">(G399-INDEX('Cohort Summary'!$J$5:$J$14,MATCH($A399,'Cohort Summary'!$A$5:$A$14,0)))/INDEX('Cohort Summary'!$K$5:$K$14,MATCH($A399,'Cohort Summary'!$A$5:$A$14,0))</f>
        <v>-0.828125000000002</v>
      </c>
      <c r="M399" s="42" t="n">
        <f aca="false">MAX(I399:K399)</f>
        <v>-0.156441717791413</v>
      </c>
      <c r="N399" s="27" t="s">
        <v>197</v>
      </c>
      <c r="O399" s="27"/>
      <c r="P399" s="27" t="str">
        <f aca="false">A399&amp;"|"&amp;N399</f>
        <v>NURSE-02|normal</v>
      </c>
    </row>
    <row r="400" customFormat="false" ht="15" hidden="false" customHeight="true" outlineLevel="0" collapsed="false">
      <c r="A400" s="27" t="s">
        <v>73</v>
      </c>
      <c r="B400" s="41" t="n">
        <v>46303.3604166667</v>
      </c>
      <c r="C400" s="27" t="s">
        <v>200</v>
      </c>
      <c r="D400" s="27" t="n">
        <v>41.9</v>
      </c>
      <c r="E400" s="27" t="n">
        <v>22.3</v>
      </c>
      <c r="F400" s="27" t="n">
        <v>27.6</v>
      </c>
      <c r="G400" s="27" t="n">
        <v>33.3</v>
      </c>
      <c r="H400" s="27" t="s">
        <v>199</v>
      </c>
      <c r="I400" s="42" t="n">
        <f aca="false">(D400-INDEX('Cohort Summary'!$D$5:$D$14,MATCH($A400,'Cohort Summary'!$A$5:$A$14,0)))/INDEX('Cohort Summary'!$E$5:$E$14,MATCH($A400,'Cohort Summary'!$A$5:$A$14,0))</f>
        <v>-0.585889570552148</v>
      </c>
      <c r="J400" s="42" t="n">
        <f aca="false">(E400-INDEX('Cohort Summary'!$F$5:$F$14,MATCH($A400,'Cohort Summary'!$A$5:$A$14,0)))/INDEX('Cohort Summary'!$G$5:$G$14,MATCH($A400,'Cohort Summary'!$A$5:$A$14,0))</f>
        <v>1.53301886792453</v>
      </c>
      <c r="K400" s="42" t="n">
        <f aca="false">(F400-INDEX('Cohort Summary'!$H$5:$H$14,MATCH($A400,'Cohort Summary'!$A$5:$A$14,0)))/INDEX('Cohort Summary'!$I$5:$I$14,MATCH($A400,'Cohort Summary'!$A$5:$A$14,0))</f>
        <v>-1.64965986394558</v>
      </c>
      <c r="L400" s="42" t="n">
        <f aca="false">(G400-INDEX('Cohort Summary'!$J$5:$J$14,MATCH($A400,'Cohort Summary'!$A$5:$A$14,0)))/INDEX('Cohort Summary'!$K$5:$K$14,MATCH($A400,'Cohort Summary'!$A$5:$A$14,0))</f>
        <v>0.734374999999998</v>
      </c>
      <c r="M400" s="42" t="n">
        <f aca="false">MAX(I400:K400)</f>
        <v>1.53301886792453</v>
      </c>
      <c r="N400" s="27" t="s">
        <v>197</v>
      </c>
      <c r="O400" s="27"/>
      <c r="P400" s="27" t="str">
        <f aca="false">A400&amp;"|"&amp;N400</f>
        <v>NURSE-02|normal</v>
      </c>
    </row>
    <row r="401" customFormat="false" ht="15" hidden="false" customHeight="true" outlineLevel="0" collapsed="false">
      <c r="A401" s="27" t="s">
        <v>73</v>
      </c>
      <c r="B401" s="41" t="n">
        <v>46303.3607638889</v>
      </c>
      <c r="C401" s="27" t="s">
        <v>200</v>
      </c>
      <c r="D401" s="27" t="n">
        <v>40.4</v>
      </c>
      <c r="E401" s="27" t="n">
        <v>20.5</v>
      </c>
      <c r="F401" s="27" t="n">
        <v>31.4</v>
      </c>
      <c r="G401" s="27" t="n">
        <v>32.8</v>
      </c>
      <c r="H401" s="27" t="s">
        <v>196</v>
      </c>
      <c r="I401" s="42" t="n">
        <f aca="false">(D401-INDEX('Cohort Summary'!$D$5:$D$14,MATCH($A401,'Cohort Summary'!$A$5:$A$14,0)))/INDEX('Cohort Summary'!$E$5:$E$14,MATCH($A401,'Cohort Summary'!$A$5:$A$14,0))</f>
        <v>-1.04601226993865</v>
      </c>
      <c r="J401" s="42" t="n">
        <f aca="false">(E401-INDEX('Cohort Summary'!$F$5:$F$14,MATCH($A401,'Cohort Summary'!$A$5:$A$14,0)))/INDEX('Cohort Summary'!$G$5:$G$14,MATCH($A401,'Cohort Summary'!$A$5:$A$14,0))</f>
        <v>0.683962264150943</v>
      </c>
      <c r="K401" s="42" t="n">
        <f aca="false">(F401-INDEX('Cohort Summary'!$H$5:$H$14,MATCH($A401,'Cohort Summary'!$A$5:$A$14,0)))/INDEX('Cohort Summary'!$I$5:$I$14,MATCH($A401,'Cohort Summary'!$A$5:$A$14,0))</f>
        <v>-0.357142857142859</v>
      </c>
      <c r="L401" s="42" t="n">
        <f aca="false">(G401-INDEX('Cohort Summary'!$J$5:$J$14,MATCH($A401,'Cohort Summary'!$A$5:$A$14,0)))/INDEX('Cohort Summary'!$K$5:$K$14,MATCH($A401,'Cohort Summary'!$A$5:$A$14,0))</f>
        <v>-0.0468750000000018</v>
      </c>
      <c r="M401" s="42" t="n">
        <f aca="false">MAX(I401:K401)</f>
        <v>0.683962264150943</v>
      </c>
      <c r="N401" s="27" t="s">
        <v>197</v>
      </c>
      <c r="O401" s="27"/>
      <c r="P401" s="27" t="str">
        <f aca="false">A401&amp;"|"&amp;N401</f>
        <v>NURSE-02|normal</v>
      </c>
    </row>
    <row r="402" customFormat="false" ht="15" hidden="false" customHeight="true" outlineLevel="0" collapsed="false">
      <c r="A402" s="27" t="s">
        <v>78</v>
      </c>
      <c r="B402" s="41" t="n">
        <v>46303.2916666667</v>
      </c>
      <c r="C402" s="27" t="s">
        <v>195</v>
      </c>
      <c r="D402" s="27" t="n">
        <v>33.4</v>
      </c>
      <c r="E402" s="27" t="n">
        <v>15</v>
      </c>
      <c r="F402" s="27" t="n">
        <v>31.3</v>
      </c>
      <c r="G402" s="27" t="n">
        <v>33.4</v>
      </c>
      <c r="H402" s="27" t="s">
        <v>198</v>
      </c>
      <c r="I402" s="42" t="n">
        <f aca="false">(D402-INDEX('Cohort Summary'!$D$5:$D$14,MATCH($A402,'Cohort Summary'!$A$5:$A$14,0)))/INDEX('Cohort Summary'!$E$5:$E$14,MATCH($A402,'Cohort Summary'!$A$5:$A$14,0))</f>
        <v>-1.27142857142857</v>
      </c>
      <c r="J402" s="42" t="n">
        <f aca="false">(E402-INDEX('Cohort Summary'!$F$5:$F$14,MATCH($A402,'Cohort Summary'!$A$5:$A$14,0)))/INDEX('Cohort Summary'!$G$5:$G$14,MATCH($A402,'Cohort Summary'!$A$5:$A$14,0))</f>
        <v>-1.51152073732719</v>
      </c>
      <c r="K402" s="42" t="n">
        <f aca="false">(F402-INDEX('Cohort Summary'!$H$5:$H$14,MATCH($A402,'Cohort Summary'!$A$5:$A$14,0)))/INDEX('Cohort Summary'!$I$5:$I$14,MATCH($A402,'Cohort Summary'!$A$5:$A$14,0))</f>
        <v>1.30685920577617</v>
      </c>
      <c r="L402" s="42" t="n">
        <f aca="false">(G402-INDEX('Cohort Summary'!$J$5:$J$14,MATCH($A402,'Cohort Summary'!$A$5:$A$14,0)))/INDEX('Cohort Summary'!$K$5:$K$14,MATCH($A402,'Cohort Summary'!$A$5:$A$14,0))</f>
        <v>0.12280701754386</v>
      </c>
      <c r="M402" s="42" t="n">
        <f aca="false">MAX(I402:K402)</f>
        <v>1.30685920577617</v>
      </c>
      <c r="N402" s="27" t="s">
        <v>197</v>
      </c>
      <c r="O402" s="27"/>
      <c r="P402" s="27" t="str">
        <f aca="false">A402&amp;"|"&amp;N402</f>
        <v>NURSE-03|normal</v>
      </c>
    </row>
    <row r="403" customFormat="false" ht="15" hidden="false" customHeight="true" outlineLevel="0" collapsed="false">
      <c r="A403" s="27" t="s">
        <v>78</v>
      </c>
      <c r="B403" s="41" t="n">
        <v>46303.2920138889</v>
      </c>
      <c r="C403" s="27" t="s">
        <v>195</v>
      </c>
      <c r="D403" s="27" t="n">
        <v>35.6</v>
      </c>
      <c r="E403" s="27" t="n">
        <v>15.3</v>
      </c>
      <c r="F403" s="27" t="n">
        <v>27.1</v>
      </c>
      <c r="G403" s="27" t="n">
        <v>32.9</v>
      </c>
      <c r="H403" s="27" t="s">
        <v>198</v>
      </c>
      <c r="I403" s="42" t="n">
        <f aca="false">(D403-INDEX('Cohort Summary'!$D$5:$D$14,MATCH($A403,'Cohort Summary'!$A$5:$A$14,0)))/INDEX('Cohort Summary'!$E$5:$E$14,MATCH($A403,'Cohort Summary'!$A$5:$A$14,0))</f>
        <v>-0.485714285714286</v>
      </c>
      <c r="J403" s="42" t="n">
        <f aca="false">(E403-INDEX('Cohort Summary'!$F$5:$F$14,MATCH($A403,'Cohort Summary'!$A$5:$A$14,0)))/INDEX('Cohort Summary'!$G$5:$G$14,MATCH($A403,'Cohort Summary'!$A$5:$A$14,0))</f>
        <v>-1.37327188940092</v>
      </c>
      <c r="K403" s="42" t="n">
        <f aca="false">(F403-INDEX('Cohort Summary'!$H$5:$H$14,MATCH($A403,'Cohort Summary'!$A$5:$A$14,0)))/INDEX('Cohort Summary'!$I$5:$I$14,MATCH($A403,'Cohort Summary'!$A$5:$A$14,0))</f>
        <v>-0.209386281588447</v>
      </c>
      <c r="L403" s="42" t="n">
        <f aca="false">(G403-INDEX('Cohort Summary'!$J$5:$J$14,MATCH($A403,'Cohort Summary'!$A$5:$A$14,0)))/INDEX('Cohort Summary'!$K$5:$K$14,MATCH($A403,'Cohort Summary'!$A$5:$A$14,0))</f>
        <v>-0.75438596491228</v>
      </c>
      <c r="M403" s="42" t="n">
        <f aca="false">MAX(I403:K403)</f>
        <v>-0.209386281588447</v>
      </c>
      <c r="N403" s="27" t="s">
        <v>197</v>
      </c>
      <c r="O403" s="27"/>
      <c r="P403" s="27" t="str">
        <f aca="false">A403&amp;"|"&amp;N403</f>
        <v>NURSE-03|normal</v>
      </c>
    </row>
    <row r="404" customFormat="false" ht="15" hidden="false" customHeight="true" outlineLevel="0" collapsed="false">
      <c r="A404" s="27" t="s">
        <v>78</v>
      </c>
      <c r="B404" s="41" t="n">
        <v>46303.2923611111</v>
      </c>
      <c r="C404" s="27" t="s">
        <v>195</v>
      </c>
      <c r="D404" s="27" t="n">
        <v>33.4</v>
      </c>
      <c r="E404" s="27" t="n">
        <v>16.3</v>
      </c>
      <c r="F404" s="27" t="n">
        <v>30.7</v>
      </c>
      <c r="G404" s="27" t="n">
        <v>33.7</v>
      </c>
      <c r="H404" s="27" t="s">
        <v>198</v>
      </c>
      <c r="I404" s="42" t="n">
        <f aca="false">(D404-INDEX('Cohort Summary'!$D$5:$D$14,MATCH($A404,'Cohort Summary'!$A$5:$A$14,0)))/INDEX('Cohort Summary'!$E$5:$E$14,MATCH($A404,'Cohort Summary'!$A$5:$A$14,0))</f>
        <v>-1.27142857142857</v>
      </c>
      <c r="J404" s="42" t="n">
        <f aca="false">(E404-INDEX('Cohort Summary'!$F$5:$F$14,MATCH($A404,'Cohort Summary'!$A$5:$A$14,0)))/INDEX('Cohort Summary'!$G$5:$G$14,MATCH($A404,'Cohort Summary'!$A$5:$A$14,0))</f>
        <v>-0.912442396313364</v>
      </c>
      <c r="K404" s="42" t="n">
        <f aca="false">(F404-INDEX('Cohort Summary'!$H$5:$H$14,MATCH($A404,'Cohort Summary'!$A$5:$A$14,0)))/INDEX('Cohort Summary'!$I$5:$I$14,MATCH($A404,'Cohort Summary'!$A$5:$A$14,0))</f>
        <v>1.09025270758123</v>
      </c>
      <c r="L404" s="42" t="n">
        <f aca="false">(G404-INDEX('Cohort Summary'!$J$5:$J$14,MATCH($A404,'Cohort Summary'!$A$5:$A$14,0)))/INDEX('Cohort Summary'!$K$5:$K$14,MATCH($A404,'Cohort Summary'!$A$5:$A$14,0))</f>
        <v>0.649122807017552</v>
      </c>
      <c r="M404" s="42" t="n">
        <f aca="false">MAX(I404:K404)</f>
        <v>1.09025270758123</v>
      </c>
      <c r="N404" s="27" t="s">
        <v>197</v>
      </c>
      <c r="O404" s="27"/>
      <c r="P404" s="27" t="str">
        <f aca="false">A404&amp;"|"&amp;N404</f>
        <v>NURSE-03|normal</v>
      </c>
    </row>
    <row r="405" customFormat="false" ht="15" hidden="false" customHeight="true" outlineLevel="0" collapsed="false">
      <c r="A405" s="27" t="s">
        <v>78</v>
      </c>
      <c r="B405" s="41" t="n">
        <v>46303.2927083333</v>
      </c>
      <c r="C405" s="27" t="s">
        <v>195</v>
      </c>
      <c r="D405" s="27" t="n">
        <v>38</v>
      </c>
      <c r="E405" s="27" t="n">
        <v>20.8</v>
      </c>
      <c r="F405" s="27" t="n">
        <v>31.9</v>
      </c>
      <c r="G405" s="27" t="n">
        <v>33.8</v>
      </c>
      <c r="H405" s="27" t="s">
        <v>199</v>
      </c>
      <c r="I405" s="42" t="n">
        <f aca="false">(D405-INDEX('Cohort Summary'!$D$5:$D$14,MATCH($A405,'Cohort Summary'!$A$5:$A$14,0)))/INDEX('Cohort Summary'!$E$5:$E$14,MATCH($A405,'Cohort Summary'!$A$5:$A$14,0))</f>
        <v>0.371428571428571</v>
      </c>
      <c r="J405" s="42" t="n">
        <f aca="false">(E405-INDEX('Cohort Summary'!$F$5:$F$14,MATCH($A405,'Cohort Summary'!$A$5:$A$14,0)))/INDEX('Cohort Summary'!$G$5:$G$14,MATCH($A405,'Cohort Summary'!$A$5:$A$14,0))</f>
        <v>1.16129032258065</v>
      </c>
      <c r="K405" s="42" t="n">
        <f aca="false">(F405-INDEX('Cohort Summary'!$H$5:$H$14,MATCH($A405,'Cohort Summary'!$A$5:$A$14,0)))/INDEX('Cohort Summary'!$I$5:$I$14,MATCH($A405,'Cohort Summary'!$A$5:$A$14,0))</f>
        <v>1.52346570397112</v>
      </c>
      <c r="L405" s="42" t="n">
        <f aca="false">(G405-INDEX('Cohort Summary'!$J$5:$J$14,MATCH($A405,'Cohort Summary'!$A$5:$A$14,0)))/INDEX('Cohort Summary'!$K$5:$K$14,MATCH($A405,'Cohort Summary'!$A$5:$A$14,0))</f>
        <v>0.82456140350877</v>
      </c>
      <c r="M405" s="42" t="n">
        <f aca="false">MAX(I405:K405)</f>
        <v>1.52346570397112</v>
      </c>
      <c r="N405" s="27" t="s">
        <v>197</v>
      </c>
      <c r="O405" s="27"/>
      <c r="P405" s="27" t="str">
        <f aca="false">A405&amp;"|"&amp;N405</f>
        <v>NURSE-03|normal</v>
      </c>
    </row>
    <row r="406" customFormat="false" ht="15" hidden="false" customHeight="true" outlineLevel="0" collapsed="false">
      <c r="A406" s="27" t="s">
        <v>78</v>
      </c>
      <c r="B406" s="41" t="n">
        <v>46303.2930555556</v>
      </c>
      <c r="C406" s="27" t="s">
        <v>195</v>
      </c>
      <c r="D406" s="27" t="n">
        <v>33.8</v>
      </c>
      <c r="E406" s="27" t="n">
        <v>16</v>
      </c>
      <c r="F406" s="27" t="n">
        <v>29.7</v>
      </c>
      <c r="G406" s="27" t="n">
        <v>33.6</v>
      </c>
      <c r="H406" s="27" t="s">
        <v>198</v>
      </c>
      <c r="I406" s="42" t="n">
        <f aca="false">(D406-INDEX('Cohort Summary'!$D$5:$D$14,MATCH($A406,'Cohort Summary'!$A$5:$A$14,0)))/INDEX('Cohort Summary'!$E$5:$E$14,MATCH($A406,'Cohort Summary'!$A$5:$A$14,0))</f>
        <v>-1.12857142857143</v>
      </c>
      <c r="J406" s="42" t="n">
        <f aca="false">(E406-INDEX('Cohort Summary'!$F$5:$F$14,MATCH($A406,'Cohort Summary'!$A$5:$A$14,0)))/INDEX('Cohort Summary'!$G$5:$G$14,MATCH($A406,'Cohort Summary'!$A$5:$A$14,0))</f>
        <v>-1.05069124423963</v>
      </c>
      <c r="K406" s="42" t="n">
        <f aca="false">(F406-INDEX('Cohort Summary'!$H$5:$H$14,MATCH($A406,'Cohort Summary'!$A$5:$A$14,0)))/INDEX('Cohort Summary'!$I$5:$I$14,MATCH($A406,'Cohort Summary'!$A$5:$A$14,0))</f>
        <v>0.729241877256318</v>
      </c>
      <c r="L406" s="42" t="n">
        <f aca="false">(G406-INDEX('Cohort Summary'!$J$5:$J$14,MATCH($A406,'Cohort Summary'!$A$5:$A$14,0)))/INDEX('Cohort Summary'!$K$5:$K$14,MATCH($A406,'Cohort Summary'!$A$5:$A$14,0))</f>
        <v>0.473684210526321</v>
      </c>
      <c r="M406" s="42" t="n">
        <f aca="false">MAX(I406:K406)</f>
        <v>0.729241877256318</v>
      </c>
      <c r="N406" s="27" t="s">
        <v>197</v>
      </c>
      <c r="O406" s="27"/>
      <c r="P406" s="27" t="str">
        <f aca="false">A406&amp;"|"&amp;N406</f>
        <v>NURSE-03|normal</v>
      </c>
    </row>
    <row r="407" customFormat="false" ht="15" hidden="false" customHeight="true" outlineLevel="0" collapsed="false">
      <c r="A407" s="27" t="s">
        <v>78</v>
      </c>
      <c r="B407" s="41" t="n">
        <v>46303.2934027778</v>
      </c>
      <c r="C407" s="27" t="s">
        <v>195</v>
      </c>
      <c r="D407" s="27" t="n">
        <v>37.8</v>
      </c>
      <c r="E407" s="27" t="n">
        <v>16.4</v>
      </c>
      <c r="F407" s="27" t="n">
        <v>23.7</v>
      </c>
      <c r="G407" s="27" t="n">
        <v>33.8</v>
      </c>
      <c r="H407" s="27" t="s">
        <v>199</v>
      </c>
      <c r="I407" s="42" t="n">
        <f aca="false">(D407-INDEX('Cohort Summary'!$D$5:$D$14,MATCH($A407,'Cohort Summary'!$A$5:$A$14,0)))/INDEX('Cohort Summary'!$E$5:$E$14,MATCH($A407,'Cohort Summary'!$A$5:$A$14,0))</f>
        <v>0.299999999999999</v>
      </c>
      <c r="J407" s="42" t="n">
        <f aca="false">(E407-INDEX('Cohort Summary'!$F$5:$F$14,MATCH($A407,'Cohort Summary'!$A$5:$A$14,0)))/INDEX('Cohort Summary'!$G$5:$G$14,MATCH($A407,'Cohort Summary'!$A$5:$A$14,0))</f>
        <v>-0.86635944700461</v>
      </c>
      <c r="K407" s="42" t="n">
        <f aca="false">(F407-INDEX('Cohort Summary'!$H$5:$H$14,MATCH($A407,'Cohort Summary'!$A$5:$A$14,0)))/INDEX('Cohort Summary'!$I$5:$I$14,MATCH($A407,'Cohort Summary'!$A$5:$A$14,0))</f>
        <v>-1.43682310469314</v>
      </c>
      <c r="L407" s="42" t="n">
        <f aca="false">(G407-INDEX('Cohort Summary'!$J$5:$J$14,MATCH($A407,'Cohort Summary'!$A$5:$A$14,0)))/INDEX('Cohort Summary'!$K$5:$K$14,MATCH($A407,'Cohort Summary'!$A$5:$A$14,0))</f>
        <v>0.82456140350877</v>
      </c>
      <c r="M407" s="42" t="n">
        <f aca="false">MAX(I407:K407)</f>
        <v>0.299999999999999</v>
      </c>
      <c r="N407" s="27" t="s">
        <v>197</v>
      </c>
      <c r="O407" s="27"/>
      <c r="P407" s="27" t="str">
        <f aca="false">A407&amp;"|"&amp;N407</f>
        <v>NURSE-03|normal</v>
      </c>
    </row>
    <row r="408" customFormat="false" ht="15" hidden="false" customHeight="true" outlineLevel="0" collapsed="false">
      <c r="A408" s="27" t="s">
        <v>78</v>
      </c>
      <c r="B408" s="41" t="n">
        <v>46303.29375</v>
      </c>
      <c r="C408" s="27" t="s">
        <v>195</v>
      </c>
      <c r="D408" s="27" t="n">
        <v>40.4</v>
      </c>
      <c r="E408" s="27" t="n">
        <v>21.4</v>
      </c>
      <c r="F408" s="27" t="n">
        <v>28.2</v>
      </c>
      <c r="G408" s="27" t="n">
        <v>33</v>
      </c>
      <c r="H408" s="27" t="s">
        <v>199</v>
      </c>
      <c r="I408" s="42" t="n">
        <f aca="false">(D408-INDEX('Cohort Summary'!$D$5:$D$14,MATCH($A408,'Cohort Summary'!$A$5:$A$14,0)))/INDEX('Cohort Summary'!$E$5:$E$14,MATCH($A408,'Cohort Summary'!$A$5:$A$14,0))</f>
        <v>1.22857142857143</v>
      </c>
      <c r="J408" s="42" t="n">
        <f aca="false">(E408-INDEX('Cohort Summary'!$F$5:$F$14,MATCH($A408,'Cohort Summary'!$A$5:$A$14,0)))/INDEX('Cohort Summary'!$G$5:$G$14,MATCH($A408,'Cohort Summary'!$A$5:$A$14,0))</f>
        <v>1.43778801843318</v>
      </c>
      <c r="K408" s="42" t="n">
        <f aca="false">(F408-INDEX('Cohort Summary'!$H$5:$H$14,MATCH($A408,'Cohort Summary'!$A$5:$A$14,0)))/INDEX('Cohort Summary'!$I$5:$I$14,MATCH($A408,'Cohort Summary'!$A$5:$A$14,0))</f>
        <v>0.187725631768953</v>
      </c>
      <c r="L408" s="42" t="n">
        <f aca="false">(G408-INDEX('Cohort Summary'!$J$5:$J$14,MATCH($A408,'Cohort Summary'!$A$5:$A$14,0)))/INDEX('Cohort Summary'!$K$5:$K$14,MATCH($A408,'Cohort Summary'!$A$5:$A$14,0))</f>
        <v>-0.57894736842105</v>
      </c>
      <c r="M408" s="42" t="n">
        <f aca="false">MAX(I408:K408)</f>
        <v>1.43778801843318</v>
      </c>
      <c r="N408" s="27" t="s">
        <v>197</v>
      </c>
      <c r="O408" s="27"/>
      <c r="P408" s="27" t="str">
        <f aca="false">A408&amp;"|"&amp;N408</f>
        <v>NURSE-03|normal</v>
      </c>
    </row>
    <row r="409" customFormat="false" ht="15" hidden="false" customHeight="true" outlineLevel="0" collapsed="false">
      <c r="A409" s="27" t="s">
        <v>78</v>
      </c>
      <c r="B409" s="41" t="n">
        <v>46303.2940972222</v>
      </c>
      <c r="C409" s="27" t="s">
        <v>195</v>
      </c>
      <c r="D409" s="27" t="n">
        <v>40.4</v>
      </c>
      <c r="E409" s="27" t="n">
        <v>21.1</v>
      </c>
      <c r="F409" s="27" t="n">
        <v>27.9</v>
      </c>
      <c r="G409" s="27" t="n">
        <v>32.3</v>
      </c>
      <c r="H409" s="27" t="s">
        <v>199</v>
      </c>
      <c r="I409" s="42" t="n">
        <f aca="false">(D409-INDEX('Cohort Summary'!$D$5:$D$14,MATCH($A409,'Cohort Summary'!$A$5:$A$14,0)))/INDEX('Cohort Summary'!$E$5:$E$14,MATCH($A409,'Cohort Summary'!$A$5:$A$14,0))</f>
        <v>1.22857142857143</v>
      </c>
      <c r="J409" s="42" t="n">
        <f aca="false">(E409-INDEX('Cohort Summary'!$F$5:$F$14,MATCH($A409,'Cohort Summary'!$A$5:$A$14,0)))/INDEX('Cohort Summary'!$G$5:$G$14,MATCH($A409,'Cohort Summary'!$A$5:$A$14,0))</f>
        <v>1.29953917050691</v>
      </c>
      <c r="K409" s="42" t="n">
        <f aca="false">(F409-INDEX('Cohort Summary'!$H$5:$H$14,MATCH($A409,'Cohort Summary'!$A$5:$A$14,0)))/INDEX('Cohort Summary'!$I$5:$I$14,MATCH($A409,'Cohort Summary'!$A$5:$A$14,0))</f>
        <v>0.0794223826714797</v>
      </c>
      <c r="L409" s="42" t="n">
        <f aca="false">(G409-INDEX('Cohort Summary'!$J$5:$J$14,MATCH($A409,'Cohort Summary'!$A$5:$A$14,0)))/INDEX('Cohort Summary'!$K$5:$K$14,MATCH($A409,'Cohort Summary'!$A$5:$A$14,0))</f>
        <v>-1.80701754385965</v>
      </c>
      <c r="M409" s="42" t="n">
        <f aca="false">MAX(I409:K409)</f>
        <v>1.29953917050691</v>
      </c>
      <c r="N409" s="27" t="s">
        <v>197</v>
      </c>
      <c r="O409" s="27"/>
      <c r="P409" s="27" t="str">
        <f aca="false">A409&amp;"|"&amp;N409</f>
        <v>NURSE-03|normal</v>
      </c>
    </row>
    <row r="410" customFormat="false" ht="15" hidden="false" customHeight="true" outlineLevel="0" collapsed="false">
      <c r="A410" s="27" t="s">
        <v>78</v>
      </c>
      <c r="B410" s="41" t="n">
        <v>46303.2944444444</v>
      </c>
      <c r="C410" s="27" t="s">
        <v>195</v>
      </c>
      <c r="D410" s="27" t="n">
        <v>33.3</v>
      </c>
      <c r="E410" s="27" t="n">
        <v>19.7</v>
      </c>
      <c r="F410" s="27" t="n">
        <v>25.5</v>
      </c>
      <c r="G410" s="27" t="n">
        <v>33.4</v>
      </c>
      <c r="H410" s="27" t="s">
        <v>199</v>
      </c>
      <c r="I410" s="42" t="n">
        <f aca="false">(D410-INDEX('Cohort Summary'!$D$5:$D$14,MATCH($A410,'Cohort Summary'!$A$5:$A$14,0)))/INDEX('Cohort Summary'!$E$5:$E$14,MATCH($A410,'Cohort Summary'!$A$5:$A$14,0))</f>
        <v>-1.30714285714286</v>
      </c>
      <c r="J410" s="42" t="n">
        <f aca="false">(E410-INDEX('Cohort Summary'!$F$5:$F$14,MATCH($A410,'Cohort Summary'!$A$5:$A$14,0)))/INDEX('Cohort Summary'!$G$5:$G$14,MATCH($A410,'Cohort Summary'!$A$5:$A$14,0))</f>
        <v>0.654377880184331</v>
      </c>
      <c r="K410" s="42" t="n">
        <f aca="false">(F410-INDEX('Cohort Summary'!$H$5:$H$14,MATCH($A410,'Cohort Summary'!$A$5:$A$14,0)))/INDEX('Cohort Summary'!$I$5:$I$14,MATCH($A410,'Cohort Summary'!$A$5:$A$14,0))</f>
        <v>-0.787003610108303</v>
      </c>
      <c r="L410" s="42" t="n">
        <f aca="false">(G410-INDEX('Cohort Summary'!$J$5:$J$14,MATCH($A410,'Cohort Summary'!$A$5:$A$14,0)))/INDEX('Cohort Summary'!$K$5:$K$14,MATCH($A410,'Cohort Summary'!$A$5:$A$14,0))</f>
        <v>0.12280701754386</v>
      </c>
      <c r="M410" s="42" t="n">
        <f aca="false">MAX(I410:K410)</f>
        <v>0.654377880184331</v>
      </c>
      <c r="N410" s="27" t="s">
        <v>197</v>
      </c>
      <c r="O410" s="27"/>
      <c r="P410" s="27" t="str">
        <f aca="false">A410&amp;"|"&amp;N410</f>
        <v>NURSE-03|normal</v>
      </c>
    </row>
    <row r="411" customFormat="false" ht="15" hidden="false" customHeight="true" outlineLevel="0" collapsed="false">
      <c r="A411" s="27" t="s">
        <v>78</v>
      </c>
      <c r="B411" s="41" t="n">
        <v>46303.2947916667</v>
      </c>
      <c r="C411" s="27" t="s">
        <v>195</v>
      </c>
      <c r="D411" s="27" t="n">
        <v>32.4</v>
      </c>
      <c r="E411" s="27" t="n">
        <v>19.9</v>
      </c>
      <c r="F411" s="27" t="n">
        <v>28.7</v>
      </c>
      <c r="G411" s="27" t="n">
        <v>34</v>
      </c>
      <c r="H411" s="27" t="s">
        <v>199</v>
      </c>
      <c r="I411" s="42" t="n">
        <f aca="false">(D411-INDEX('Cohort Summary'!$D$5:$D$14,MATCH($A411,'Cohort Summary'!$A$5:$A$14,0)))/INDEX('Cohort Summary'!$E$5:$E$14,MATCH($A411,'Cohort Summary'!$A$5:$A$14,0))</f>
        <v>-1.62857142857143</v>
      </c>
      <c r="J411" s="42" t="n">
        <f aca="false">(E411-INDEX('Cohort Summary'!$F$5:$F$14,MATCH($A411,'Cohort Summary'!$A$5:$A$14,0)))/INDEX('Cohort Summary'!$G$5:$G$14,MATCH($A411,'Cohort Summary'!$A$5:$A$14,0))</f>
        <v>0.746543778801842</v>
      </c>
      <c r="K411" s="42" t="n">
        <f aca="false">(F411-INDEX('Cohort Summary'!$H$5:$H$14,MATCH($A411,'Cohort Summary'!$A$5:$A$14,0)))/INDEX('Cohort Summary'!$I$5:$I$14,MATCH($A411,'Cohort Summary'!$A$5:$A$14,0))</f>
        <v>0.368231046931408</v>
      </c>
      <c r="L411" s="42" t="n">
        <f aca="false">(G411-INDEX('Cohort Summary'!$J$5:$J$14,MATCH($A411,'Cohort Summary'!$A$5:$A$14,0)))/INDEX('Cohort Summary'!$K$5:$K$14,MATCH($A411,'Cohort Summary'!$A$5:$A$14,0))</f>
        <v>1.17543859649123</v>
      </c>
      <c r="M411" s="42" t="n">
        <f aca="false">MAX(I411:K411)</f>
        <v>0.746543778801842</v>
      </c>
      <c r="N411" s="27" t="s">
        <v>197</v>
      </c>
      <c r="O411" s="27"/>
      <c r="P411" s="27" t="str">
        <f aca="false">A411&amp;"|"&amp;N411</f>
        <v>NURSE-03|normal</v>
      </c>
    </row>
    <row r="412" customFormat="false" ht="15" hidden="false" customHeight="true" outlineLevel="0" collapsed="false">
      <c r="A412" s="27" t="s">
        <v>78</v>
      </c>
      <c r="B412" s="41" t="n">
        <v>46303.2951388889</v>
      </c>
      <c r="C412" s="27" t="s">
        <v>195</v>
      </c>
      <c r="D412" s="27" t="n">
        <v>37.2</v>
      </c>
      <c r="E412" s="27" t="n">
        <v>18.1</v>
      </c>
      <c r="F412" s="27" t="n">
        <v>28.2</v>
      </c>
      <c r="G412" s="27" t="n">
        <v>32.5</v>
      </c>
      <c r="H412" s="27" t="s">
        <v>196</v>
      </c>
      <c r="I412" s="42" t="n">
        <f aca="false">(D412-INDEX('Cohort Summary'!$D$5:$D$14,MATCH($A412,'Cohort Summary'!$A$5:$A$14,0)))/INDEX('Cohort Summary'!$E$5:$E$14,MATCH($A412,'Cohort Summary'!$A$5:$A$14,0))</f>
        <v>0.0857142857142864</v>
      </c>
      <c r="J412" s="42" t="n">
        <f aca="false">(E412-INDEX('Cohort Summary'!$F$5:$F$14,MATCH($A412,'Cohort Summary'!$A$5:$A$14,0)))/INDEX('Cohort Summary'!$G$5:$G$14,MATCH($A412,'Cohort Summary'!$A$5:$A$14,0))</f>
        <v>-0.0829493087557603</v>
      </c>
      <c r="K412" s="42" t="n">
        <f aca="false">(F412-INDEX('Cohort Summary'!$H$5:$H$14,MATCH($A412,'Cohort Summary'!$A$5:$A$14,0)))/INDEX('Cohort Summary'!$I$5:$I$14,MATCH($A412,'Cohort Summary'!$A$5:$A$14,0))</f>
        <v>0.187725631768953</v>
      </c>
      <c r="L412" s="42" t="n">
        <f aca="false">(G412-INDEX('Cohort Summary'!$J$5:$J$14,MATCH($A412,'Cohort Summary'!$A$5:$A$14,0)))/INDEX('Cohort Summary'!$K$5:$K$14,MATCH($A412,'Cohort Summary'!$A$5:$A$14,0))</f>
        <v>-1.45614035087719</v>
      </c>
      <c r="M412" s="42" t="n">
        <f aca="false">MAX(I412:K412)</f>
        <v>0.187725631768953</v>
      </c>
      <c r="N412" s="27" t="s">
        <v>197</v>
      </c>
      <c r="O412" s="27"/>
      <c r="P412" s="27" t="str">
        <f aca="false">A412&amp;"|"&amp;N412</f>
        <v>NURSE-03|normal</v>
      </c>
    </row>
    <row r="413" customFormat="false" ht="15" hidden="false" customHeight="true" outlineLevel="0" collapsed="false">
      <c r="A413" s="27" t="s">
        <v>78</v>
      </c>
      <c r="B413" s="41" t="n">
        <v>46303.2954861111</v>
      </c>
      <c r="C413" s="27" t="s">
        <v>195</v>
      </c>
      <c r="D413" s="27" t="n">
        <v>34.4</v>
      </c>
      <c r="E413" s="27" t="n">
        <v>20.8</v>
      </c>
      <c r="F413" s="27" t="n">
        <v>32.1</v>
      </c>
      <c r="G413" s="27" t="n">
        <v>33.9</v>
      </c>
      <c r="H413" s="27" t="s">
        <v>199</v>
      </c>
      <c r="I413" s="42" t="n">
        <f aca="false">(D413-INDEX('Cohort Summary'!$D$5:$D$14,MATCH($A413,'Cohort Summary'!$A$5:$A$14,0)))/INDEX('Cohort Summary'!$E$5:$E$14,MATCH($A413,'Cohort Summary'!$A$5:$A$14,0))</f>
        <v>-0.914285714285715</v>
      </c>
      <c r="J413" s="42" t="n">
        <f aca="false">(E413-INDEX('Cohort Summary'!$F$5:$F$14,MATCH($A413,'Cohort Summary'!$A$5:$A$14,0)))/INDEX('Cohort Summary'!$G$5:$G$14,MATCH($A413,'Cohort Summary'!$A$5:$A$14,0))</f>
        <v>1.16129032258065</v>
      </c>
      <c r="K413" s="42" t="n">
        <f aca="false">(F413-INDEX('Cohort Summary'!$H$5:$H$14,MATCH($A413,'Cohort Summary'!$A$5:$A$14,0)))/INDEX('Cohort Summary'!$I$5:$I$14,MATCH($A413,'Cohort Summary'!$A$5:$A$14,0))</f>
        <v>1.5956678700361</v>
      </c>
      <c r="L413" s="42" t="n">
        <f aca="false">(G413-INDEX('Cohort Summary'!$J$5:$J$14,MATCH($A413,'Cohort Summary'!$A$5:$A$14,0)))/INDEX('Cohort Summary'!$K$5:$K$14,MATCH($A413,'Cohort Summary'!$A$5:$A$14,0))</f>
        <v>1</v>
      </c>
      <c r="M413" s="42" t="n">
        <f aca="false">MAX(I413:K413)</f>
        <v>1.5956678700361</v>
      </c>
      <c r="N413" s="27" t="s">
        <v>197</v>
      </c>
      <c r="O413" s="27"/>
      <c r="P413" s="27" t="str">
        <f aca="false">A413&amp;"|"&amp;N413</f>
        <v>NURSE-03|normal</v>
      </c>
    </row>
    <row r="414" customFormat="false" ht="15" hidden="false" customHeight="true" outlineLevel="0" collapsed="false">
      <c r="A414" s="27" t="s">
        <v>78</v>
      </c>
      <c r="B414" s="41" t="n">
        <v>46303.2958333333</v>
      </c>
      <c r="C414" s="27" t="s">
        <v>195</v>
      </c>
      <c r="D414" s="27" t="n">
        <v>37.8</v>
      </c>
      <c r="E414" s="27" t="n">
        <v>21.3</v>
      </c>
      <c r="F414" s="27" t="n">
        <v>25.9</v>
      </c>
      <c r="G414" s="27" t="n">
        <v>32.5</v>
      </c>
      <c r="H414" s="27" t="s">
        <v>196</v>
      </c>
      <c r="I414" s="42" t="n">
        <f aca="false">(D414-INDEX('Cohort Summary'!$D$5:$D$14,MATCH($A414,'Cohort Summary'!$A$5:$A$14,0)))/INDEX('Cohort Summary'!$E$5:$E$14,MATCH($A414,'Cohort Summary'!$A$5:$A$14,0))</f>
        <v>0.299999999999999</v>
      </c>
      <c r="J414" s="42" t="n">
        <f aca="false">(E414-INDEX('Cohort Summary'!$F$5:$F$14,MATCH($A414,'Cohort Summary'!$A$5:$A$14,0)))/INDEX('Cohort Summary'!$G$5:$G$14,MATCH($A414,'Cohort Summary'!$A$5:$A$14,0))</f>
        <v>1.39170506912442</v>
      </c>
      <c r="K414" s="42" t="n">
        <f aca="false">(F414-INDEX('Cohort Summary'!$H$5:$H$14,MATCH($A414,'Cohort Summary'!$A$5:$A$14,0)))/INDEX('Cohort Summary'!$I$5:$I$14,MATCH($A414,'Cohort Summary'!$A$5:$A$14,0))</f>
        <v>-0.64259927797834</v>
      </c>
      <c r="L414" s="42" t="n">
        <f aca="false">(G414-INDEX('Cohort Summary'!$J$5:$J$14,MATCH($A414,'Cohort Summary'!$A$5:$A$14,0)))/INDEX('Cohort Summary'!$K$5:$K$14,MATCH($A414,'Cohort Summary'!$A$5:$A$14,0))</f>
        <v>-1.45614035087719</v>
      </c>
      <c r="M414" s="42" t="n">
        <f aca="false">MAX(I414:K414)</f>
        <v>1.39170506912442</v>
      </c>
      <c r="N414" s="27" t="s">
        <v>197</v>
      </c>
      <c r="O414" s="27"/>
      <c r="P414" s="27" t="str">
        <f aca="false">A414&amp;"|"&amp;N414</f>
        <v>NURSE-03|normal</v>
      </c>
    </row>
    <row r="415" customFormat="false" ht="15" hidden="false" customHeight="true" outlineLevel="0" collapsed="false">
      <c r="A415" s="27" t="s">
        <v>78</v>
      </c>
      <c r="B415" s="41" t="n">
        <v>46303.2961805556</v>
      </c>
      <c r="C415" s="27" t="s">
        <v>195</v>
      </c>
      <c r="D415" s="27" t="n">
        <v>36.9</v>
      </c>
      <c r="E415" s="27" t="n">
        <v>18.6</v>
      </c>
      <c r="F415" s="27" t="n">
        <v>28.3</v>
      </c>
      <c r="G415" s="27" t="n">
        <v>33.4</v>
      </c>
      <c r="H415" s="27" t="s">
        <v>198</v>
      </c>
      <c r="I415" s="42" t="n">
        <f aca="false">(D415-INDEX('Cohort Summary'!$D$5:$D$14,MATCH($A415,'Cohort Summary'!$A$5:$A$14,0)))/INDEX('Cohort Summary'!$E$5:$E$14,MATCH($A415,'Cohort Summary'!$A$5:$A$14,0))</f>
        <v>-0.0214285714285722</v>
      </c>
      <c r="J415" s="42" t="n">
        <f aca="false">(E415-INDEX('Cohort Summary'!$F$5:$F$14,MATCH($A415,'Cohort Summary'!$A$5:$A$14,0)))/INDEX('Cohort Summary'!$G$5:$G$14,MATCH($A415,'Cohort Summary'!$A$5:$A$14,0))</f>
        <v>0.147465437788019</v>
      </c>
      <c r="K415" s="42" t="n">
        <f aca="false">(F415-INDEX('Cohort Summary'!$H$5:$H$14,MATCH($A415,'Cohort Summary'!$A$5:$A$14,0)))/INDEX('Cohort Summary'!$I$5:$I$14,MATCH($A415,'Cohort Summary'!$A$5:$A$14,0))</f>
        <v>0.223826714801444</v>
      </c>
      <c r="L415" s="42" t="n">
        <f aca="false">(G415-INDEX('Cohort Summary'!$J$5:$J$14,MATCH($A415,'Cohort Summary'!$A$5:$A$14,0)))/INDEX('Cohort Summary'!$K$5:$K$14,MATCH($A415,'Cohort Summary'!$A$5:$A$14,0))</f>
        <v>0.12280701754386</v>
      </c>
      <c r="M415" s="42" t="n">
        <f aca="false">MAX(I415:K415)</f>
        <v>0.223826714801444</v>
      </c>
      <c r="N415" s="27" t="s">
        <v>197</v>
      </c>
      <c r="O415" s="27"/>
      <c r="P415" s="27" t="str">
        <f aca="false">A415&amp;"|"&amp;N415</f>
        <v>NURSE-03|normal</v>
      </c>
    </row>
    <row r="416" customFormat="false" ht="15" hidden="false" customHeight="true" outlineLevel="0" collapsed="false">
      <c r="A416" s="27" t="s">
        <v>78</v>
      </c>
      <c r="B416" s="41" t="n">
        <v>46303.2965277778</v>
      </c>
      <c r="C416" s="27" t="s">
        <v>195</v>
      </c>
      <c r="D416" s="27" t="n">
        <v>34.4</v>
      </c>
      <c r="E416" s="27" t="n">
        <v>15.6</v>
      </c>
      <c r="F416" s="27" t="n">
        <v>29.2</v>
      </c>
      <c r="G416" s="27" t="n">
        <v>32.6</v>
      </c>
      <c r="H416" s="27" t="s">
        <v>199</v>
      </c>
      <c r="I416" s="42" t="n">
        <f aca="false">(D416-INDEX('Cohort Summary'!$D$5:$D$14,MATCH($A416,'Cohort Summary'!$A$5:$A$14,0)))/INDEX('Cohort Summary'!$E$5:$E$14,MATCH($A416,'Cohort Summary'!$A$5:$A$14,0))</f>
        <v>-0.914285714285715</v>
      </c>
      <c r="J416" s="42" t="n">
        <f aca="false">(E416-INDEX('Cohort Summary'!$F$5:$F$14,MATCH($A416,'Cohort Summary'!$A$5:$A$14,0)))/INDEX('Cohort Summary'!$G$5:$G$14,MATCH($A416,'Cohort Summary'!$A$5:$A$14,0))</f>
        <v>-1.23502304147466</v>
      </c>
      <c r="K416" s="42" t="n">
        <f aca="false">(F416-INDEX('Cohort Summary'!$H$5:$H$14,MATCH($A416,'Cohort Summary'!$A$5:$A$14,0)))/INDEX('Cohort Summary'!$I$5:$I$14,MATCH($A416,'Cohort Summary'!$A$5:$A$14,0))</f>
        <v>0.548736462093863</v>
      </c>
      <c r="L416" s="42" t="n">
        <f aca="false">(G416-INDEX('Cohort Summary'!$J$5:$J$14,MATCH($A416,'Cohort Summary'!$A$5:$A$14,0)))/INDEX('Cohort Summary'!$K$5:$K$14,MATCH($A416,'Cohort Summary'!$A$5:$A$14,0))</f>
        <v>-1.28070175438596</v>
      </c>
      <c r="M416" s="42" t="n">
        <f aca="false">MAX(I416:K416)</f>
        <v>0.548736462093863</v>
      </c>
      <c r="N416" s="27" t="s">
        <v>197</v>
      </c>
      <c r="O416" s="27"/>
      <c r="P416" s="27" t="str">
        <f aca="false">A416&amp;"|"&amp;N416</f>
        <v>NURSE-03|normal</v>
      </c>
    </row>
    <row r="417" customFormat="false" ht="15" hidden="false" customHeight="true" outlineLevel="0" collapsed="false">
      <c r="A417" s="27" t="s">
        <v>78</v>
      </c>
      <c r="B417" s="41" t="n">
        <v>46303.296875</v>
      </c>
      <c r="C417" s="27" t="s">
        <v>195</v>
      </c>
      <c r="D417" s="27" t="n">
        <v>34.5</v>
      </c>
      <c r="E417" s="27" t="n">
        <v>20.7</v>
      </c>
      <c r="F417" s="27" t="n">
        <v>23.3</v>
      </c>
      <c r="G417" s="27" t="n">
        <v>32.5</v>
      </c>
      <c r="H417" s="27" t="s">
        <v>196</v>
      </c>
      <c r="I417" s="42" t="n">
        <f aca="false">(D417-INDEX('Cohort Summary'!$D$5:$D$14,MATCH($A417,'Cohort Summary'!$A$5:$A$14,0)))/INDEX('Cohort Summary'!$E$5:$E$14,MATCH($A417,'Cohort Summary'!$A$5:$A$14,0))</f>
        <v>-0.878571428571429</v>
      </c>
      <c r="J417" s="42" t="n">
        <f aca="false">(E417-INDEX('Cohort Summary'!$F$5:$F$14,MATCH($A417,'Cohort Summary'!$A$5:$A$14,0)))/INDEX('Cohort Summary'!$G$5:$G$14,MATCH($A417,'Cohort Summary'!$A$5:$A$14,0))</f>
        <v>1.11520737327189</v>
      </c>
      <c r="K417" s="42" t="n">
        <f aca="false">(F417-INDEX('Cohort Summary'!$H$5:$H$14,MATCH($A417,'Cohort Summary'!$A$5:$A$14,0)))/INDEX('Cohort Summary'!$I$5:$I$14,MATCH($A417,'Cohort Summary'!$A$5:$A$14,0))</f>
        <v>-1.5812274368231</v>
      </c>
      <c r="L417" s="42" t="n">
        <f aca="false">(G417-INDEX('Cohort Summary'!$J$5:$J$14,MATCH($A417,'Cohort Summary'!$A$5:$A$14,0)))/INDEX('Cohort Summary'!$K$5:$K$14,MATCH($A417,'Cohort Summary'!$A$5:$A$14,0))</f>
        <v>-1.45614035087719</v>
      </c>
      <c r="M417" s="42" t="n">
        <f aca="false">MAX(I417:K417)</f>
        <v>1.11520737327189</v>
      </c>
      <c r="N417" s="27" t="s">
        <v>197</v>
      </c>
      <c r="O417" s="27"/>
      <c r="P417" s="27" t="str">
        <f aca="false">A417&amp;"|"&amp;N417</f>
        <v>NURSE-03|normal</v>
      </c>
    </row>
    <row r="418" customFormat="false" ht="15" hidden="false" customHeight="true" outlineLevel="0" collapsed="false">
      <c r="A418" s="27" t="s">
        <v>78</v>
      </c>
      <c r="B418" s="41" t="n">
        <v>46303.2972222222</v>
      </c>
      <c r="C418" s="27" t="s">
        <v>195</v>
      </c>
      <c r="D418" s="27" t="n">
        <v>39.4</v>
      </c>
      <c r="E418" s="27" t="n">
        <v>16.8</v>
      </c>
      <c r="F418" s="27" t="n">
        <v>31.4</v>
      </c>
      <c r="G418" s="27" t="n">
        <v>33.6</v>
      </c>
      <c r="H418" s="27" t="s">
        <v>199</v>
      </c>
      <c r="I418" s="42" t="n">
        <f aca="false">(D418-INDEX('Cohort Summary'!$D$5:$D$14,MATCH($A418,'Cohort Summary'!$A$5:$A$14,0)))/INDEX('Cohort Summary'!$E$5:$E$14,MATCH($A418,'Cohort Summary'!$A$5:$A$14,0))</f>
        <v>0.871428571428571</v>
      </c>
      <c r="J418" s="42" t="n">
        <f aca="false">(E418-INDEX('Cohort Summary'!$F$5:$F$14,MATCH($A418,'Cohort Summary'!$A$5:$A$14,0)))/INDEX('Cohort Summary'!$G$5:$G$14,MATCH($A418,'Cohort Summary'!$A$5:$A$14,0))</f>
        <v>-0.682027649769586</v>
      </c>
      <c r="K418" s="42" t="n">
        <f aca="false">(F418-INDEX('Cohort Summary'!$H$5:$H$14,MATCH($A418,'Cohort Summary'!$A$5:$A$14,0)))/INDEX('Cohort Summary'!$I$5:$I$14,MATCH($A418,'Cohort Summary'!$A$5:$A$14,0))</f>
        <v>1.34296028880866</v>
      </c>
      <c r="L418" s="42" t="n">
        <f aca="false">(G418-INDEX('Cohort Summary'!$J$5:$J$14,MATCH($A418,'Cohort Summary'!$A$5:$A$14,0)))/INDEX('Cohort Summary'!$K$5:$K$14,MATCH($A418,'Cohort Summary'!$A$5:$A$14,0))</f>
        <v>0.473684210526321</v>
      </c>
      <c r="M418" s="42" t="n">
        <f aca="false">MAX(I418:K418)</f>
        <v>1.34296028880866</v>
      </c>
      <c r="N418" s="27" t="s">
        <v>197</v>
      </c>
      <c r="O418" s="27"/>
      <c r="P418" s="27" t="str">
        <f aca="false">A418&amp;"|"&amp;N418</f>
        <v>NURSE-03|normal</v>
      </c>
    </row>
    <row r="419" customFormat="false" ht="15" hidden="false" customHeight="true" outlineLevel="0" collapsed="false">
      <c r="A419" s="27" t="s">
        <v>78</v>
      </c>
      <c r="B419" s="41" t="n">
        <v>46303.2975694445</v>
      </c>
      <c r="C419" s="27" t="s">
        <v>195</v>
      </c>
      <c r="D419" s="27" t="n">
        <v>37.2</v>
      </c>
      <c r="E419" s="27" t="n">
        <v>19.9</v>
      </c>
      <c r="F419" s="27" t="n">
        <v>24</v>
      </c>
      <c r="G419" s="27" t="n">
        <v>34</v>
      </c>
      <c r="H419" s="27" t="s">
        <v>196</v>
      </c>
      <c r="I419" s="42" t="n">
        <f aca="false">(D419-INDEX('Cohort Summary'!$D$5:$D$14,MATCH($A419,'Cohort Summary'!$A$5:$A$14,0)))/INDEX('Cohort Summary'!$E$5:$E$14,MATCH($A419,'Cohort Summary'!$A$5:$A$14,0))</f>
        <v>0.0857142857142864</v>
      </c>
      <c r="J419" s="42" t="n">
        <f aca="false">(E419-INDEX('Cohort Summary'!$F$5:$F$14,MATCH($A419,'Cohort Summary'!$A$5:$A$14,0)))/INDEX('Cohort Summary'!$G$5:$G$14,MATCH($A419,'Cohort Summary'!$A$5:$A$14,0))</f>
        <v>0.746543778801842</v>
      </c>
      <c r="K419" s="42" t="n">
        <f aca="false">(F419-INDEX('Cohort Summary'!$H$5:$H$14,MATCH($A419,'Cohort Summary'!$A$5:$A$14,0)))/INDEX('Cohort Summary'!$I$5:$I$14,MATCH($A419,'Cohort Summary'!$A$5:$A$14,0))</f>
        <v>-1.32851985559567</v>
      </c>
      <c r="L419" s="42" t="n">
        <f aca="false">(G419-INDEX('Cohort Summary'!$J$5:$J$14,MATCH($A419,'Cohort Summary'!$A$5:$A$14,0)))/INDEX('Cohort Summary'!$K$5:$K$14,MATCH($A419,'Cohort Summary'!$A$5:$A$14,0))</f>
        <v>1.17543859649123</v>
      </c>
      <c r="M419" s="42" t="n">
        <f aca="false">MAX(I419:K419)</f>
        <v>0.746543778801842</v>
      </c>
      <c r="N419" s="27" t="s">
        <v>197</v>
      </c>
      <c r="O419" s="27"/>
      <c r="P419" s="27" t="str">
        <f aca="false">A419&amp;"|"&amp;N419</f>
        <v>NURSE-03|normal</v>
      </c>
    </row>
    <row r="420" customFormat="false" ht="15" hidden="false" customHeight="true" outlineLevel="0" collapsed="false">
      <c r="A420" s="27" t="s">
        <v>78</v>
      </c>
      <c r="B420" s="41" t="n">
        <v>46303.2979166667</v>
      </c>
      <c r="C420" s="27" t="s">
        <v>195</v>
      </c>
      <c r="D420" s="27" t="n">
        <v>33.8</v>
      </c>
      <c r="E420" s="27" t="n">
        <v>16.9</v>
      </c>
      <c r="F420" s="27" t="n">
        <v>27.6</v>
      </c>
      <c r="G420" s="27" t="n">
        <v>33.5</v>
      </c>
      <c r="H420" s="27" t="s">
        <v>199</v>
      </c>
      <c r="I420" s="42" t="n">
        <f aca="false">(D420-INDEX('Cohort Summary'!$D$5:$D$14,MATCH($A420,'Cohort Summary'!$A$5:$A$14,0)))/INDEX('Cohort Summary'!$E$5:$E$14,MATCH($A420,'Cohort Summary'!$A$5:$A$14,0))</f>
        <v>-1.12857142857143</v>
      </c>
      <c r="J420" s="42" t="n">
        <f aca="false">(E420-INDEX('Cohort Summary'!$F$5:$F$14,MATCH($A420,'Cohort Summary'!$A$5:$A$14,0)))/INDEX('Cohort Summary'!$G$5:$G$14,MATCH($A420,'Cohort Summary'!$A$5:$A$14,0))</f>
        <v>-0.635944700460831</v>
      </c>
      <c r="K420" s="42" t="n">
        <f aca="false">(F420-INDEX('Cohort Summary'!$H$5:$H$14,MATCH($A420,'Cohort Summary'!$A$5:$A$14,0)))/INDEX('Cohort Summary'!$I$5:$I$14,MATCH($A420,'Cohort Summary'!$A$5:$A$14,0))</f>
        <v>-0.0288808664259922</v>
      </c>
      <c r="L420" s="42" t="n">
        <f aca="false">(G420-INDEX('Cohort Summary'!$J$5:$J$14,MATCH($A420,'Cohort Summary'!$A$5:$A$14,0)))/INDEX('Cohort Summary'!$K$5:$K$14,MATCH($A420,'Cohort Summary'!$A$5:$A$14,0))</f>
        <v>0.298245614035091</v>
      </c>
      <c r="M420" s="42" t="n">
        <f aca="false">MAX(I420:K420)</f>
        <v>-0.0288808664259922</v>
      </c>
      <c r="N420" s="27" t="s">
        <v>197</v>
      </c>
      <c r="O420" s="27"/>
      <c r="P420" s="27" t="str">
        <f aca="false">A420&amp;"|"&amp;N420</f>
        <v>NURSE-03|normal</v>
      </c>
    </row>
    <row r="421" customFormat="false" ht="15" hidden="false" customHeight="true" outlineLevel="0" collapsed="false">
      <c r="A421" s="27" t="s">
        <v>78</v>
      </c>
      <c r="B421" s="41" t="n">
        <v>46303.2982638889</v>
      </c>
      <c r="C421" s="27" t="s">
        <v>195</v>
      </c>
      <c r="D421" s="27" t="n">
        <v>33.1</v>
      </c>
      <c r="E421" s="27" t="n">
        <v>15.9</v>
      </c>
      <c r="F421" s="27" t="n">
        <v>31.8</v>
      </c>
      <c r="G421" s="27" t="n">
        <v>33.4</v>
      </c>
      <c r="H421" s="27" t="s">
        <v>198</v>
      </c>
      <c r="I421" s="42" t="n">
        <f aca="false">(D421-INDEX('Cohort Summary'!$D$5:$D$14,MATCH($A421,'Cohort Summary'!$A$5:$A$14,0)))/INDEX('Cohort Summary'!$E$5:$E$14,MATCH($A421,'Cohort Summary'!$A$5:$A$14,0))</f>
        <v>-1.37857142857143</v>
      </c>
      <c r="J421" s="42" t="n">
        <f aca="false">(E421-INDEX('Cohort Summary'!$F$5:$F$14,MATCH($A421,'Cohort Summary'!$A$5:$A$14,0)))/INDEX('Cohort Summary'!$G$5:$G$14,MATCH($A421,'Cohort Summary'!$A$5:$A$14,0))</f>
        <v>-1.09677419354839</v>
      </c>
      <c r="K421" s="42" t="n">
        <f aca="false">(F421-INDEX('Cohort Summary'!$H$5:$H$14,MATCH($A421,'Cohort Summary'!$A$5:$A$14,0)))/INDEX('Cohort Summary'!$I$5:$I$14,MATCH($A421,'Cohort Summary'!$A$5:$A$14,0))</f>
        <v>1.48736462093863</v>
      </c>
      <c r="L421" s="42" t="n">
        <f aca="false">(G421-INDEX('Cohort Summary'!$J$5:$J$14,MATCH($A421,'Cohort Summary'!$A$5:$A$14,0)))/INDEX('Cohort Summary'!$K$5:$K$14,MATCH($A421,'Cohort Summary'!$A$5:$A$14,0))</f>
        <v>0.12280701754386</v>
      </c>
      <c r="M421" s="42" t="n">
        <f aca="false">MAX(I421:K421)</f>
        <v>1.48736462093863</v>
      </c>
      <c r="N421" s="27" t="s">
        <v>197</v>
      </c>
      <c r="O421" s="27"/>
      <c r="P421" s="27" t="str">
        <f aca="false">A421&amp;"|"&amp;N421</f>
        <v>NURSE-03|normal</v>
      </c>
    </row>
    <row r="422" customFormat="false" ht="15" hidden="false" customHeight="true" outlineLevel="0" collapsed="false">
      <c r="A422" s="27" t="s">
        <v>78</v>
      </c>
      <c r="B422" s="41" t="n">
        <v>46303.2986111111</v>
      </c>
      <c r="C422" s="27" t="s">
        <v>195</v>
      </c>
      <c r="D422" s="27" t="n">
        <v>40.6</v>
      </c>
      <c r="E422" s="27" t="n">
        <v>16</v>
      </c>
      <c r="F422" s="27" t="n">
        <v>28.7</v>
      </c>
      <c r="G422" s="27" t="n">
        <v>33.8</v>
      </c>
      <c r="H422" s="27" t="s">
        <v>198</v>
      </c>
      <c r="I422" s="42" t="n">
        <f aca="false">(D422-INDEX('Cohort Summary'!$D$5:$D$14,MATCH($A422,'Cohort Summary'!$A$5:$A$14,0)))/INDEX('Cohort Summary'!$E$5:$E$14,MATCH($A422,'Cohort Summary'!$A$5:$A$14,0))</f>
        <v>1.3</v>
      </c>
      <c r="J422" s="42" t="n">
        <f aca="false">(E422-INDEX('Cohort Summary'!$F$5:$F$14,MATCH($A422,'Cohort Summary'!$A$5:$A$14,0)))/INDEX('Cohort Summary'!$G$5:$G$14,MATCH($A422,'Cohort Summary'!$A$5:$A$14,0))</f>
        <v>-1.05069124423963</v>
      </c>
      <c r="K422" s="42" t="n">
        <f aca="false">(F422-INDEX('Cohort Summary'!$H$5:$H$14,MATCH($A422,'Cohort Summary'!$A$5:$A$14,0)))/INDEX('Cohort Summary'!$I$5:$I$14,MATCH($A422,'Cohort Summary'!$A$5:$A$14,0))</f>
        <v>0.368231046931408</v>
      </c>
      <c r="L422" s="42" t="n">
        <f aca="false">(G422-INDEX('Cohort Summary'!$J$5:$J$14,MATCH($A422,'Cohort Summary'!$A$5:$A$14,0)))/INDEX('Cohort Summary'!$K$5:$K$14,MATCH($A422,'Cohort Summary'!$A$5:$A$14,0))</f>
        <v>0.82456140350877</v>
      </c>
      <c r="M422" s="42" t="n">
        <f aca="false">MAX(I422:K422)</f>
        <v>1.3</v>
      </c>
      <c r="N422" s="27" t="s">
        <v>197</v>
      </c>
      <c r="O422" s="27"/>
      <c r="P422" s="27" t="str">
        <f aca="false">A422&amp;"|"&amp;N422</f>
        <v>NURSE-03|normal</v>
      </c>
    </row>
    <row r="423" customFormat="false" ht="15" hidden="false" customHeight="true" outlineLevel="0" collapsed="false">
      <c r="A423" s="27" t="s">
        <v>78</v>
      </c>
      <c r="B423" s="41" t="n">
        <v>46303.2989583333</v>
      </c>
      <c r="C423" s="27" t="s">
        <v>195</v>
      </c>
      <c r="D423" s="27" t="n">
        <v>41.5</v>
      </c>
      <c r="E423" s="27" t="n">
        <v>15.1</v>
      </c>
      <c r="F423" s="27" t="n">
        <v>29.3</v>
      </c>
      <c r="G423" s="27" t="n">
        <v>33.7</v>
      </c>
      <c r="H423" s="27" t="s">
        <v>196</v>
      </c>
      <c r="I423" s="42" t="n">
        <f aca="false">(D423-INDEX('Cohort Summary'!$D$5:$D$14,MATCH($A423,'Cohort Summary'!$A$5:$A$14,0)))/INDEX('Cohort Summary'!$E$5:$E$14,MATCH($A423,'Cohort Summary'!$A$5:$A$14,0))</f>
        <v>1.62142857142857</v>
      </c>
      <c r="J423" s="42" t="n">
        <f aca="false">(E423-INDEX('Cohort Summary'!$F$5:$F$14,MATCH($A423,'Cohort Summary'!$A$5:$A$14,0)))/INDEX('Cohort Summary'!$G$5:$G$14,MATCH($A423,'Cohort Summary'!$A$5:$A$14,0))</f>
        <v>-1.46543778801843</v>
      </c>
      <c r="K423" s="42" t="n">
        <f aca="false">(F423-INDEX('Cohort Summary'!$H$5:$H$14,MATCH($A423,'Cohort Summary'!$A$5:$A$14,0)))/INDEX('Cohort Summary'!$I$5:$I$14,MATCH($A423,'Cohort Summary'!$A$5:$A$14,0))</f>
        <v>0.584837545126354</v>
      </c>
      <c r="L423" s="42" t="n">
        <f aca="false">(G423-INDEX('Cohort Summary'!$J$5:$J$14,MATCH($A423,'Cohort Summary'!$A$5:$A$14,0)))/INDEX('Cohort Summary'!$K$5:$K$14,MATCH($A423,'Cohort Summary'!$A$5:$A$14,0))</f>
        <v>0.649122807017552</v>
      </c>
      <c r="M423" s="42" t="n">
        <f aca="false">MAX(I423:K423)</f>
        <v>1.62142857142857</v>
      </c>
      <c r="N423" s="27" t="s">
        <v>197</v>
      </c>
      <c r="O423" s="27"/>
      <c r="P423" s="27" t="str">
        <f aca="false">A423&amp;"|"&amp;N423</f>
        <v>NURSE-03|normal</v>
      </c>
    </row>
    <row r="424" customFormat="false" ht="15" hidden="false" customHeight="true" outlineLevel="0" collapsed="false">
      <c r="A424" s="27" t="s">
        <v>78</v>
      </c>
      <c r="B424" s="41" t="n">
        <v>46303.2993055556</v>
      </c>
      <c r="C424" s="27" t="s">
        <v>195</v>
      </c>
      <c r="D424" s="27" t="n">
        <v>40.4</v>
      </c>
      <c r="E424" s="27" t="n">
        <v>18.7</v>
      </c>
      <c r="F424" s="27" t="n">
        <v>27</v>
      </c>
      <c r="G424" s="27" t="n">
        <v>34.2</v>
      </c>
      <c r="H424" s="27" t="s">
        <v>199</v>
      </c>
      <c r="I424" s="42" t="n">
        <f aca="false">(D424-INDEX('Cohort Summary'!$D$5:$D$14,MATCH($A424,'Cohort Summary'!$A$5:$A$14,0)))/INDEX('Cohort Summary'!$E$5:$E$14,MATCH($A424,'Cohort Summary'!$A$5:$A$14,0))</f>
        <v>1.22857142857143</v>
      </c>
      <c r="J424" s="42" t="n">
        <f aca="false">(E424-INDEX('Cohort Summary'!$F$5:$F$14,MATCH($A424,'Cohort Summary'!$A$5:$A$14,0)))/INDEX('Cohort Summary'!$G$5:$G$14,MATCH($A424,'Cohort Summary'!$A$5:$A$14,0))</f>
        <v>0.193548387096773</v>
      </c>
      <c r="K424" s="42" t="n">
        <f aca="false">(F424-INDEX('Cohort Summary'!$H$5:$H$14,MATCH($A424,'Cohort Summary'!$A$5:$A$14,0)))/INDEX('Cohort Summary'!$I$5:$I$14,MATCH($A424,'Cohort Summary'!$A$5:$A$14,0))</f>
        <v>-0.245487364620939</v>
      </c>
      <c r="L424" s="42" t="n">
        <f aca="false">(G424-INDEX('Cohort Summary'!$J$5:$J$14,MATCH($A424,'Cohort Summary'!$A$5:$A$14,0)))/INDEX('Cohort Summary'!$K$5:$K$14,MATCH($A424,'Cohort Summary'!$A$5:$A$14,0))</f>
        <v>1.52631578947369</v>
      </c>
      <c r="M424" s="42" t="n">
        <f aca="false">MAX(I424:K424)</f>
        <v>1.22857142857143</v>
      </c>
      <c r="N424" s="27" t="s">
        <v>197</v>
      </c>
      <c r="O424" s="27"/>
      <c r="P424" s="27" t="str">
        <f aca="false">A424&amp;"|"&amp;N424</f>
        <v>NURSE-03|normal</v>
      </c>
    </row>
    <row r="425" customFormat="false" ht="15" hidden="false" customHeight="true" outlineLevel="0" collapsed="false">
      <c r="A425" s="27" t="s">
        <v>78</v>
      </c>
      <c r="B425" s="41" t="n">
        <v>46303.2996527778</v>
      </c>
      <c r="C425" s="27" t="s">
        <v>195</v>
      </c>
      <c r="D425" s="27" t="n">
        <v>35.4</v>
      </c>
      <c r="E425" s="27" t="n">
        <v>16.7</v>
      </c>
      <c r="F425" s="27" t="n">
        <v>26.4</v>
      </c>
      <c r="G425" s="27" t="n">
        <v>33.2</v>
      </c>
      <c r="H425" s="27" t="s">
        <v>196</v>
      </c>
      <c r="I425" s="42" t="n">
        <f aca="false">(D425-INDEX('Cohort Summary'!$D$5:$D$14,MATCH($A425,'Cohort Summary'!$A$5:$A$14,0)))/INDEX('Cohort Summary'!$E$5:$E$14,MATCH($A425,'Cohort Summary'!$A$5:$A$14,0))</f>
        <v>-0.557142857142858</v>
      </c>
      <c r="J425" s="42" t="n">
        <f aca="false">(E425-INDEX('Cohort Summary'!$F$5:$F$14,MATCH($A425,'Cohort Summary'!$A$5:$A$14,0)))/INDEX('Cohort Summary'!$G$5:$G$14,MATCH($A425,'Cohort Summary'!$A$5:$A$14,0))</f>
        <v>-0.728110599078342</v>
      </c>
      <c r="K425" s="42" t="n">
        <f aca="false">(F425-INDEX('Cohort Summary'!$H$5:$H$14,MATCH($A425,'Cohort Summary'!$A$5:$A$14,0)))/INDEX('Cohort Summary'!$I$5:$I$14,MATCH($A425,'Cohort Summary'!$A$5:$A$14,0))</f>
        <v>-0.462093862815885</v>
      </c>
      <c r="L425" s="42" t="n">
        <f aca="false">(G425-INDEX('Cohort Summary'!$J$5:$J$14,MATCH($A425,'Cohort Summary'!$A$5:$A$14,0)))/INDEX('Cohort Summary'!$K$5:$K$14,MATCH($A425,'Cohort Summary'!$A$5:$A$14,0))</f>
        <v>-0.228070175438589</v>
      </c>
      <c r="M425" s="42" t="n">
        <f aca="false">MAX(I425:K425)</f>
        <v>-0.462093862815885</v>
      </c>
      <c r="N425" s="27" t="s">
        <v>197</v>
      </c>
      <c r="O425" s="27"/>
      <c r="P425" s="27" t="str">
        <f aca="false">A425&amp;"|"&amp;N425</f>
        <v>NURSE-03|normal</v>
      </c>
    </row>
    <row r="426" customFormat="false" ht="15" hidden="false" customHeight="true" outlineLevel="0" collapsed="false">
      <c r="A426" s="27" t="s">
        <v>78</v>
      </c>
      <c r="B426" s="41" t="n">
        <v>46303.3</v>
      </c>
      <c r="C426" s="27" t="s">
        <v>195</v>
      </c>
      <c r="D426" s="27" t="n">
        <v>40</v>
      </c>
      <c r="E426" s="27" t="n">
        <v>21.4</v>
      </c>
      <c r="F426" s="27" t="n">
        <v>31.2</v>
      </c>
      <c r="G426" s="27" t="n">
        <v>34</v>
      </c>
      <c r="H426" s="27" t="s">
        <v>198</v>
      </c>
      <c r="I426" s="42" t="n">
        <f aca="false">(D426-INDEX('Cohort Summary'!$D$5:$D$14,MATCH($A426,'Cohort Summary'!$A$5:$A$14,0)))/INDEX('Cohort Summary'!$E$5:$E$14,MATCH($A426,'Cohort Summary'!$A$5:$A$14,0))</f>
        <v>1.08571428571429</v>
      </c>
      <c r="J426" s="42" t="n">
        <f aca="false">(E426-INDEX('Cohort Summary'!$F$5:$F$14,MATCH($A426,'Cohort Summary'!$A$5:$A$14,0)))/INDEX('Cohort Summary'!$G$5:$G$14,MATCH($A426,'Cohort Summary'!$A$5:$A$14,0))</f>
        <v>1.43778801843318</v>
      </c>
      <c r="K426" s="42" t="n">
        <f aca="false">(F426-INDEX('Cohort Summary'!$H$5:$H$14,MATCH($A426,'Cohort Summary'!$A$5:$A$14,0)))/INDEX('Cohort Summary'!$I$5:$I$14,MATCH($A426,'Cohort Summary'!$A$5:$A$14,0))</f>
        <v>1.27075812274368</v>
      </c>
      <c r="L426" s="42" t="n">
        <f aca="false">(G426-INDEX('Cohort Summary'!$J$5:$J$14,MATCH($A426,'Cohort Summary'!$A$5:$A$14,0)))/INDEX('Cohort Summary'!$K$5:$K$14,MATCH($A426,'Cohort Summary'!$A$5:$A$14,0))</f>
        <v>1.17543859649123</v>
      </c>
      <c r="M426" s="42" t="n">
        <f aca="false">MAX(I426:K426)</f>
        <v>1.43778801843318</v>
      </c>
      <c r="N426" s="27" t="s">
        <v>197</v>
      </c>
      <c r="O426" s="27"/>
      <c r="P426" s="27" t="str">
        <f aca="false">A426&amp;"|"&amp;N426</f>
        <v>NURSE-03|normal</v>
      </c>
    </row>
    <row r="427" customFormat="false" ht="15" hidden="false" customHeight="true" outlineLevel="0" collapsed="false">
      <c r="A427" s="27" t="s">
        <v>78</v>
      </c>
      <c r="B427" s="41" t="n">
        <v>46303.3003472222</v>
      </c>
      <c r="C427" s="27" t="s">
        <v>195</v>
      </c>
      <c r="D427" s="27" t="n">
        <v>35.2</v>
      </c>
      <c r="E427" s="27" t="n">
        <v>16</v>
      </c>
      <c r="F427" s="27" t="n">
        <v>29.8</v>
      </c>
      <c r="G427" s="27" t="n">
        <v>33</v>
      </c>
      <c r="H427" s="27" t="s">
        <v>199</v>
      </c>
      <c r="I427" s="42" t="n">
        <f aca="false">(D427-INDEX('Cohort Summary'!$D$5:$D$14,MATCH($A427,'Cohort Summary'!$A$5:$A$14,0)))/INDEX('Cohort Summary'!$E$5:$E$14,MATCH($A427,'Cohort Summary'!$A$5:$A$14,0))</f>
        <v>-0.628571428571428</v>
      </c>
      <c r="J427" s="42" t="n">
        <f aca="false">(E427-INDEX('Cohort Summary'!$F$5:$F$14,MATCH($A427,'Cohort Summary'!$A$5:$A$14,0)))/INDEX('Cohort Summary'!$G$5:$G$14,MATCH($A427,'Cohort Summary'!$A$5:$A$14,0))</f>
        <v>-1.05069124423963</v>
      </c>
      <c r="K427" s="42" t="n">
        <f aca="false">(F427-INDEX('Cohort Summary'!$H$5:$H$14,MATCH($A427,'Cohort Summary'!$A$5:$A$14,0)))/INDEX('Cohort Summary'!$I$5:$I$14,MATCH($A427,'Cohort Summary'!$A$5:$A$14,0))</f>
        <v>0.765342960288809</v>
      </c>
      <c r="L427" s="42" t="n">
        <f aca="false">(G427-INDEX('Cohort Summary'!$J$5:$J$14,MATCH($A427,'Cohort Summary'!$A$5:$A$14,0)))/INDEX('Cohort Summary'!$K$5:$K$14,MATCH($A427,'Cohort Summary'!$A$5:$A$14,0))</f>
        <v>-0.57894736842105</v>
      </c>
      <c r="M427" s="42" t="n">
        <f aca="false">MAX(I427:K427)</f>
        <v>0.765342960288809</v>
      </c>
      <c r="N427" s="27" t="s">
        <v>197</v>
      </c>
      <c r="O427" s="27"/>
      <c r="P427" s="27" t="str">
        <f aca="false">A427&amp;"|"&amp;N427</f>
        <v>NURSE-03|normal</v>
      </c>
    </row>
    <row r="428" customFormat="false" ht="15" hidden="false" customHeight="true" outlineLevel="0" collapsed="false">
      <c r="A428" s="27" t="s">
        <v>78</v>
      </c>
      <c r="B428" s="41" t="n">
        <v>46303.3006944444</v>
      </c>
      <c r="C428" s="27" t="s">
        <v>195</v>
      </c>
      <c r="D428" s="27" t="n">
        <v>38.6</v>
      </c>
      <c r="E428" s="27" t="n">
        <v>15.1</v>
      </c>
      <c r="F428" s="27" t="n">
        <v>24.1</v>
      </c>
      <c r="G428" s="27" t="n">
        <v>32.7</v>
      </c>
      <c r="H428" s="27" t="s">
        <v>199</v>
      </c>
      <c r="I428" s="42" t="n">
        <f aca="false">(D428-INDEX('Cohort Summary'!$D$5:$D$14,MATCH($A428,'Cohort Summary'!$A$5:$A$14,0)))/INDEX('Cohort Summary'!$E$5:$E$14,MATCH($A428,'Cohort Summary'!$A$5:$A$14,0))</f>
        <v>0.585714285714286</v>
      </c>
      <c r="J428" s="42" t="n">
        <f aca="false">(E428-INDEX('Cohort Summary'!$F$5:$F$14,MATCH($A428,'Cohort Summary'!$A$5:$A$14,0)))/INDEX('Cohort Summary'!$G$5:$G$14,MATCH($A428,'Cohort Summary'!$A$5:$A$14,0))</f>
        <v>-1.46543778801843</v>
      </c>
      <c r="K428" s="42" t="n">
        <f aca="false">(F428-INDEX('Cohort Summary'!$H$5:$H$14,MATCH($A428,'Cohort Summary'!$A$5:$A$14,0)))/INDEX('Cohort Summary'!$I$5:$I$14,MATCH($A428,'Cohort Summary'!$A$5:$A$14,0))</f>
        <v>-1.29241877256318</v>
      </c>
      <c r="L428" s="42" t="n">
        <f aca="false">(G428-INDEX('Cohort Summary'!$J$5:$J$14,MATCH($A428,'Cohort Summary'!$A$5:$A$14,0)))/INDEX('Cohort Summary'!$K$5:$K$14,MATCH($A428,'Cohort Summary'!$A$5:$A$14,0))</f>
        <v>-1.10526315789473</v>
      </c>
      <c r="M428" s="42" t="n">
        <f aca="false">MAX(I428:K428)</f>
        <v>0.585714285714286</v>
      </c>
      <c r="N428" s="27" t="s">
        <v>197</v>
      </c>
      <c r="O428" s="27"/>
      <c r="P428" s="27" t="str">
        <f aca="false">A428&amp;"|"&amp;N428</f>
        <v>NURSE-03|normal</v>
      </c>
    </row>
    <row r="429" customFormat="false" ht="15" hidden="false" customHeight="true" outlineLevel="0" collapsed="false">
      <c r="A429" s="27" t="s">
        <v>78</v>
      </c>
      <c r="B429" s="41" t="n">
        <v>46303.3010416667</v>
      </c>
      <c r="C429" s="27" t="s">
        <v>195</v>
      </c>
      <c r="D429" s="27" t="n">
        <v>36.3</v>
      </c>
      <c r="E429" s="27" t="n">
        <v>18.5</v>
      </c>
      <c r="F429" s="27" t="n">
        <v>23.2</v>
      </c>
      <c r="G429" s="27" t="n">
        <v>32.6</v>
      </c>
      <c r="H429" s="27" t="s">
        <v>199</v>
      </c>
      <c r="I429" s="42" t="n">
        <f aca="false">(D429-INDEX('Cohort Summary'!$D$5:$D$14,MATCH($A429,'Cohort Summary'!$A$5:$A$14,0)))/INDEX('Cohort Summary'!$E$5:$E$14,MATCH($A429,'Cohort Summary'!$A$5:$A$14,0))</f>
        <v>-0.235714285714287</v>
      </c>
      <c r="J429" s="42" t="n">
        <f aca="false">(E429-INDEX('Cohort Summary'!$F$5:$F$14,MATCH($A429,'Cohort Summary'!$A$5:$A$14,0)))/INDEX('Cohort Summary'!$G$5:$G$14,MATCH($A429,'Cohort Summary'!$A$5:$A$14,0))</f>
        <v>0.101382488479262</v>
      </c>
      <c r="K429" s="42" t="n">
        <f aca="false">(F429-INDEX('Cohort Summary'!$H$5:$H$14,MATCH($A429,'Cohort Summary'!$A$5:$A$14,0)))/INDEX('Cohort Summary'!$I$5:$I$14,MATCH($A429,'Cohort Summary'!$A$5:$A$14,0))</f>
        <v>-1.6173285198556</v>
      </c>
      <c r="L429" s="42" t="n">
        <f aca="false">(G429-INDEX('Cohort Summary'!$J$5:$J$14,MATCH($A429,'Cohort Summary'!$A$5:$A$14,0)))/INDEX('Cohort Summary'!$K$5:$K$14,MATCH($A429,'Cohort Summary'!$A$5:$A$14,0))</f>
        <v>-1.28070175438596</v>
      </c>
      <c r="M429" s="42" t="n">
        <f aca="false">MAX(I429:K429)</f>
        <v>0.101382488479262</v>
      </c>
      <c r="N429" s="27" t="s">
        <v>197</v>
      </c>
      <c r="O429" s="27"/>
      <c r="P429" s="27" t="str">
        <f aca="false">A429&amp;"|"&amp;N429</f>
        <v>NURSE-03|normal</v>
      </c>
    </row>
    <row r="430" customFormat="false" ht="15" hidden="false" customHeight="true" outlineLevel="0" collapsed="false">
      <c r="A430" s="27" t="s">
        <v>78</v>
      </c>
      <c r="B430" s="41" t="n">
        <v>46303.3013888889</v>
      </c>
      <c r="C430" s="27" t="s">
        <v>195</v>
      </c>
      <c r="D430" s="27" t="n">
        <v>39.8</v>
      </c>
      <c r="E430" s="27" t="n">
        <v>21.6</v>
      </c>
      <c r="F430" s="27" t="n">
        <v>29.3</v>
      </c>
      <c r="G430" s="27" t="n">
        <v>33.9</v>
      </c>
      <c r="H430" s="27" t="s">
        <v>198</v>
      </c>
      <c r="I430" s="42" t="n">
        <f aca="false">(D430-INDEX('Cohort Summary'!$D$5:$D$14,MATCH($A430,'Cohort Summary'!$A$5:$A$14,0)))/INDEX('Cohort Summary'!$E$5:$E$14,MATCH($A430,'Cohort Summary'!$A$5:$A$14,0))</f>
        <v>1.01428571428571</v>
      </c>
      <c r="J430" s="42" t="n">
        <f aca="false">(E430-INDEX('Cohort Summary'!$F$5:$F$14,MATCH($A430,'Cohort Summary'!$A$5:$A$14,0)))/INDEX('Cohort Summary'!$G$5:$G$14,MATCH($A430,'Cohort Summary'!$A$5:$A$14,0))</f>
        <v>1.52995391705069</v>
      </c>
      <c r="K430" s="42" t="n">
        <f aca="false">(F430-INDEX('Cohort Summary'!$H$5:$H$14,MATCH($A430,'Cohort Summary'!$A$5:$A$14,0)))/INDEX('Cohort Summary'!$I$5:$I$14,MATCH($A430,'Cohort Summary'!$A$5:$A$14,0))</f>
        <v>0.584837545126354</v>
      </c>
      <c r="L430" s="42" t="n">
        <f aca="false">(G430-INDEX('Cohort Summary'!$J$5:$J$14,MATCH($A430,'Cohort Summary'!$A$5:$A$14,0)))/INDEX('Cohort Summary'!$K$5:$K$14,MATCH($A430,'Cohort Summary'!$A$5:$A$14,0))</f>
        <v>1</v>
      </c>
      <c r="M430" s="42" t="n">
        <f aca="false">MAX(I430:K430)</f>
        <v>1.52995391705069</v>
      </c>
      <c r="N430" s="27" t="s">
        <v>197</v>
      </c>
      <c r="O430" s="27"/>
      <c r="P430" s="27" t="str">
        <f aca="false">A430&amp;"|"&amp;N430</f>
        <v>NURSE-03|normal</v>
      </c>
    </row>
    <row r="431" customFormat="false" ht="15" hidden="false" customHeight="true" outlineLevel="0" collapsed="false">
      <c r="A431" s="27" t="s">
        <v>78</v>
      </c>
      <c r="B431" s="41" t="n">
        <v>46303.3017361111</v>
      </c>
      <c r="C431" s="27" t="s">
        <v>195</v>
      </c>
      <c r="D431" s="27" t="n">
        <v>32.3</v>
      </c>
      <c r="E431" s="27" t="n">
        <v>19.5</v>
      </c>
      <c r="F431" s="27" t="n">
        <v>25.7</v>
      </c>
      <c r="G431" s="27" t="n">
        <v>33.7</v>
      </c>
      <c r="H431" s="27" t="s">
        <v>199</v>
      </c>
      <c r="I431" s="42" t="n">
        <f aca="false">(D431-INDEX('Cohort Summary'!$D$5:$D$14,MATCH($A431,'Cohort Summary'!$A$5:$A$14,0)))/INDEX('Cohort Summary'!$E$5:$E$14,MATCH($A431,'Cohort Summary'!$A$5:$A$14,0))</f>
        <v>-1.66428571428572</v>
      </c>
      <c r="J431" s="42" t="n">
        <f aca="false">(E431-INDEX('Cohort Summary'!$F$5:$F$14,MATCH($A431,'Cohort Summary'!$A$5:$A$14,0)))/INDEX('Cohort Summary'!$G$5:$G$14,MATCH($A431,'Cohort Summary'!$A$5:$A$14,0))</f>
        <v>0.56221198156682</v>
      </c>
      <c r="K431" s="42" t="n">
        <f aca="false">(F431-INDEX('Cohort Summary'!$H$5:$H$14,MATCH($A431,'Cohort Summary'!$A$5:$A$14,0)))/INDEX('Cohort Summary'!$I$5:$I$14,MATCH($A431,'Cohort Summary'!$A$5:$A$14,0))</f>
        <v>-0.714801444043322</v>
      </c>
      <c r="L431" s="42" t="n">
        <f aca="false">(G431-INDEX('Cohort Summary'!$J$5:$J$14,MATCH($A431,'Cohort Summary'!$A$5:$A$14,0)))/INDEX('Cohort Summary'!$K$5:$K$14,MATCH($A431,'Cohort Summary'!$A$5:$A$14,0))</f>
        <v>0.649122807017552</v>
      </c>
      <c r="M431" s="42" t="n">
        <f aca="false">MAX(I431:K431)</f>
        <v>0.56221198156682</v>
      </c>
      <c r="N431" s="27" t="s">
        <v>197</v>
      </c>
      <c r="O431" s="27"/>
      <c r="P431" s="27" t="str">
        <f aca="false">A431&amp;"|"&amp;N431</f>
        <v>NURSE-03|normal</v>
      </c>
    </row>
    <row r="432" customFormat="false" ht="15" hidden="false" customHeight="true" outlineLevel="0" collapsed="false">
      <c r="A432" s="27" t="s">
        <v>78</v>
      </c>
      <c r="B432" s="41" t="n">
        <v>46303.3020833333</v>
      </c>
      <c r="C432" s="27" t="s">
        <v>195</v>
      </c>
      <c r="D432" s="27" t="n">
        <v>38.3</v>
      </c>
      <c r="E432" s="27" t="n">
        <v>20.6</v>
      </c>
      <c r="F432" s="27" t="n">
        <v>23.4</v>
      </c>
      <c r="G432" s="27" t="n">
        <v>32.5</v>
      </c>
      <c r="H432" s="27" t="s">
        <v>198</v>
      </c>
      <c r="I432" s="42" t="n">
        <f aca="false">(D432-INDEX('Cohort Summary'!$D$5:$D$14,MATCH($A432,'Cohort Summary'!$A$5:$A$14,0)))/INDEX('Cohort Summary'!$E$5:$E$14,MATCH($A432,'Cohort Summary'!$A$5:$A$14,0))</f>
        <v>0.478571428571427</v>
      </c>
      <c r="J432" s="42" t="n">
        <f aca="false">(E432-INDEX('Cohort Summary'!$F$5:$F$14,MATCH($A432,'Cohort Summary'!$A$5:$A$14,0)))/INDEX('Cohort Summary'!$G$5:$G$14,MATCH($A432,'Cohort Summary'!$A$5:$A$14,0))</f>
        <v>1.06912442396313</v>
      </c>
      <c r="K432" s="42" t="n">
        <f aca="false">(F432-INDEX('Cohort Summary'!$H$5:$H$14,MATCH($A432,'Cohort Summary'!$A$5:$A$14,0)))/INDEX('Cohort Summary'!$I$5:$I$14,MATCH($A432,'Cohort Summary'!$A$5:$A$14,0))</f>
        <v>-1.54512635379061</v>
      </c>
      <c r="L432" s="42" t="n">
        <f aca="false">(G432-INDEX('Cohort Summary'!$J$5:$J$14,MATCH($A432,'Cohort Summary'!$A$5:$A$14,0)))/INDEX('Cohort Summary'!$K$5:$K$14,MATCH($A432,'Cohort Summary'!$A$5:$A$14,0))</f>
        <v>-1.45614035087719</v>
      </c>
      <c r="M432" s="42" t="n">
        <f aca="false">MAX(I432:K432)</f>
        <v>1.06912442396313</v>
      </c>
      <c r="N432" s="27" t="s">
        <v>197</v>
      </c>
      <c r="O432" s="27"/>
      <c r="P432" s="27" t="str">
        <f aca="false">A432&amp;"|"&amp;N432</f>
        <v>NURSE-03|normal</v>
      </c>
    </row>
    <row r="433" customFormat="false" ht="15" hidden="false" customHeight="true" outlineLevel="0" collapsed="false">
      <c r="A433" s="27" t="s">
        <v>78</v>
      </c>
      <c r="B433" s="41" t="n">
        <v>46303.3024305556</v>
      </c>
      <c r="C433" s="27" t="s">
        <v>195</v>
      </c>
      <c r="D433" s="27" t="n">
        <v>37.2</v>
      </c>
      <c r="E433" s="27" t="n">
        <v>18</v>
      </c>
      <c r="F433" s="27" t="n">
        <v>32.5</v>
      </c>
      <c r="G433" s="27" t="n">
        <v>32.9</v>
      </c>
      <c r="H433" s="27" t="s">
        <v>199</v>
      </c>
      <c r="I433" s="42" t="n">
        <f aca="false">(D433-INDEX('Cohort Summary'!$D$5:$D$14,MATCH($A433,'Cohort Summary'!$A$5:$A$14,0)))/INDEX('Cohort Summary'!$E$5:$E$14,MATCH($A433,'Cohort Summary'!$A$5:$A$14,0))</f>
        <v>0.0857142857142864</v>
      </c>
      <c r="J433" s="42" t="n">
        <f aca="false">(E433-INDEX('Cohort Summary'!$F$5:$F$14,MATCH($A433,'Cohort Summary'!$A$5:$A$14,0)))/INDEX('Cohort Summary'!$G$5:$G$14,MATCH($A433,'Cohort Summary'!$A$5:$A$14,0))</f>
        <v>-0.129032258064517</v>
      </c>
      <c r="K433" s="42" t="n">
        <f aca="false">(F433-INDEX('Cohort Summary'!$H$5:$H$14,MATCH($A433,'Cohort Summary'!$A$5:$A$14,0)))/INDEX('Cohort Summary'!$I$5:$I$14,MATCH($A433,'Cohort Summary'!$A$5:$A$14,0))</f>
        <v>1.74007220216607</v>
      </c>
      <c r="L433" s="42" t="n">
        <f aca="false">(G433-INDEX('Cohort Summary'!$J$5:$J$14,MATCH($A433,'Cohort Summary'!$A$5:$A$14,0)))/INDEX('Cohort Summary'!$K$5:$K$14,MATCH($A433,'Cohort Summary'!$A$5:$A$14,0))</f>
        <v>-0.75438596491228</v>
      </c>
      <c r="M433" s="42" t="n">
        <f aca="false">MAX(I433:K433)</f>
        <v>1.74007220216607</v>
      </c>
      <c r="N433" s="27" t="s">
        <v>197</v>
      </c>
      <c r="O433" s="27"/>
      <c r="P433" s="27" t="str">
        <f aca="false">A433&amp;"|"&amp;N433</f>
        <v>NURSE-03|normal</v>
      </c>
    </row>
    <row r="434" customFormat="false" ht="15" hidden="false" customHeight="true" outlineLevel="0" collapsed="false">
      <c r="A434" s="27" t="s">
        <v>78</v>
      </c>
      <c r="B434" s="41" t="n">
        <v>46303.3027777778</v>
      </c>
      <c r="C434" s="27" t="s">
        <v>195</v>
      </c>
      <c r="D434" s="27" t="n">
        <v>35.5</v>
      </c>
      <c r="E434" s="27" t="n">
        <v>16.2</v>
      </c>
      <c r="F434" s="27" t="n">
        <v>23.6</v>
      </c>
      <c r="G434" s="27" t="n">
        <v>34.2</v>
      </c>
      <c r="H434" s="27" t="s">
        <v>196</v>
      </c>
      <c r="I434" s="42" t="n">
        <f aca="false">(D434-INDEX('Cohort Summary'!$D$5:$D$14,MATCH($A434,'Cohort Summary'!$A$5:$A$14,0)))/INDEX('Cohort Summary'!$E$5:$E$14,MATCH($A434,'Cohort Summary'!$A$5:$A$14,0))</f>
        <v>-0.521428571428572</v>
      </c>
      <c r="J434" s="42" t="n">
        <f aca="false">(E434-INDEX('Cohort Summary'!$F$5:$F$14,MATCH($A434,'Cohort Summary'!$A$5:$A$14,0)))/INDEX('Cohort Summary'!$G$5:$G$14,MATCH($A434,'Cohort Summary'!$A$5:$A$14,0))</f>
        <v>-0.958525345622121</v>
      </c>
      <c r="K434" s="42" t="n">
        <f aca="false">(F434-INDEX('Cohort Summary'!$H$5:$H$14,MATCH($A434,'Cohort Summary'!$A$5:$A$14,0)))/INDEX('Cohort Summary'!$I$5:$I$14,MATCH($A434,'Cohort Summary'!$A$5:$A$14,0))</f>
        <v>-1.47292418772563</v>
      </c>
      <c r="L434" s="42" t="n">
        <f aca="false">(G434-INDEX('Cohort Summary'!$J$5:$J$14,MATCH($A434,'Cohort Summary'!$A$5:$A$14,0)))/INDEX('Cohort Summary'!$K$5:$K$14,MATCH($A434,'Cohort Summary'!$A$5:$A$14,0))</f>
        <v>1.52631578947369</v>
      </c>
      <c r="M434" s="42" t="n">
        <f aca="false">MAX(I434:K434)</f>
        <v>-0.521428571428572</v>
      </c>
      <c r="N434" s="27" t="s">
        <v>197</v>
      </c>
      <c r="O434" s="27"/>
      <c r="P434" s="27" t="str">
        <f aca="false">A434&amp;"|"&amp;N434</f>
        <v>NURSE-03|normal</v>
      </c>
    </row>
    <row r="435" customFormat="false" ht="15" hidden="false" customHeight="true" outlineLevel="0" collapsed="false">
      <c r="A435" s="27" t="s">
        <v>78</v>
      </c>
      <c r="B435" s="41" t="n">
        <v>46303.303125</v>
      </c>
      <c r="C435" s="27" t="s">
        <v>195</v>
      </c>
      <c r="D435" s="27" t="n">
        <v>41</v>
      </c>
      <c r="E435" s="27" t="n">
        <v>15.6</v>
      </c>
      <c r="F435" s="27" t="n">
        <v>28.9</v>
      </c>
      <c r="G435" s="27" t="n">
        <v>34.2</v>
      </c>
      <c r="H435" s="27" t="s">
        <v>199</v>
      </c>
      <c r="I435" s="42" t="n">
        <f aca="false">(D435-INDEX('Cohort Summary'!$D$5:$D$14,MATCH($A435,'Cohort Summary'!$A$5:$A$14,0)))/INDEX('Cohort Summary'!$E$5:$E$14,MATCH($A435,'Cohort Summary'!$A$5:$A$14,0))</f>
        <v>1.44285714285714</v>
      </c>
      <c r="J435" s="42" t="n">
        <f aca="false">(E435-INDEX('Cohort Summary'!$F$5:$F$14,MATCH($A435,'Cohort Summary'!$A$5:$A$14,0)))/INDEX('Cohort Summary'!$G$5:$G$14,MATCH($A435,'Cohort Summary'!$A$5:$A$14,0))</f>
        <v>-1.23502304147466</v>
      </c>
      <c r="K435" s="42" t="n">
        <f aca="false">(F435-INDEX('Cohort Summary'!$H$5:$H$14,MATCH($A435,'Cohort Summary'!$A$5:$A$14,0)))/INDEX('Cohort Summary'!$I$5:$I$14,MATCH($A435,'Cohort Summary'!$A$5:$A$14,0))</f>
        <v>0.44043321299639</v>
      </c>
      <c r="L435" s="42" t="n">
        <f aca="false">(G435-INDEX('Cohort Summary'!$J$5:$J$14,MATCH($A435,'Cohort Summary'!$A$5:$A$14,0)))/INDEX('Cohort Summary'!$K$5:$K$14,MATCH($A435,'Cohort Summary'!$A$5:$A$14,0))</f>
        <v>1.52631578947369</v>
      </c>
      <c r="M435" s="42" t="n">
        <f aca="false">MAX(I435:K435)</f>
        <v>1.44285714285714</v>
      </c>
      <c r="N435" s="27" t="s">
        <v>197</v>
      </c>
      <c r="O435" s="27"/>
      <c r="P435" s="27" t="str">
        <f aca="false">A435&amp;"|"&amp;N435</f>
        <v>NURSE-03|normal</v>
      </c>
    </row>
    <row r="436" customFormat="false" ht="15" hidden="false" customHeight="true" outlineLevel="0" collapsed="false">
      <c r="A436" s="27" t="s">
        <v>78</v>
      </c>
      <c r="B436" s="41" t="n">
        <v>46303.3034722222</v>
      </c>
      <c r="C436" s="27" t="s">
        <v>195</v>
      </c>
      <c r="D436" s="27" t="n">
        <v>33.2</v>
      </c>
      <c r="E436" s="27" t="n">
        <v>15.9</v>
      </c>
      <c r="F436" s="27" t="n">
        <v>25.9</v>
      </c>
      <c r="G436" s="27" t="n">
        <v>33.1</v>
      </c>
      <c r="H436" s="27" t="s">
        <v>199</v>
      </c>
      <c r="I436" s="42" t="n">
        <f aca="false">(D436-INDEX('Cohort Summary'!$D$5:$D$14,MATCH($A436,'Cohort Summary'!$A$5:$A$14,0)))/INDEX('Cohort Summary'!$E$5:$E$14,MATCH($A436,'Cohort Summary'!$A$5:$A$14,0))</f>
        <v>-1.34285714285714</v>
      </c>
      <c r="J436" s="42" t="n">
        <f aca="false">(E436-INDEX('Cohort Summary'!$F$5:$F$14,MATCH($A436,'Cohort Summary'!$A$5:$A$14,0)))/INDEX('Cohort Summary'!$G$5:$G$14,MATCH($A436,'Cohort Summary'!$A$5:$A$14,0))</f>
        <v>-1.09677419354839</v>
      </c>
      <c r="K436" s="42" t="n">
        <f aca="false">(F436-INDEX('Cohort Summary'!$H$5:$H$14,MATCH($A436,'Cohort Summary'!$A$5:$A$14,0)))/INDEX('Cohort Summary'!$I$5:$I$14,MATCH($A436,'Cohort Summary'!$A$5:$A$14,0))</f>
        <v>-0.64259927797834</v>
      </c>
      <c r="L436" s="42" t="n">
        <f aca="false">(G436-INDEX('Cohort Summary'!$J$5:$J$14,MATCH($A436,'Cohort Summary'!$A$5:$A$14,0)))/INDEX('Cohort Summary'!$K$5:$K$14,MATCH($A436,'Cohort Summary'!$A$5:$A$14,0))</f>
        <v>-0.403508771929819</v>
      </c>
      <c r="M436" s="42" t="n">
        <f aca="false">MAX(I436:K436)</f>
        <v>-0.64259927797834</v>
      </c>
      <c r="N436" s="27" t="s">
        <v>197</v>
      </c>
      <c r="O436" s="27"/>
      <c r="P436" s="27" t="str">
        <f aca="false">A436&amp;"|"&amp;N436</f>
        <v>NURSE-03|normal</v>
      </c>
    </row>
    <row r="437" customFormat="false" ht="15" hidden="false" customHeight="true" outlineLevel="0" collapsed="false">
      <c r="A437" s="27" t="s">
        <v>78</v>
      </c>
      <c r="B437" s="41" t="n">
        <v>46303.3038194445</v>
      </c>
      <c r="C437" s="27" t="s">
        <v>195</v>
      </c>
      <c r="D437" s="27" t="n">
        <v>34.7</v>
      </c>
      <c r="E437" s="27" t="n">
        <v>20.2</v>
      </c>
      <c r="F437" s="27" t="n">
        <v>30.4</v>
      </c>
      <c r="G437" s="27" t="n">
        <v>32.9</v>
      </c>
      <c r="H437" s="27" t="s">
        <v>199</v>
      </c>
      <c r="I437" s="42" t="n">
        <f aca="false">(D437-INDEX('Cohort Summary'!$D$5:$D$14,MATCH($A437,'Cohort Summary'!$A$5:$A$14,0)))/INDEX('Cohort Summary'!$E$5:$E$14,MATCH($A437,'Cohort Summary'!$A$5:$A$14,0))</f>
        <v>-0.807142857142857</v>
      </c>
      <c r="J437" s="42" t="n">
        <f aca="false">(E437-INDEX('Cohort Summary'!$F$5:$F$14,MATCH($A437,'Cohort Summary'!$A$5:$A$14,0)))/INDEX('Cohort Summary'!$G$5:$G$14,MATCH($A437,'Cohort Summary'!$A$5:$A$14,0))</f>
        <v>0.88479262672811</v>
      </c>
      <c r="K437" s="42" t="n">
        <f aca="false">(F437-INDEX('Cohort Summary'!$H$5:$H$14,MATCH($A437,'Cohort Summary'!$A$5:$A$14,0)))/INDEX('Cohort Summary'!$I$5:$I$14,MATCH($A437,'Cohort Summary'!$A$5:$A$14,0))</f>
        <v>0.981949458483754</v>
      </c>
      <c r="L437" s="42" t="n">
        <f aca="false">(G437-INDEX('Cohort Summary'!$J$5:$J$14,MATCH($A437,'Cohort Summary'!$A$5:$A$14,0)))/INDEX('Cohort Summary'!$K$5:$K$14,MATCH($A437,'Cohort Summary'!$A$5:$A$14,0))</f>
        <v>-0.75438596491228</v>
      </c>
      <c r="M437" s="42" t="n">
        <f aca="false">MAX(I437:K437)</f>
        <v>0.981949458483754</v>
      </c>
      <c r="N437" s="27" t="s">
        <v>197</v>
      </c>
      <c r="O437" s="27"/>
      <c r="P437" s="27" t="str">
        <f aca="false">A437&amp;"|"&amp;N437</f>
        <v>NURSE-03|normal</v>
      </c>
    </row>
    <row r="438" customFormat="false" ht="15" hidden="false" customHeight="true" outlineLevel="0" collapsed="false">
      <c r="A438" s="27" t="s">
        <v>78</v>
      </c>
      <c r="B438" s="41" t="n">
        <v>46303.3041666667</v>
      </c>
      <c r="C438" s="27" t="s">
        <v>195</v>
      </c>
      <c r="D438" s="27" t="n">
        <v>38.1</v>
      </c>
      <c r="E438" s="27" t="n">
        <v>19</v>
      </c>
      <c r="F438" s="27" t="n">
        <v>29.5</v>
      </c>
      <c r="G438" s="27" t="n">
        <v>32.7</v>
      </c>
      <c r="H438" s="27" t="s">
        <v>196</v>
      </c>
      <c r="I438" s="42" t="n">
        <f aca="false">(D438-INDEX('Cohort Summary'!$D$5:$D$14,MATCH($A438,'Cohort Summary'!$A$5:$A$14,0)))/INDEX('Cohort Summary'!$E$5:$E$14,MATCH($A438,'Cohort Summary'!$A$5:$A$14,0))</f>
        <v>0.407142857142857</v>
      </c>
      <c r="J438" s="42" t="n">
        <f aca="false">(E438-INDEX('Cohort Summary'!$F$5:$F$14,MATCH($A438,'Cohort Summary'!$A$5:$A$14,0)))/INDEX('Cohort Summary'!$G$5:$G$14,MATCH($A438,'Cohort Summary'!$A$5:$A$14,0))</f>
        <v>0.331797235023041</v>
      </c>
      <c r="K438" s="42" t="n">
        <f aca="false">(F438-INDEX('Cohort Summary'!$H$5:$H$14,MATCH($A438,'Cohort Summary'!$A$5:$A$14,0)))/INDEX('Cohort Summary'!$I$5:$I$14,MATCH($A438,'Cohort Summary'!$A$5:$A$14,0))</f>
        <v>0.657039711191336</v>
      </c>
      <c r="L438" s="42" t="n">
        <f aca="false">(G438-INDEX('Cohort Summary'!$J$5:$J$14,MATCH($A438,'Cohort Summary'!$A$5:$A$14,0)))/INDEX('Cohort Summary'!$K$5:$K$14,MATCH($A438,'Cohort Summary'!$A$5:$A$14,0))</f>
        <v>-1.10526315789473</v>
      </c>
      <c r="M438" s="42" t="n">
        <f aca="false">MAX(I438:K438)</f>
        <v>0.657039711191336</v>
      </c>
      <c r="N438" s="27" t="s">
        <v>197</v>
      </c>
      <c r="O438" s="27"/>
      <c r="P438" s="27" t="str">
        <f aca="false">A438&amp;"|"&amp;N438</f>
        <v>NURSE-03|normal</v>
      </c>
    </row>
    <row r="439" customFormat="false" ht="15" hidden="false" customHeight="true" outlineLevel="0" collapsed="false">
      <c r="A439" s="27" t="s">
        <v>78</v>
      </c>
      <c r="B439" s="41" t="n">
        <v>46303.3045138889</v>
      </c>
      <c r="C439" s="27" t="s">
        <v>195</v>
      </c>
      <c r="D439" s="27" t="n">
        <v>35.7</v>
      </c>
      <c r="E439" s="27" t="n">
        <v>21.2</v>
      </c>
      <c r="F439" s="27" t="n">
        <v>26</v>
      </c>
      <c r="G439" s="27" t="n">
        <v>33.3</v>
      </c>
      <c r="H439" s="27" t="s">
        <v>199</v>
      </c>
      <c r="I439" s="42" t="n">
        <f aca="false">(D439-INDEX('Cohort Summary'!$D$5:$D$14,MATCH($A439,'Cohort Summary'!$A$5:$A$14,0)))/INDEX('Cohort Summary'!$E$5:$E$14,MATCH($A439,'Cohort Summary'!$A$5:$A$14,0))</f>
        <v>-0.449999999999999</v>
      </c>
      <c r="J439" s="42" t="n">
        <f aca="false">(E439-INDEX('Cohort Summary'!$F$5:$F$14,MATCH($A439,'Cohort Summary'!$A$5:$A$14,0)))/INDEX('Cohort Summary'!$G$5:$G$14,MATCH($A439,'Cohort Summary'!$A$5:$A$14,0))</f>
        <v>1.34562211981567</v>
      </c>
      <c r="K439" s="42" t="n">
        <f aca="false">(F439-INDEX('Cohort Summary'!$H$5:$H$14,MATCH($A439,'Cohort Summary'!$A$5:$A$14,0)))/INDEX('Cohort Summary'!$I$5:$I$14,MATCH($A439,'Cohort Summary'!$A$5:$A$14,0))</f>
        <v>-0.606498194945848</v>
      </c>
      <c r="L439" s="42" t="n">
        <f aca="false">(G439-INDEX('Cohort Summary'!$J$5:$J$14,MATCH($A439,'Cohort Summary'!$A$5:$A$14,0)))/INDEX('Cohort Summary'!$K$5:$K$14,MATCH($A439,'Cohort Summary'!$A$5:$A$14,0))</f>
        <v>-0.0526315789473704</v>
      </c>
      <c r="M439" s="42" t="n">
        <f aca="false">MAX(I439:K439)</f>
        <v>1.34562211981567</v>
      </c>
      <c r="N439" s="27" t="s">
        <v>197</v>
      </c>
      <c r="O439" s="27"/>
      <c r="P439" s="27" t="str">
        <f aca="false">A439&amp;"|"&amp;N439</f>
        <v>NURSE-03|normal</v>
      </c>
    </row>
    <row r="440" customFormat="false" ht="15" hidden="false" customHeight="true" outlineLevel="0" collapsed="false">
      <c r="A440" s="27" t="s">
        <v>78</v>
      </c>
      <c r="B440" s="41" t="n">
        <v>46303.3048611111</v>
      </c>
      <c r="C440" s="27" t="s">
        <v>195</v>
      </c>
      <c r="D440" s="27" t="n">
        <v>32.3</v>
      </c>
      <c r="E440" s="27" t="n">
        <v>17.3</v>
      </c>
      <c r="F440" s="27" t="n">
        <v>24.9</v>
      </c>
      <c r="G440" s="27" t="n">
        <v>33.4</v>
      </c>
      <c r="H440" s="27" t="s">
        <v>196</v>
      </c>
      <c r="I440" s="42" t="n">
        <f aca="false">(D440-INDEX('Cohort Summary'!$D$5:$D$14,MATCH($A440,'Cohort Summary'!$A$5:$A$14,0)))/INDEX('Cohort Summary'!$E$5:$E$14,MATCH($A440,'Cohort Summary'!$A$5:$A$14,0))</f>
        <v>-1.66428571428572</v>
      </c>
      <c r="J440" s="42" t="n">
        <f aca="false">(E440-INDEX('Cohort Summary'!$F$5:$F$14,MATCH($A440,'Cohort Summary'!$A$5:$A$14,0)))/INDEX('Cohort Summary'!$G$5:$G$14,MATCH($A440,'Cohort Summary'!$A$5:$A$14,0))</f>
        <v>-0.451612903225807</v>
      </c>
      <c r="K440" s="42" t="n">
        <f aca="false">(F440-INDEX('Cohort Summary'!$H$5:$H$14,MATCH($A440,'Cohort Summary'!$A$5:$A$14,0)))/INDEX('Cohort Summary'!$I$5:$I$14,MATCH($A440,'Cohort Summary'!$A$5:$A$14,0))</f>
        <v>-1.00361010830325</v>
      </c>
      <c r="L440" s="42" t="n">
        <f aca="false">(G440-INDEX('Cohort Summary'!$J$5:$J$14,MATCH($A440,'Cohort Summary'!$A$5:$A$14,0)))/INDEX('Cohort Summary'!$K$5:$K$14,MATCH($A440,'Cohort Summary'!$A$5:$A$14,0))</f>
        <v>0.12280701754386</v>
      </c>
      <c r="M440" s="42" t="n">
        <f aca="false">MAX(I440:K440)</f>
        <v>-0.451612903225807</v>
      </c>
      <c r="N440" s="27" t="s">
        <v>197</v>
      </c>
      <c r="O440" s="27"/>
      <c r="P440" s="27" t="str">
        <f aca="false">A440&amp;"|"&amp;N440</f>
        <v>NURSE-03|normal</v>
      </c>
    </row>
    <row r="441" customFormat="false" ht="15" hidden="false" customHeight="true" outlineLevel="0" collapsed="false">
      <c r="A441" s="27" t="s">
        <v>78</v>
      </c>
      <c r="B441" s="41" t="n">
        <v>46303.3052083333</v>
      </c>
      <c r="C441" s="27" t="s">
        <v>195</v>
      </c>
      <c r="D441" s="27" t="n">
        <v>36</v>
      </c>
      <c r="E441" s="27" t="n">
        <v>21.5</v>
      </c>
      <c r="F441" s="27" t="n">
        <v>24.6</v>
      </c>
      <c r="G441" s="27" t="n">
        <v>34.2</v>
      </c>
      <c r="H441" s="27" t="s">
        <v>199</v>
      </c>
      <c r="I441" s="42" t="n">
        <f aca="false">(D441-INDEX('Cohort Summary'!$D$5:$D$14,MATCH($A441,'Cohort Summary'!$A$5:$A$14,0)))/INDEX('Cohort Summary'!$E$5:$E$14,MATCH($A441,'Cohort Summary'!$A$5:$A$14,0))</f>
        <v>-0.342857142857143</v>
      </c>
      <c r="J441" s="42" t="n">
        <f aca="false">(E441-INDEX('Cohort Summary'!$F$5:$F$14,MATCH($A441,'Cohort Summary'!$A$5:$A$14,0)))/INDEX('Cohort Summary'!$G$5:$G$14,MATCH($A441,'Cohort Summary'!$A$5:$A$14,0))</f>
        <v>1.48387096774194</v>
      </c>
      <c r="K441" s="42" t="n">
        <f aca="false">(F441-INDEX('Cohort Summary'!$H$5:$H$14,MATCH($A441,'Cohort Summary'!$A$5:$A$14,0)))/INDEX('Cohort Summary'!$I$5:$I$14,MATCH($A441,'Cohort Summary'!$A$5:$A$14,0))</f>
        <v>-1.11191335740072</v>
      </c>
      <c r="L441" s="42" t="n">
        <f aca="false">(G441-INDEX('Cohort Summary'!$J$5:$J$14,MATCH($A441,'Cohort Summary'!$A$5:$A$14,0)))/INDEX('Cohort Summary'!$K$5:$K$14,MATCH($A441,'Cohort Summary'!$A$5:$A$14,0))</f>
        <v>1.52631578947369</v>
      </c>
      <c r="M441" s="42" t="n">
        <f aca="false">MAX(I441:K441)</f>
        <v>1.48387096774194</v>
      </c>
      <c r="N441" s="27" t="s">
        <v>197</v>
      </c>
      <c r="O441" s="27"/>
      <c r="P441" s="27" t="str">
        <f aca="false">A441&amp;"|"&amp;N441</f>
        <v>NURSE-03|normal</v>
      </c>
    </row>
    <row r="442" customFormat="false" ht="15" hidden="false" customHeight="true" outlineLevel="0" collapsed="false">
      <c r="A442" s="27" t="s">
        <v>78</v>
      </c>
      <c r="B442" s="41" t="n">
        <v>46303.3055555556</v>
      </c>
      <c r="C442" s="27" t="s">
        <v>195</v>
      </c>
      <c r="D442" s="27" t="n">
        <v>37.6</v>
      </c>
      <c r="E442" s="27" t="n">
        <v>18.4</v>
      </c>
      <c r="F442" s="27" t="n">
        <v>25.8</v>
      </c>
      <c r="G442" s="27" t="n">
        <v>34.3</v>
      </c>
      <c r="H442" s="27" t="s">
        <v>199</v>
      </c>
      <c r="I442" s="42" t="n">
        <f aca="false">(D442-INDEX('Cohort Summary'!$D$5:$D$14,MATCH($A442,'Cohort Summary'!$A$5:$A$14,0)))/INDEX('Cohort Summary'!$E$5:$E$14,MATCH($A442,'Cohort Summary'!$A$5:$A$14,0))</f>
        <v>0.228571428571429</v>
      </c>
      <c r="J442" s="42" t="n">
        <f aca="false">(E442-INDEX('Cohort Summary'!$F$5:$F$14,MATCH($A442,'Cohort Summary'!$A$5:$A$14,0)))/INDEX('Cohort Summary'!$G$5:$G$14,MATCH($A442,'Cohort Summary'!$A$5:$A$14,0))</f>
        <v>0.0552995391705057</v>
      </c>
      <c r="K442" s="42" t="n">
        <f aca="false">(F442-INDEX('Cohort Summary'!$H$5:$H$14,MATCH($A442,'Cohort Summary'!$A$5:$A$14,0)))/INDEX('Cohort Summary'!$I$5:$I$14,MATCH($A442,'Cohort Summary'!$A$5:$A$14,0))</f>
        <v>-0.67870036101083</v>
      </c>
      <c r="L442" s="42" t="n">
        <f aca="false">(G442-INDEX('Cohort Summary'!$J$5:$J$14,MATCH($A442,'Cohort Summary'!$A$5:$A$14,0)))/INDEX('Cohort Summary'!$K$5:$K$14,MATCH($A442,'Cohort Summary'!$A$5:$A$14,0))</f>
        <v>1.70175438596491</v>
      </c>
      <c r="M442" s="42" t="n">
        <f aca="false">MAX(I442:K442)</f>
        <v>0.228571428571429</v>
      </c>
      <c r="N442" s="27" t="s">
        <v>197</v>
      </c>
      <c r="O442" s="27"/>
      <c r="P442" s="27" t="str">
        <f aca="false">A442&amp;"|"&amp;N442</f>
        <v>NURSE-03|normal</v>
      </c>
    </row>
    <row r="443" customFormat="false" ht="15" hidden="false" customHeight="true" outlineLevel="0" collapsed="false">
      <c r="A443" s="27" t="s">
        <v>78</v>
      </c>
      <c r="B443" s="41" t="n">
        <v>46303.3059027778</v>
      </c>
      <c r="C443" s="27" t="s">
        <v>195</v>
      </c>
      <c r="D443" s="27" t="n">
        <v>32.6</v>
      </c>
      <c r="E443" s="27" t="n">
        <v>15.2</v>
      </c>
      <c r="F443" s="27" t="n">
        <v>28.5</v>
      </c>
      <c r="G443" s="27" t="n">
        <v>33.5</v>
      </c>
      <c r="H443" s="27" t="s">
        <v>199</v>
      </c>
      <c r="I443" s="42" t="n">
        <f aca="false">(D443-INDEX('Cohort Summary'!$D$5:$D$14,MATCH($A443,'Cohort Summary'!$A$5:$A$14,0)))/INDEX('Cohort Summary'!$E$5:$E$14,MATCH($A443,'Cohort Summary'!$A$5:$A$14,0))</f>
        <v>-1.55714285714286</v>
      </c>
      <c r="J443" s="42" t="n">
        <f aca="false">(E443-INDEX('Cohort Summary'!$F$5:$F$14,MATCH($A443,'Cohort Summary'!$A$5:$A$14,0)))/INDEX('Cohort Summary'!$G$5:$G$14,MATCH($A443,'Cohort Summary'!$A$5:$A$14,0))</f>
        <v>-1.41935483870968</v>
      </c>
      <c r="K443" s="42" t="n">
        <f aca="false">(F443-INDEX('Cohort Summary'!$H$5:$H$14,MATCH($A443,'Cohort Summary'!$A$5:$A$14,0)))/INDEX('Cohort Summary'!$I$5:$I$14,MATCH($A443,'Cohort Summary'!$A$5:$A$14,0))</f>
        <v>0.296028880866426</v>
      </c>
      <c r="L443" s="42" t="n">
        <f aca="false">(G443-INDEX('Cohort Summary'!$J$5:$J$14,MATCH($A443,'Cohort Summary'!$A$5:$A$14,0)))/INDEX('Cohort Summary'!$K$5:$K$14,MATCH($A443,'Cohort Summary'!$A$5:$A$14,0))</f>
        <v>0.298245614035091</v>
      </c>
      <c r="M443" s="42" t="n">
        <f aca="false">MAX(I443:K443)</f>
        <v>0.296028880866426</v>
      </c>
      <c r="N443" s="27" t="s">
        <v>197</v>
      </c>
      <c r="O443" s="27"/>
      <c r="P443" s="27" t="str">
        <f aca="false">A443&amp;"|"&amp;N443</f>
        <v>NURSE-03|normal</v>
      </c>
    </row>
    <row r="444" customFormat="false" ht="15" hidden="false" customHeight="true" outlineLevel="0" collapsed="false">
      <c r="A444" s="27" t="s">
        <v>78</v>
      </c>
      <c r="B444" s="41" t="n">
        <v>46303.30625</v>
      </c>
      <c r="C444" s="27" t="s">
        <v>195</v>
      </c>
      <c r="D444" s="27" t="n">
        <v>36.4</v>
      </c>
      <c r="E444" s="27" t="n">
        <v>15.4</v>
      </c>
      <c r="F444" s="27" t="n">
        <v>26.9</v>
      </c>
      <c r="G444" s="27" t="n">
        <v>33.2</v>
      </c>
      <c r="H444" s="27" t="s">
        <v>196</v>
      </c>
      <c r="I444" s="42" t="n">
        <f aca="false">(D444-INDEX('Cohort Summary'!$D$5:$D$14,MATCH($A444,'Cohort Summary'!$A$5:$A$14,0)))/INDEX('Cohort Summary'!$E$5:$E$14,MATCH($A444,'Cohort Summary'!$A$5:$A$14,0))</f>
        <v>-0.200000000000001</v>
      </c>
      <c r="J444" s="42" t="n">
        <f aca="false">(E444-INDEX('Cohort Summary'!$F$5:$F$14,MATCH($A444,'Cohort Summary'!$A$5:$A$14,0)))/INDEX('Cohort Summary'!$G$5:$G$14,MATCH($A444,'Cohort Summary'!$A$5:$A$14,0))</f>
        <v>-1.32718894009217</v>
      </c>
      <c r="K444" s="42" t="n">
        <f aca="false">(F444-INDEX('Cohort Summary'!$H$5:$H$14,MATCH($A444,'Cohort Summary'!$A$5:$A$14,0)))/INDEX('Cohort Summary'!$I$5:$I$14,MATCH($A444,'Cohort Summary'!$A$5:$A$14,0))</f>
        <v>-0.28158844765343</v>
      </c>
      <c r="L444" s="42" t="n">
        <f aca="false">(G444-INDEX('Cohort Summary'!$J$5:$J$14,MATCH($A444,'Cohort Summary'!$A$5:$A$14,0)))/INDEX('Cohort Summary'!$K$5:$K$14,MATCH($A444,'Cohort Summary'!$A$5:$A$14,0))</f>
        <v>-0.228070175438589</v>
      </c>
      <c r="M444" s="42" t="n">
        <f aca="false">MAX(I444:K444)</f>
        <v>-0.200000000000001</v>
      </c>
      <c r="N444" s="27" t="s">
        <v>197</v>
      </c>
      <c r="O444" s="27"/>
      <c r="P444" s="27" t="str">
        <f aca="false">A444&amp;"|"&amp;N444</f>
        <v>NURSE-03|normal</v>
      </c>
    </row>
    <row r="445" customFormat="false" ht="15" hidden="false" customHeight="true" outlineLevel="0" collapsed="false">
      <c r="A445" s="27" t="s">
        <v>78</v>
      </c>
      <c r="B445" s="41" t="n">
        <v>46303.3065972222</v>
      </c>
      <c r="C445" s="27" t="s">
        <v>195</v>
      </c>
      <c r="D445" s="27" t="n">
        <v>39.6</v>
      </c>
      <c r="E445" s="27" t="n">
        <v>18.6</v>
      </c>
      <c r="F445" s="27" t="n">
        <v>32.9</v>
      </c>
      <c r="G445" s="27" t="n">
        <v>33.7</v>
      </c>
      <c r="H445" s="27" t="s">
        <v>198</v>
      </c>
      <c r="I445" s="42" t="n">
        <f aca="false">(D445-INDEX('Cohort Summary'!$D$5:$D$14,MATCH($A445,'Cohort Summary'!$A$5:$A$14,0)))/INDEX('Cohort Summary'!$E$5:$E$14,MATCH($A445,'Cohort Summary'!$A$5:$A$14,0))</f>
        <v>0.942857142857143</v>
      </c>
      <c r="J445" s="42" t="n">
        <f aca="false">(E445-INDEX('Cohort Summary'!$F$5:$F$14,MATCH($A445,'Cohort Summary'!$A$5:$A$14,0)))/INDEX('Cohort Summary'!$G$5:$G$14,MATCH($A445,'Cohort Summary'!$A$5:$A$14,0))</f>
        <v>0.147465437788019</v>
      </c>
      <c r="K445" s="42" t="n">
        <f aca="false">(F445-INDEX('Cohort Summary'!$H$5:$H$14,MATCH($A445,'Cohort Summary'!$A$5:$A$14,0)))/INDEX('Cohort Summary'!$I$5:$I$14,MATCH($A445,'Cohort Summary'!$A$5:$A$14,0))</f>
        <v>1.88447653429603</v>
      </c>
      <c r="L445" s="42" t="n">
        <f aca="false">(G445-INDEX('Cohort Summary'!$J$5:$J$14,MATCH($A445,'Cohort Summary'!$A$5:$A$14,0)))/INDEX('Cohort Summary'!$K$5:$K$14,MATCH($A445,'Cohort Summary'!$A$5:$A$14,0))</f>
        <v>0.649122807017552</v>
      </c>
      <c r="M445" s="42" t="n">
        <f aca="false">MAX(I445:K445)</f>
        <v>1.88447653429603</v>
      </c>
      <c r="N445" s="27" t="s">
        <v>197</v>
      </c>
      <c r="O445" s="27"/>
      <c r="P445" s="27" t="str">
        <f aca="false">A445&amp;"|"&amp;N445</f>
        <v>NURSE-03|normal</v>
      </c>
    </row>
    <row r="446" customFormat="false" ht="15" hidden="false" customHeight="true" outlineLevel="0" collapsed="false">
      <c r="A446" s="27" t="s">
        <v>78</v>
      </c>
      <c r="B446" s="41" t="n">
        <v>46303.3069444444</v>
      </c>
      <c r="C446" s="27" t="s">
        <v>195</v>
      </c>
      <c r="D446" s="27" t="n">
        <v>36.2</v>
      </c>
      <c r="E446" s="27" t="n">
        <v>19.7</v>
      </c>
      <c r="F446" s="27" t="n">
        <v>24.4</v>
      </c>
      <c r="G446" s="27" t="n">
        <v>32.7</v>
      </c>
      <c r="H446" s="27" t="s">
        <v>196</v>
      </c>
      <c r="I446" s="42" t="n">
        <f aca="false">(D446-INDEX('Cohort Summary'!$D$5:$D$14,MATCH($A446,'Cohort Summary'!$A$5:$A$14,0)))/INDEX('Cohort Summary'!$E$5:$E$14,MATCH($A446,'Cohort Summary'!$A$5:$A$14,0))</f>
        <v>-0.271428571428571</v>
      </c>
      <c r="J446" s="42" t="n">
        <f aca="false">(E446-INDEX('Cohort Summary'!$F$5:$F$14,MATCH($A446,'Cohort Summary'!$A$5:$A$14,0)))/INDEX('Cohort Summary'!$G$5:$G$14,MATCH($A446,'Cohort Summary'!$A$5:$A$14,0))</f>
        <v>0.654377880184331</v>
      </c>
      <c r="K446" s="42" t="n">
        <f aca="false">(F446-INDEX('Cohort Summary'!$H$5:$H$14,MATCH($A446,'Cohort Summary'!$A$5:$A$14,0)))/INDEX('Cohort Summary'!$I$5:$I$14,MATCH($A446,'Cohort Summary'!$A$5:$A$14,0))</f>
        <v>-1.1841155234657</v>
      </c>
      <c r="L446" s="42" t="n">
        <f aca="false">(G446-INDEX('Cohort Summary'!$J$5:$J$14,MATCH($A446,'Cohort Summary'!$A$5:$A$14,0)))/INDEX('Cohort Summary'!$K$5:$K$14,MATCH($A446,'Cohort Summary'!$A$5:$A$14,0))</f>
        <v>-1.10526315789473</v>
      </c>
      <c r="M446" s="42" t="n">
        <f aca="false">MAX(I446:K446)</f>
        <v>0.654377880184331</v>
      </c>
      <c r="N446" s="27" t="s">
        <v>197</v>
      </c>
      <c r="O446" s="27"/>
      <c r="P446" s="27" t="str">
        <f aca="false">A446&amp;"|"&amp;N446</f>
        <v>NURSE-03|normal</v>
      </c>
    </row>
    <row r="447" customFormat="false" ht="15" hidden="false" customHeight="true" outlineLevel="0" collapsed="false">
      <c r="A447" s="27" t="s">
        <v>78</v>
      </c>
      <c r="B447" s="41" t="n">
        <v>46303.3072916667</v>
      </c>
      <c r="C447" s="27" t="s">
        <v>195</v>
      </c>
      <c r="D447" s="27" t="n">
        <v>40.5</v>
      </c>
      <c r="E447" s="27" t="n">
        <v>20.7</v>
      </c>
      <c r="F447" s="27" t="n">
        <v>28.2</v>
      </c>
      <c r="G447" s="27" t="n">
        <v>33.8</v>
      </c>
      <c r="H447" s="27" t="s">
        <v>196</v>
      </c>
      <c r="I447" s="42" t="n">
        <f aca="false">(D447-INDEX('Cohort Summary'!$D$5:$D$14,MATCH($A447,'Cohort Summary'!$A$5:$A$14,0)))/INDEX('Cohort Summary'!$E$5:$E$14,MATCH($A447,'Cohort Summary'!$A$5:$A$14,0))</f>
        <v>1.26428571428571</v>
      </c>
      <c r="J447" s="42" t="n">
        <f aca="false">(E447-INDEX('Cohort Summary'!$F$5:$F$14,MATCH($A447,'Cohort Summary'!$A$5:$A$14,0)))/INDEX('Cohort Summary'!$G$5:$G$14,MATCH($A447,'Cohort Summary'!$A$5:$A$14,0))</f>
        <v>1.11520737327189</v>
      </c>
      <c r="K447" s="42" t="n">
        <f aca="false">(F447-INDEX('Cohort Summary'!$H$5:$H$14,MATCH($A447,'Cohort Summary'!$A$5:$A$14,0)))/INDEX('Cohort Summary'!$I$5:$I$14,MATCH($A447,'Cohort Summary'!$A$5:$A$14,0))</f>
        <v>0.187725631768953</v>
      </c>
      <c r="L447" s="42" t="n">
        <f aca="false">(G447-INDEX('Cohort Summary'!$J$5:$J$14,MATCH($A447,'Cohort Summary'!$A$5:$A$14,0)))/INDEX('Cohort Summary'!$K$5:$K$14,MATCH($A447,'Cohort Summary'!$A$5:$A$14,0))</f>
        <v>0.82456140350877</v>
      </c>
      <c r="M447" s="42" t="n">
        <f aca="false">MAX(I447:K447)</f>
        <v>1.26428571428571</v>
      </c>
      <c r="N447" s="27" t="s">
        <v>197</v>
      </c>
      <c r="O447" s="27"/>
      <c r="P447" s="27" t="str">
        <f aca="false">A447&amp;"|"&amp;N447</f>
        <v>NURSE-03|normal</v>
      </c>
    </row>
    <row r="448" customFormat="false" ht="15" hidden="false" customHeight="true" outlineLevel="0" collapsed="false">
      <c r="A448" s="27" t="s">
        <v>78</v>
      </c>
      <c r="B448" s="41" t="n">
        <v>46303.3076388889</v>
      </c>
      <c r="C448" s="27" t="s">
        <v>195</v>
      </c>
      <c r="D448" s="27" t="n">
        <v>41.2</v>
      </c>
      <c r="E448" s="27" t="n">
        <v>22</v>
      </c>
      <c r="F448" s="27" t="n">
        <v>25.7</v>
      </c>
      <c r="G448" s="27" t="n">
        <v>33.6</v>
      </c>
      <c r="H448" s="27" t="s">
        <v>196</v>
      </c>
      <c r="I448" s="42" t="n">
        <f aca="false">(D448-INDEX('Cohort Summary'!$D$5:$D$14,MATCH($A448,'Cohort Summary'!$A$5:$A$14,0)))/INDEX('Cohort Summary'!$E$5:$E$14,MATCH($A448,'Cohort Summary'!$A$5:$A$14,0))</f>
        <v>1.51428571428572</v>
      </c>
      <c r="J448" s="42" t="n">
        <f aca="false">(E448-INDEX('Cohort Summary'!$F$5:$F$14,MATCH($A448,'Cohort Summary'!$A$5:$A$14,0)))/INDEX('Cohort Summary'!$G$5:$G$14,MATCH($A448,'Cohort Summary'!$A$5:$A$14,0))</f>
        <v>1.71428571428571</v>
      </c>
      <c r="K448" s="42" t="n">
        <f aca="false">(F448-INDEX('Cohort Summary'!$H$5:$H$14,MATCH($A448,'Cohort Summary'!$A$5:$A$14,0)))/INDEX('Cohort Summary'!$I$5:$I$14,MATCH($A448,'Cohort Summary'!$A$5:$A$14,0))</f>
        <v>-0.714801444043322</v>
      </c>
      <c r="L448" s="42" t="n">
        <f aca="false">(G448-INDEX('Cohort Summary'!$J$5:$J$14,MATCH($A448,'Cohort Summary'!$A$5:$A$14,0)))/INDEX('Cohort Summary'!$K$5:$K$14,MATCH($A448,'Cohort Summary'!$A$5:$A$14,0))</f>
        <v>0.473684210526321</v>
      </c>
      <c r="M448" s="42" t="n">
        <f aca="false">MAX(I448:K448)</f>
        <v>1.71428571428571</v>
      </c>
      <c r="N448" s="27" t="s">
        <v>197</v>
      </c>
      <c r="O448" s="27"/>
      <c r="P448" s="27" t="str">
        <f aca="false">A448&amp;"|"&amp;N448</f>
        <v>NURSE-03|normal</v>
      </c>
    </row>
    <row r="449" customFormat="false" ht="15" hidden="false" customHeight="true" outlineLevel="0" collapsed="false">
      <c r="A449" s="27" t="s">
        <v>78</v>
      </c>
      <c r="B449" s="41" t="n">
        <v>46303.3079861111</v>
      </c>
      <c r="C449" s="27" t="s">
        <v>195</v>
      </c>
      <c r="D449" s="27" t="n">
        <v>41.1</v>
      </c>
      <c r="E449" s="27" t="n">
        <v>15.9</v>
      </c>
      <c r="F449" s="27" t="n">
        <v>31.7</v>
      </c>
      <c r="G449" s="27" t="n">
        <v>32.3</v>
      </c>
      <c r="H449" s="27" t="s">
        <v>196</v>
      </c>
      <c r="I449" s="42" t="n">
        <f aca="false">(D449-INDEX('Cohort Summary'!$D$5:$D$14,MATCH($A449,'Cohort Summary'!$A$5:$A$14,0)))/INDEX('Cohort Summary'!$E$5:$E$14,MATCH($A449,'Cohort Summary'!$A$5:$A$14,0))</f>
        <v>1.47857142857143</v>
      </c>
      <c r="J449" s="42" t="n">
        <f aca="false">(E449-INDEX('Cohort Summary'!$F$5:$F$14,MATCH($A449,'Cohort Summary'!$A$5:$A$14,0)))/INDEX('Cohort Summary'!$G$5:$G$14,MATCH($A449,'Cohort Summary'!$A$5:$A$14,0))</f>
        <v>-1.09677419354839</v>
      </c>
      <c r="K449" s="42" t="n">
        <f aca="false">(F449-INDEX('Cohort Summary'!$H$5:$H$14,MATCH($A449,'Cohort Summary'!$A$5:$A$14,0)))/INDEX('Cohort Summary'!$I$5:$I$14,MATCH($A449,'Cohort Summary'!$A$5:$A$14,0))</f>
        <v>1.45126353790614</v>
      </c>
      <c r="L449" s="42" t="n">
        <f aca="false">(G449-INDEX('Cohort Summary'!$J$5:$J$14,MATCH($A449,'Cohort Summary'!$A$5:$A$14,0)))/INDEX('Cohort Summary'!$K$5:$K$14,MATCH($A449,'Cohort Summary'!$A$5:$A$14,0))</f>
        <v>-1.80701754385965</v>
      </c>
      <c r="M449" s="42" t="n">
        <f aca="false">MAX(I449:K449)</f>
        <v>1.47857142857143</v>
      </c>
      <c r="N449" s="27" t="s">
        <v>197</v>
      </c>
      <c r="O449" s="27"/>
      <c r="P449" s="27" t="str">
        <f aca="false">A449&amp;"|"&amp;N449</f>
        <v>NURSE-03|normal</v>
      </c>
    </row>
    <row r="450" customFormat="false" ht="15" hidden="false" customHeight="true" outlineLevel="0" collapsed="false">
      <c r="A450" s="27" t="s">
        <v>78</v>
      </c>
      <c r="B450" s="41" t="n">
        <v>46303.3083333333</v>
      </c>
      <c r="C450" s="27" t="s">
        <v>195</v>
      </c>
      <c r="D450" s="27" t="n">
        <v>37.9</v>
      </c>
      <c r="E450" s="27" t="n">
        <v>18.5</v>
      </c>
      <c r="F450" s="27" t="n">
        <v>32.6</v>
      </c>
      <c r="G450" s="27" t="n">
        <v>33.4</v>
      </c>
      <c r="H450" s="27" t="s">
        <v>199</v>
      </c>
      <c r="I450" s="42" t="n">
        <f aca="false">(D450-INDEX('Cohort Summary'!$D$5:$D$14,MATCH($A450,'Cohort Summary'!$A$5:$A$14,0)))/INDEX('Cohort Summary'!$E$5:$E$14,MATCH($A450,'Cohort Summary'!$A$5:$A$14,0))</f>
        <v>0.335714285714285</v>
      </c>
      <c r="J450" s="42" t="n">
        <f aca="false">(E450-INDEX('Cohort Summary'!$F$5:$F$14,MATCH($A450,'Cohort Summary'!$A$5:$A$14,0)))/INDEX('Cohort Summary'!$G$5:$G$14,MATCH($A450,'Cohort Summary'!$A$5:$A$14,0))</f>
        <v>0.101382488479262</v>
      </c>
      <c r="K450" s="42" t="n">
        <f aca="false">(F450-INDEX('Cohort Summary'!$H$5:$H$14,MATCH($A450,'Cohort Summary'!$A$5:$A$14,0)))/INDEX('Cohort Summary'!$I$5:$I$14,MATCH($A450,'Cohort Summary'!$A$5:$A$14,0))</f>
        <v>1.77617328519856</v>
      </c>
      <c r="L450" s="42" t="n">
        <f aca="false">(G450-INDEX('Cohort Summary'!$J$5:$J$14,MATCH($A450,'Cohort Summary'!$A$5:$A$14,0)))/INDEX('Cohort Summary'!$K$5:$K$14,MATCH($A450,'Cohort Summary'!$A$5:$A$14,0))</f>
        <v>0.12280701754386</v>
      </c>
      <c r="M450" s="42" t="n">
        <f aca="false">MAX(I450:K450)</f>
        <v>1.77617328519856</v>
      </c>
      <c r="N450" s="27" t="s">
        <v>197</v>
      </c>
      <c r="O450" s="27"/>
      <c r="P450" s="27" t="str">
        <f aca="false">A450&amp;"|"&amp;N450</f>
        <v>NURSE-03|normal</v>
      </c>
    </row>
    <row r="451" customFormat="false" ht="15" hidden="false" customHeight="true" outlineLevel="0" collapsed="false">
      <c r="A451" s="27" t="s">
        <v>78</v>
      </c>
      <c r="B451" s="41" t="n">
        <v>46303.3086805556</v>
      </c>
      <c r="C451" s="27" t="s">
        <v>195</v>
      </c>
      <c r="D451" s="27" t="n">
        <v>40.5</v>
      </c>
      <c r="E451" s="27" t="n">
        <v>17</v>
      </c>
      <c r="F451" s="27" t="n">
        <v>29.2</v>
      </c>
      <c r="G451" s="27" t="n">
        <v>32.5</v>
      </c>
      <c r="H451" s="27" t="s">
        <v>199</v>
      </c>
      <c r="I451" s="42" t="n">
        <f aca="false">(D451-INDEX('Cohort Summary'!$D$5:$D$14,MATCH($A451,'Cohort Summary'!$A$5:$A$14,0)))/INDEX('Cohort Summary'!$E$5:$E$14,MATCH($A451,'Cohort Summary'!$A$5:$A$14,0))</f>
        <v>1.26428571428571</v>
      </c>
      <c r="J451" s="42" t="n">
        <f aca="false">(E451-INDEX('Cohort Summary'!$F$5:$F$14,MATCH($A451,'Cohort Summary'!$A$5:$A$14,0)))/INDEX('Cohort Summary'!$G$5:$G$14,MATCH($A451,'Cohort Summary'!$A$5:$A$14,0))</f>
        <v>-0.589861751152074</v>
      </c>
      <c r="K451" s="42" t="n">
        <f aca="false">(F451-INDEX('Cohort Summary'!$H$5:$H$14,MATCH($A451,'Cohort Summary'!$A$5:$A$14,0)))/INDEX('Cohort Summary'!$I$5:$I$14,MATCH($A451,'Cohort Summary'!$A$5:$A$14,0))</f>
        <v>0.548736462093863</v>
      </c>
      <c r="L451" s="42" t="n">
        <f aca="false">(G451-INDEX('Cohort Summary'!$J$5:$J$14,MATCH($A451,'Cohort Summary'!$A$5:$A$14,0)))/INDEX('Cohort Summary'!$K$5:$K$14,MATCH($A451,'Cohort Summary'!$A$5:$A$14,0))</f>
        <v>-1.45614035087719</v>
      </c>
      <c r="M451" s="42" t="n">
        <f aca="false">MAX(I451:K451)</f>
        <v>1.26428571428571</v>
      </c>
      <c r="N451" s="27" t="s">
        <v>197</v>
      </c>
      <c r="O451" s="27"/>
      <c r="P451" s="27" t="str">
        <f aca="false">A451&amp;"|"&amp;N451</f>
        <v>NURSE-03|normal</v>
      </c>
    </row>
    <row r="452" customFormat="false" ht="15" hidden="false" customHeight="true" outlineLevel="0" collapsed="false">
      <c r="A452" s="27" t="s">
        <v>78</v>
      </c>
      <c r="B452" s="41" t="n">
        <v>46303.3090277778</v>
      </c>
      <c r="C452" s="27" t="s">
        <v>195</v>
      </c>
      <c r="D452" s="27" t="n">
        <v>38.9</v>
      </c>
      <c r="E452" s="27" t="n">
        <v>17</v>
      </c>
      <c r="F452" s="27" t="n">
        <v>26.5</v>
      </c>
      <c r="G452" s="27" t="n">
        <v>33</v>
      </c>
      <c r="H452" s="27" t="s">
        <v>196</v>
      </c>
      <c r="I452" s="42" t="n">
        <f aca="false">(D452-INDEX('Cohort Summary'!$D$5:$D$14,MATCH($A452,'Cohort Summary'!$A$5:$A$14,0)))/INDEX('Cohort Summary'!$E$5:$E$14,MATCH($A452,'Cohort Summary'!$A$5:$A$14,0))</f>
        <v>0.692857142857142</v>
      </c>
      <c r="J452" s="42" t="n">
        <f aca="false">(E452-INDEX('Cohort Summary'!$F$5:$F$14,MATCH($A452,'Cohort Summary'!$A$5:$A$14,0)))/INDEX('Cohort Summary'!$G$5:$G$14,MATCH($A452,'Cohort Summary'!$A$5:$A$14,0))</f>
        <v>-0.589861751152074</v>
      </c>
      <c r="K452" s="42" t="n">
        <f aca="false">(F452-INDEX('Cohort Summary'!$H$5:$H$14,MATCH($A452,'Cohort Summary'!$A$5:$A$14,0)))/INDEX('Cohort Summary'!$I$5:$I$14,MATCH($A452,'Cohort Summary'!$A$5:$A$14,0))</f>
        <v>-0.425992779783393</v>
      </c>
      <c r="L452" s="42" t="n">
        <f aca="false">(G452-INDEX('Cohort Summary'!$J$5:$J$14,MATCH($A452,'Cohort Summary'!$A$5:$A$14,0)))/INDEX('Cohort Summary'!$K$5:$K$14,MATCH($A452,'Cohort Summary'!$A$5:$A$14,0))</f>
        <v>-0.57894736842105</v>
      </c>
      <c r="M452" s="42" t="n">
        <f aca="false">MAX(I452:K452)</f>
        <v>0.692857142857142</v>
      </c>
      <c r="N452" s="27" t="s">
        <v>197</v>
      </c>
      <c r="O452" s="27"/>
      <c r="P452" s="27" t="str">
        <f aca="false">A452&amp;"|"&amp;N452</f>
        <v>NURSE-03|normal</v>
      </c>
    </row>
    <row r="453" customFormat="false" ht="15" hidden="false" customHeight="true" outlineLevel="0" collapsed="false">
      <c r="A453" s="27" t="s">
        <v>78</v>
      </c>
      <c r="B453" s="41" t="n">
        <v>46303.309375</v>
      </c>
      <c r="C453" s="27" t="s">
        <v>195</v>
      </c>
      <c r="D453" s="27" t="n">
        <v>37.6</v>
      </c>
      <c r="E453" s="27" t="n">
        <v>17.7</v>
      </c>
      <c r="F453" s="27" t="n">
        <v>26.2</v>
      </c>
      <c r="G453" s="27" t="n">
        <v>33.9</v>
      </c>
      <c r="H453" s="27" t="s">
        <v>199</v>
      </c>
      <c r="I453" s="42" t="n">
        <f aca="false">(D453-INDEX('Cohort Summary'!$D$5:$D$14,MATCH($A453,'Cohort Summary'!$A$5:$A$14,0)))/INDEX('Cohort Summary'!$E$5:$E$14,MATCH($A453,'Cohort Summary'!$A$5:$A$14,0))</f>
        <v>0.228571428571429</v>
      </c>
      <c r="J453" s="42" t="n">
        <f aca="false">(E453-INDEX('Cohort Summary'!$F$5:$F$14,MATCH($A453,'Cohort Summary'!$A$5:$A$14,0)))/INDEX('Cohort Summary'!$G$5:$G$14,MATCH($A453,'Cohort Summary'!$A$5:$A$14,0))</f>
        <v>-0.267281105990784</v>
      </c>
      <c r="K453" s="42" t="n">
        <f aca="false">(F453-INDEX('Cohort Summary'!$H$5:$H$14,MATCH($A453,'Cohort Summary'!$A$5:$A$14,0)))/INDEX('Cohort Summary'!$I$5:$I$14,MATCH($A453,'Cohort Summary'!$A$5:$A$14,0))</f>
        <v>-0.534296028880867</v>
      </c>
      <c r="L453" s="42" t="n">
        <f aca="false">(G453-INDEX('Cohort Summary'!$J$5:$J$14,MATCH($A453,'Cohort Summary'!$A$5:$A$14,0)))/INDEX('Cohort Summary'!$K$5:$K$14,MATCH($A453,'Cohort Summary'!$A$5:$A$14,0))</f>
        <v>1</v>
      </c>
      <c r="M453" s="42" t="n">
        <f aca="false">MAX(I453:K453)</f>
        <v>0.228571428571429</v>
      </c>
      <c r="N453" s="27" t="s">
        <v>197</v>
      </c>
      <c r="O453" s="27"/>
      <c r="P453" s="27" t="str">
        <f aca="false">A453&amp;"|"&amp;N453</f>
        <v>NURSE-03|normal</v>
      </c>
    </row>
    <row r="454" customFormat="false" ht="15" hidden="false" customHeight="true" outlineLevel="0" collapsed="false">
      <c r="A454" s="27" t="s">
        <v>78</v>
      </c>
      <c r="B454" s="41" t="n">
        <v>46303.3097222222</v>
      </c>
      <c r="C454" s="27" t="s">
        <v>195</v>
      </c>
      <c r="D454" s="27" t="n">
        <v>35.8</v>
      </c>
      <c r="E454" s="27" t="n">
        <v>17.1</v>
      </c>
      <c r="F454" s="27" t="n">
        <v>28.4</v>
      </c>
      <c r="G454" s="27" t="n">
        <v>33.9</v>
      </c>
      <c r="H454" s="27" t="s">
        <v>199</v>
      </c>
      <c r="I454" s="42" t="n">
        <f aca="false">(D454-INDEX('Cohort Summary'!$D$5:$D$14,MATCH($A454,'Cohort Summary'!$A$5:$A$14,0)))/INDEX('Cohort Summary'!$E$5:$E$14,MATCH($A454,'Cohort Summary'!$A$5:$A$14,0))</f>
        <v>-0.414285714285716</v>
      </c>
      <c r="J454" s="42" t="n">
        <f aca="false">(E454-INDEX('Cohort Summary'!$F$5:$F$14,MATCH($A454,'Cohort Summary'!$A$5:$A$14,0)))/INDEX('Cohort Summary'!$G$5:$G$14,MATCH($A454,'Cohort Summary'!$A$5:$A$14,0))</f>
        <v>-0.543778801843318</v>
      </c>
      <c r="K454" s="42" t="n">
        <f aca="false">(F454-INDEX('Cohort Summary'!$H$5:$H$14,MATCH($A454,'Cohort Summary'!$A$5:$A$14,0)))/INDEX('Cohort Summary'!$I$5:$I$14,MATCH($A454,'Cohort Summary'!$A$5:$A$14,0))</f>
        <v>0.259927797833935</v>
      </c>
      <c r="L454" s="42" t="n">
        <f aca="false">(G454-INDEX('Cohort Summary'!$J$5:$J$14,MATCH($A454,'Cohort Summary'!$A$5:$A$14,0)))/INDEX('Cohort Summary'!$K$5:$K$14,MATCH($A454,'Cohort Summary'!$A$5:$A$14,0))</f>
        <v>1</v>
      </c>
      <c r="M454" s="42" t="n">
        <f aca="false">MAX(I454:K454)</f>
        <v>0.259927797833935</v>
      </c>
      <c r="N454" s="27" t="s">
        <v>197</v>
      </c>
      <c r="O454" s="27"/>
      <c r="P454" s="27" t="str">
        <f aca="false">A454&amp;"|"&amp;N454</f>
        <v>NURSE-03|normal</v>
      </c>
    </row>
    <row r="455" customFormat="false" ht="15" hidden="false" customHeight="true" outlineLevel="0" collapsed="false">
      <c r="A455" s="27" t="s">
        <v>78</v>
      </c>
      <c r="B455" s="41" t="n">
        <v>46303.3100694444</v>
      </c>
      <c r="C455" s="27" t="s">
        <v>195</v>
      </c>
      <c r="D455" s="27" t="n">
        <v>37.8</v>
      </c>
      <c r="E455" s="27" t="n">
        <v>19.1</v>
      </c>
      <c r="F455" s="27" t="n">
        <v>23.9</v>
      </c>
      <c r="G455" s="27" t="n">
        <v>34.1</v>
      </c>
      <c r="H455" s="27" t="s">
        <v>199</v>
      </c>
      <c r="I455" s="42" t="n">
        <f aca="false">(D455-INDEX('Cohort Summary'!$D$5:$D$14,MATCH($A455,'Cohort Summary'!$A$5:$A$14,0)))/INDEX('Cohort Summary'!$E$5:$E$14,MATCH($A455,'Cohort Summary'!$A$5:$A$14,0))</f>
        <v>0.299999999999999</v>
      </c>
      <c r="J455" s="42" t="n">
        <f aca="false">(E455-INDEX('Cohort Summary'!$F$5:$F$14,MATCH($A455,'Cohort Summary'!$A$5:$A$14,0)))/INDEX('Cohort Summary'!$G$5:$G$14,MATCH($A455,'Cohort Summary'!$A$5:$A$14,0))</f>
        <v>0.377880184331797</v>
      </c>
      <c r="K455" s="42" t="n">
        <f aca="false">(F455-INDEX('Cohort Summary'!$H$5:$H$14,MATCH($A455,'Cohort Summary'!$A$5:$A$14,0)))/INDEX('Cohort Summary'!$I$5:$I$14,MATCH($A455,'Cohort Summary'!$A$5:$A$14,0))</f>
        <v>-1.36462093862816</v>
      </c>
      <c r="L455" s="42" t="n">
        <f aca="false">(G455-INDEX('Cohort Summary'!$J$5:$J$14,MATCH($A455,'Cohort Summary'!$A$5:$A$14,0)))/INDEX('Cohort Summary'!$K$5:$K$14,MATCH($A455,'Cohort Summary'!$A$5:$A$14,0))</f>
        <v>1.35087719298246</v>
      </c>
      <c r="M455" s="42" t="n">
        <f aca="false">MAX(I455:K455)</f>
        <v>0.377880184331797</v>
      </c>
      <c r="N455" s="27" t="s">
        <v>197</v>
      </c>
      <c r="O455" s="27"/>
      <c r="P455" s="27" t="str">
        <f aca="false">A455&amp;"|"&amp;N455</f>
        <v>NURSE-03|normal</v>
      </c>
    </row>
    <row r="456" customFormat="false" ht="15" hidden="false" customHeight="true" outlineLevel="0" collapsed="false">
      <c r="A456" s="27" t="s">
        <v>78</v>
      </c>
      <c r="B456" s="41" t="n">
        <v>46303.3104166667</v>
      </c>
      <c r="C456" s="27" t="s">
        <v>195</v>
      </c>
      <c r="D456" s="27" t="n">
        <v>41.7</v>
      </c>
      <c r="E456" s="27" t="n">
        <v>19.3</v>
      </c>
      <c r="F456" s="27" t="n">
        <v>25.4</v>
      </c>
      <c r="G456" s="27" t="n">
        <v>33</v>
      </c>
      <c r="H456" s="27" t="s">
        <v>199</v>
      </c>
      <c r="I456" s="42" t="n">
        <f aca="false">(D456-INDEX('Cohort Summary'!$D$5:$D$14,MATCH($A456,'Cohort Summary'!$A$5:$A$14,0)))/INDEX('Cohort Summary'!$E$5:$E$14,MATCH($A456,'Cohort Summary'!$A$5:$A$14,0))</f>
        <v>1.69285714285714</v>
      </c>
      <c r="J456" s="42" t="n">
        <f aca="false">(E456-INDEX('Cohort Summary'!$F$5:$F$14,MATCH($A456,'Cohort Summary'!$A$5:$A$14,0)))/INDEX('Cohort Summary'!$G$5:$G$14,MATCH($A456,'Cohort Summary'!$A$5:$A$14,0))</f>
        <v>0.470046082949309</v>
      </c>
      <c r="K456" s="42" t="n">
        <f aca="false">(F456-INDEX('Cohort Summary'!$H$5:$H$14,MATCH($A456,'Cohort Summary'!$A$5:$A$14,0)))/INDEX('Cohort Summary'!$I$5:$I$14,MATCH($A456,'Cohort Summary'!$A$5:$A$14,0))</f>
        <v>-0.823104693140795</v>
      </c>
      <c r="L456" s="42" t="n">
        <f aca="false">(G456-INDEX('Cohort Summary'!$J$5:$J$14,MATCH($A456,'Cohort Summary'!$A$5:$A$14,0)))/INDEX('Cohort Summary'!$K$5:$K$14,MATCH($A456,'Cohort Summary'!$A$5:$A$14,0))</f>
        <v>-0.57894736842105</v>
      </c>
      <c r="M456" s="42" t="n">
        <f aca="false">MAX(I456:K456)</f>
        <v>1.69285714285714</v>
      </c>
      <c r="N456" s="27" t="s">
        <v>197</v>
      </c>
      <c r="O456" s="27"/>
      <c r="P456" s="27" t="str">
        <f aca="false">A456&amp;"|"&amp;N456</f>
        <v>NURSE-03|normal</v>
      </c>
    </row>
    <row r="457" customFormat="false" ht="15" hidden="false" customHeight="true" outlineLevel="0" collapsed="false">
      <c r="A457" s="27" t="s">
        <v>78</v>
      </c>
      <c r="B457" s="41" t="n">
        <v>46303.3107638889</v>
      </c>
      <c r="C457" s="27" t="s">
        <v>195</v>
      </c>
      <c r="D457" s="27" t="n">
        <v>40.9</v>
      </c>
      <c r="E457" s="27" t="n">
        <v>21.7</v>
      </c>
      <c r="F457" s="27" t="n">
        <v>23.3</v>
      </c>
      <c r="G457" s="27" t="n">
        <v>32.8</v>
      </c>
      <c r="H457" s="27" t="s">
        <v>199</v>
      </c>
      <c r="I457" s="42" t="n">
        <f aca="false">(D457-INDEX('Cohort Summary'!$D$5:$D$14,MATCH($A457,'Cohort Summary'!$A$5:$A$14,0)))/INDEX('Cohort Summary'!$E$5:$E$14,MATCH($A457,'Cohort Summary'!$A$5:$A$14,0))</f>
        <v>1.40714285714286</v>
      </c>
      <c r="J457" s="42" t="n">
        <f aca="false">(E457-INDEX('Cohort Summary'!$F$5:$F$14,MATCH($A457,'Cohort Summary'!$A$5:$A$14,0)))/INDEX('Cohort Summary'!$G$5:$G$14,MATCH($A457,'Cohort Summary'!$A$5:$A$14,0))</f>
        <v>1.57603686635945</v>
      </c>
      <c r="K457" s="42" t="n">
        <f aca="false">(F457-INDEX('Cohort Summary'!$H$5:$H$14,MATCH($A457,'Cohort Summary'!$A$5:$A$14,0)))/INDEX('Cohort Summary'!$I$5:$I$14,MATCH($A457,'Cohort Summary'!$A$5:$A$14,0))</f>
        <v>-1.5812274368231</v>
      </c>
      <c r="L457" s="42" t="n">
        <f aca="false">(G457-INDEX('Cohort Summary'!$J$5:$J$14,MATCH($A457,'Cohort Summary'!$A$5:$A$14,0)))/INDEX('Cohort Summary'!$K$5:$K$14,MATCH($A457,'Cohort Summary'!$A$5:$A$14,0))</f>
        <v>-0.929824561403511</v>
      </c>
      <c r="M457" s="42" t="n">
        <f aca="false">MAX(I457:K457)</f>
        <v>1.57603686635945</v>
      </c>
      <c r="N457" s="27" t="s">
        <v>197</v>
      </c>
      <c r="O457" s="27"/>
      <c r="P457" s="27" t="str">
        <f aca="false">A457&amp;"|"&amp;N457</f>
        <v>NURSE-03|normal</v>
      </c>
    </row>
    <row r="458" customFormat="false" ht="15" hidden="false" customHeight="true" outlineLevel="0" collapsed="false">
      <c r="A458" s="27" t="s">
        <v>78</v>
      </c>
      <c r="B458" s="41" t="n">
        <v>46303.3111111111</v>
      </c>
      <c r="C458" s="27" t="s">
        <v>195</v>
      </c>
      <c r="D458" s="27" t="n">
        <v>35</v>
      </c>
      <c r="E458" s="27" t="n">
        <v>18.8</v>
      </c>
      <c r="F458" s="27" t="n">
        <v>26.1</v>
      </c>
      <c r="G458" s="27" t="n">
        <v>33.5</v>
      </c>
      <c r="H458" s="27" t="s">
        <v>199</v>
      </c>
      <c r="I458" s="42" t="n">
        <f aca="false">(D458-INDEX('Cohort Summary'!$D$5:$D$14,MATCH($A458,'Cohort Summary'!$A$5:$A$14,0)))/INDEX('Cohort Summary'!$E$5:$E$14,MATCH($A458,'Cohort Summary'!$A$5:$A$14,0))</f>
        <v>-0.7</v>
      </c>
      <c r="J458" s="42" t="n">
        <f aca="false">(E458-INDEX('Cohort Summary'!$F$5:$F$14,MATCH($A458,'Cohort Summary'!$A$5:$A$14,0)))/INDEX('Cohort Summary'!$G$5:$G$14,MATCH($A458,'Cohort Summary'!$A$5:$A$14,0))</f>
        <v>0.23963133640553</v>
      </c>
      <c r="K458" s="42" t="n">
        <f aca="false">(F458-INDEX('Cohort Summary'!$H$5:$H$14,MATCH($A458,'Cohort Summary'!$A$5:$A$14,0)))/INDEX('Cohort Summary'!$I$5:$I$14,MATCH($A458,'Cohort Summary'!$A$5:$A$14,0))</f>
        <v>-0.570397111913357</v>
      </c>
      <c r="L458" s="42" t="n">
        <f aca="false">(G458-INDEX('Cohort Summary'!$J$5:$J$14,MATCH($A458,'Cohort Summary'!$A$5:$A$14,0)))/INDEX('Cohort Summary'!$K$5:$K$14,MATCH($A458,'Cohort Summary'!$A$5:$A$14,0))</f>
        <v>0.298245614035091</v>
      </c>
      <c r="M458" s="42" t="n">
        <f aca="false">MAX(I458:K458)</f>
        <v>0.23963133640553</v>
      </c>
      <c r="N458" s="27" t="s">
        <v>197</v>
      </c>
      <c r="O458" s="27"/>
      <c r="P458" s="27" t="str">
        <f aca="false">A458&amp;"|"&amp;N458</f>
        <v>NURSE-03|normal</v>
      </c>
    </row>
    <row r="459" customFormat="false" ht="15" hidden="false" customHeight="true" outlineLevel="0" collapsed="false">
      <c r="A459" s="27" t="s">
        <v>78</v>
      </c>
      <c r="B459" s="41" t="n">
        <v>46303.3114583333</v>
      </c>
      <c r="C459" s="27" t="s">
        <v>195</v>
      </c>
      <c r="D459" s="27" t="n">
        <v>37.2</v>
      </c>
      <c r="E459" s="27" t="n">
        <v>18.6</v>
      </c>
      <c r="F459" s="27" t="n">
        <v>29.9</v>
      </c>
      <c r="G459" s="27" t="n">
        <v>33.1</v>
      </c>
      <c r="H459" s="27" t="s">
        <v>199</v>
      </c>
      <c r="I459" s="42" t="n">
        <f aca="false">(D459-INDEX('Cohort Summary'!$D$5:$D$14,MATCH($A459,'Cohort Summary'!$A$5:$A$14,0)))/INDEX('Cohort Summary'!$E$5:$E$14,MATCH($A459,'Cohort Summary'!$A$5:$A$14,0))</f>
        <v>0.0857142857142864</v>
      </c>
      <c r="J459" s="42" t="n">
        <f aca="false">(E459-INDEX('Cohort Summary'!$F$5:$F$14,MATCH($A459,'Cohort Summary'!$A$5:$A$14,0)))/INDEX('Cohort Summary'!$G$5:$G$14,MATCH($A459,'Cohort Summary'!$A$5:$A$14,0))</f>
        <v>0.147465437788019</v>
      </c>
      <c r="K459" s="42" t="n">
        <f aca="false">(F459-INDEX('Cohort Summary'!$H$5:$H$14,MATCH($A459,'Cohort Summary'!$A$5:$A$14,0)))/INDEX('Cohort Summary'!$I$5:$I$14,MATCH($A459,'Cohort Summary'!$A$5:$A$14,0))</f>
        <v>0.801444043321299</v>
      </c>
      <c r="L459" s="42" t="n">
        <f aca="false">(G459-INDEX('Cohort Summary'!$J$5:$J$14,MATCH($A459,'Cohort Summary'!$A$5:$A$14,0)))/INDEX('Cohort Summary'!$K$5:$K$14,MATCH($A459,'Cohort Summary'!$A$5:$A$14,0))</f>
        <v>-0.403508771929819</v>
      </c>
      <c r="M459" s="42" t="n">
        <f aca="false">MAX(I459:K459)</f>
        <v>0.801444043321299</v>
      </c>
      <c r="N459" s="27" t="s">
        <v>197</v>
      </c>
      <c r="O459" s="27"/>
      <c r="P459" s="27" t="str">
        <f aca="false">A459&amp;"|"&amp;N459</f>
        <v>NURSE-03|normal</v>
      </c>
    </row>
    <row r="460" customFormat="false" ht="15" hidden="false" customHeight="true" outlineLevel="0" collapsed="false">
      <c r="A460" s="27" t="s">
        <v>78</v>
      </c>
      <c r="B460" s="41" t="n">
        <v>46303.3118055556</v>
      </c>
      <c r="C460" s="27" t="s">
        <v>195</v>
      </c>
      <c r="D460" s="27" t="n">
        <v>32.4</v>
      </c>
      <c r="E460" s="27" t="n">
        <v>19.7</v>
      </c>
      <c r="F460" s="27" t="n">
        <v>27.5</v>
      </c>
      <c r="G460" s="27" t="n">
        <v>32.3</v>
      </c>
      <c r="H460" s="27" t="s">
        <v>198</v>
      </c>
      <c r="I460" s="42" t="n">
        <f aca="false">(D460-INDEX('Cohort Summary'!$D$5:$D$14,MATCH($A460,'Cohort Summary'!$A$5:$A$14,0)))/INDEX('Cohort Summary'!$E$5:$E$14,MATCH($A460,'Cohort Summary'!$A$5:$A$14,0))</f>
        <v>-1.62857142857143</v>
      </c>
      <c r="J460" s="42" t="n">
        <f aca="false">(E460-INDEX('Cohort Summary'!$F$5:$F$14,MATCH($A460,'Cohort Summary'!$A$5:$A$14,0)))/INDEX('Cohort Summary'!$G$5:$G$14,MATCH($A460,'Cohort Summary'!$A$5:$A$14,0))</f>
        <v>0.654377880184331</v>
      </c>
      <c r="K460" s="42" t="n">
        <f aca="false">(F460-INDEX('Cohort Summary'!$H$5:$H$14,MATCH($A460,'Cohort Summary'!$A$5:$A$14,0)))/INDEX('Cohort Summary'!$I$5:$I$14,MATCH($A460,'Cohort Summary'!$A$5:$A$14,0))</f>
        <v>-0.0649819494584837</v>
      </c>
      <c r="L460" s="42" t="n">
        <f aca="false">(G460-INDEX('Cohort Summary'!$J$5:$J$14,MATCH($A460,'Cohort Summary'!$A$5:$A$14,0)))/INDEX('Cohort Summary'!$K$5:$K$14,MATCH($A460,'Cohort Summary'!$A$5:$A$14,0))</f>
        <v>-1.80701754385965</v>
      </c>
      <c r="M460" s="42" t="n">
        <f aca="false">MAX(I460:K460)</f>
        <v>0.654377880184331</v>
      </c>
      <c r="N460" s="27" t="s">
        <v>197</v>
      </c>
      <c r="O460" s="27"/>
      <c r="P460" s="27" t="str">
        <f aca="false">A460&amp;"|"&amp;N460</f>
        <v>NURSE-03|normal</v>
      </c>
    </row>
    <row r="461" customFormat="false" ht="15" hidden="false" customHeight="true" outlineLevel="0" collapsed="false">
      <c r="A461" s="27" t="s">
        <v>78</v>
      </c>
      <c r="B461" s="41" t="n">
        <v>46303.3121527778</v>
      </c>
      <c r="C461" s="27" t="s">
        <v>195</v>
      </c>
      <c r="D461" s="27" t="n">
        <v>37.3</v>
      </c>
      <c r="E461" s="27" t="n">
        <v>15.7</v>
      </c>
      <c r="F461" s="27" t="n">
        <v>26.7</v>
      </c>
      <c r="G461" s="27" t="n">
        <v>33.1</v>
      </c>
      <c r="H461" s="27" t="s">
        <v>196</v>
      </c>
      <c r="I461" s="42" t="n">
        <f aca="false">(D461-INDEX('Cohort Summary'!$D$5:$D$14,MATCH($A461,'Cohort Summary'!$A$5:$A$14,0)))/INDEX('Cohort Summary'!$E$5:$E$14,MATCH($A461,'Cohort Summary'!$A$5:$A$14,0))</f>
        <v>0.12142857142857</v>
      </c>
      <c r="J461" s="42" t="n">
        <f aca="false">(E461-INDEX('Cohort Summary'!$F$5:$F$14,MATCH($A461,'Cohort Summary'!$A$5:$A$14,0)))/INDEX('Cohort Summary'!$G$5:$G$14,MATCH($A461,'Cohort Summary'!$A$5:$A$14,0))</f>
        <v>-1.1889400921659</v>
      </c>
      <c r="K461" s="42" t="n">
        <f aca="false">(F461-INDEX('Cohort Summary'!$H$5:$H$14,MATCH($A461,'Cohort Summary'!$A$5:$A$14,0)))/INDEX('Cohort Summary'!$I$5:$I$14,MATCH($A461,'Cohort Summary'!$A$5:$A$14,0))</f>
        <v>-0.353790613718412</v>
      </c>
      <c r="L461" s="42" t="n">
        <f aca="false">(G461-INDEX('Cohort Summary'!$J$5:$J$14,MATCH($A461,'Cohort Summary'!$A$5:$A$14,0)))/INDEX('Cohort Summary'!$K$5:$K$14,MATCH($A461,'Cohort Summary'!$A$5:$A$14,0))</f>
        <v>-0.403508771929819</v>
      </c>
      <c r="M461" s="42" t="n">
        <f aca="false">MAX(I461:K461)</f>
        <v>0.12142857142857</v>
      </c>
      <c r="N461" s="27" t="s">
        <v>197</v>
      </c>
      <c r="O461" s="27"/>
      <c r="P461" s="27" t="str">
        <f aca="false">A461&amp;"|"&amp;N461</f>
        <v>NURSE-03|normal</v>
      </c>
    </row>
    <row r="462" customFormat="false" ht="15" hidden="false" customHeight="true" outlineLevel="0" collapsed="false">
      <c r="A462" s="27" t="s">
        <v>78</v>
      </c>
      <c r="B462" s="41" t="n">
        <v>46303.3125</v>
      </c>
      <c r="C462" s="27" t="s">
        <v>200</v>
      </c>
      <c r="D462" s="27" t="n">
        <v>41.3</v>
      </c>
      <c r="E462" s="27" t="n">
        <v>16.1</v>
      </c>
      <c r="F462" s="27" t="n">
        <v>24.9</v>
      </c>
      <c r="G462" s="27" t="n">
        <v>33.1</v>
      </c>
      <c r="H462" s="27" t="s">
        <v>199</v>
      </c>
      <c r="I462" s="42" t="n">
        <f aca="false">(D462-INDEX('Cohort Summary'!$D$5:$D$14,MATCH($A462,'Cohort Summary'!$A$5:$A$14,0)))/INDEX('Cohort Summary'!$E$5:$E$14,MATCH($A462,'Cohort Summary'!$A$5:$A$14,0))</f>
        <v>1.55</v>
      </c>
      <c r="J462" s="42" t="n">
        <f aca="false">(E462-INDEX('Cohort Summary'!$F$5:$F$14,MATCH($A462,'Cohort Summary'!$A$5:$A$14,0)))/INDEX('Cohort Summary'!$G$5:$G$14,MATCH($A462,'Cohort Summary'!$A$5:$A$14,0))</f>
        <v>-1.00460829493088</v>
      </c>
      <c r="K462" s="42" t="n">
        <f aca="false">(F462-INDEX('Cohort Summary'!$H$5:$H$14,MATCH($A462,'Cohort Summary'!$A$5:$A$14,0)))/INDEX('Cohort Summary'!$I$5:$I$14,MATCH($A462,'Cohort Summary'!$A$5:$A$14,0))</f>
        <v>-1.00361010830325</v>
      </c>
      <c r="L462" s="42" t="n">
        <f aca="false">(G462-INDEX('Cohort Summary'!$J$5:$J$14,MATCH($A462,'Cohort Summary'!$A$5:$A$14,0)))/INDEX('Cohort Summary'!$K$5:$K$14,MATCH($A462,'Cohort Summary'!$A$5:$A$14,0))</f>
        <v>-0.403508771929819</v>
      </c>
      <c r="M462" s="42" t="n">
        <f aca="false">MAX(I462:K462)</f>
        <v>1.55</v>
      </c>
      <c r="N462" s="27" t="s">
        <v>197</v>
      </c>
      <c r="O462" s="27"/>
      <c r="P462" s="27" t="str">
        <f aca="false">A462&amp;"|"&amp;N462</f>
        <v>NURSE-03|normal</v>
      </c>
    </row>
    <row r="463" customFormat="false" ht="15" hidden="false" customHeight="true" outlineLevel="0" collapsed="false">
      <c r="A463" s="27" t="s">
        <v>78</v>
      </c>
      <c r="B463" s="41" t="n">
        <v>46303.3128472222</v>
      </c>
      <c r="C463" s="27" t="s">
        <v>200</v>
      </c>
      <c r="D463" s="27" t="n">
        <v>36.4</v>
      </c>
      <c r="E463" s="27" t="n">
        <v>19.4</v>
      </c>
      <c r="F463" s="27" t="n">
        <v>33</v>
      </c>
      <c r="G463" s="27" t="n">
        <v>33</v>
      </c>
      <c r="H463" s="27" t="s">
        <v>196</v>
      </c>
      <c r="I463" s="42" t="n">
        <f aca="false">(D463-INDEX('Cohort Summary'!$D$5:$D$14,MATCH($A463,'Cohort Summary'!$A$5:$A$14,0)))/INDEX('Cohort Summary'!$E$5:$E$14,MATCH($A463,'Cohort Summary'!$A$5:$A$14,0))</f>
        <v>-0.200000000000001</v>
      </c>
      <c r="J463" s="42" t="n">
        <f aca="false">(E463-INDEX('Cohort Summary'!$F$5:$F$14,MATCH($A463,'Cohort Summary'!$A$5:$A$14,0)))/INDEX('Cohort Summary'!$G$5:$G$14,MATCH($A463,'Cohort Summary'!$A$5:$A$14,0))</f>
        <v>0.516129032258063</v>
      </c>
      <c r="K463" s="42" t="n">
        <f aca="false">(F463-INDEX('Cohort Summary'!$H$5:$H$14,MATCH($A463,'Cohort Summary'!$A$5:$A$14,0)))/INDEX('Cohort Summary'!$I$5:$I$14,MATCH($A463,'Cohort Summary'!$A$5:$A$14,0))</f>
        <v>1.92057761732852</v>
      </c>
      <c r="L463" s="42" t="n">
        <f aca="false">(G463-INDEX('Cohort Summary'!$J$5:$J$14,MATCH($A463,'Cohort Summary'!$A$5:$A$14,0)))/INDEX('Cohort Summary'!$K$5:$K$14,MATCH($A463,'Cohort Summary'!$A$5:$A$14,0))</f>
        <v>-0.57894736842105</v>
      </c>
      <c r="M463" s="42" t="n">
        <f aca="false">MAX(I463:K463)</f>
        <v>1.92057761732852</v>
      </c>
      <c r="N463" s="27" t="s">
        <v>197</v>
      </c>
      <c r="O463" s="27"/>
      <c r="P463" s="27" t="str">
        <f aca="false">A463&amp;"|"&amp;N463</f>
        <v>NURSE-03|normal</v>
      </c>
    </row>
    <row r="464" customFormat="false" ht="15" hidden="false" customHeight="true" outlineLevel="0" collapsed="false">
      <c r="A464" s="27" t="s">
        <v>78</v>
      </c>
      <c r="B464" s="41" t="n">
        <v>46303.3131944445</v>
      </c>
      <c r="C464" s="27" t="s">
        <v>200</v>
      </c>
      <c r="D464" s="27" t="n">
        <v>39.5</v>
      </c>
      <c r="E464" s="27" t="n">
        <v>15.6</v>
      </c>
      <c r="F464" s="27" t="n">
        <v>26.6</v>
      </c>
      <c r="G464" s="27" t="n">
        <v>33</v>
      </c>
      <c r="H464" s="27" t="s">
        <v>198</v>
      </c>
      <c r="I464" s="42" t="n">
        <f aca="false">(D464-INDEX('Cohort Summary'!$D$5:$D$14,MATCH($A464,'Cohort Summary'!$A$5:$A$14,0)))/INDEX('Cohort Summary'!$E$5:$E$14,MATCH($A464,'Cohort Summary'!$A$5:$A$14,0))</f>
        <v>0.907142857142857</v>
      </c>
      <c r="J464" s="42" t="n">
        <f aca="false">(E464-INDEX('Cohort Summary'!$F$5:$F$14,MATCH($A464,'Cohort Summary'!$A$5:$A$14,0)))/INDEX('Cohort Summary'!$G$5:$G$14,MATCH($A464,'Cohort Summary'!$A$5:$A$14,0))</f>
        <v>-1.23502304147466</v>
      </c>
      <c r="K464" s="42" t="n">
        <f aca="false">(F464-INDEX('Cohort Summary'!$H$5:$H$14,MATCH($A464,'Cohort Summary'!$A$5:$A$14,0)))/INDEX('Cohort Summary'!$I$5:$I$14,MATCH($A464,'Cohort Summary'!$A$5:$A$14,0))</f>
        <v>-0.389891696750902</v>
      </c>
      <c r="L464" s="42" t="n">
        <f aca="false">(G464-INDEX('Cohort Summary'!$J$5:$J$14,MATCH($A464,'Cohort Summary'!$A$5:$A$14,0)))/INDEX('Cohort Summary'!$K$5:$K$14,MATCH($A464,'Cohort Summary'!$A$5:$A$14,0))</f>
        <v>-0.57894736842105</v>
      </c>
      <c r="M464" s="42" t="n">
        <f aca="false">MAX(I464:K464)</f>
        <v>0.907142857142857</v>
      </c>
      <c r="N464" s="27" t="s">
        <v>197</v>
      </c>
      <c r="O464" s="27"/>
      <c r="P464" s="27" t="str">
        <f aca="false">A464&amp;"|"&amp;N464</f>
        <v>NURSE-03|normal</v>
      </c>
    </row>
    <row r="465" customFormat="false" ht="15" hidden="false" customHeight="true" outlineLevel="0" collapsed="false">
      <c r="A465" s="27" t="s">
        <v>78</v>
      </c>
      <c r="B465" s="41" t="n">
        <v>46303.3135416667</v>
      </c>
      <c r="C465" s="27" t="s">
        <v>200</v>
      </c>
      <c r="D465" s="27" t="n">
        <v>40.3</v>
      </c>
      <c r="E465" s="27" t="n">
        <v>18.6</v>
      </c>
      <c r="F465" s="27" t="n">
        <v>24.1</v>
      </c>
      <c r="G465" s="27" t="n">
        <v>34.1</v>
      </c>
      <c r="H465" s="27" t="s">
        <v>196</v>
      </c>
      <c r="I465" s="42" t="n">
        <f aca="false">(D465-INDEX('Cohort Summary'!$D$5:$D$14,MATCH($A465,'Cohort Summary'!$A$5:$A$14,0)))/INDEX('Cohort Summary'!$E$5:$E$14,MATCH($A465,'Cohort Summary'!$A$5:$A$14,0))</f>
        <v>1.19285714285714</v>
      </c>
      <c r="J465" s="42" t="n">
        <f aca="false">(E465-INDEX('Cohort Summary'!$F$5:$F$14,MATCH($A465,'Cohort Summary'!$A$5:$A$14,0)))/INDEX('Cohort Summary'!$G$5:$G$14,MATCH($A465,'Cohort Summary'!$A$5:$A$14,0))</f>
        <v>0.147465437788019</v>
      </c>
      <c r="K465" s="42" t="n">
        <f aca="false">(F465-INDEX('Cohort Summary'!$H$5:$H$14,MATCH($A465,'Cohort Summary'!$A$5:$A$14,0)))/INDEX('Cohort Summary'!$I$5:$I$14,MATCH($A465,'Cohort Summary'!$A$5:$A$14,0))</f>
        <v>-1.29241877256318</v>
      </c>
      <c r="L465" s="42" t="n">
        <f aca="false">(G465-INDEX('Cohort Summary'!$J$5:$J$14,MATCH($A465,'Cohort Summary'!$A$5:$A$14,0)))/INDEX('Cohort Summary'!$K$5:$K$14,MATCH($A465,'Cohort Summary'!$A$5:$A$14,0))</f>
        <v>1.35087719298246</v>
      </c>
      <c r="M465" s="42" t="n">
        <f aca="false">MAX(I465:K465)</f>
        <v>1.19285714285714</v>
      </c>
      <c r="N465" s="27" t="s">
        <v>197</v>
      </c>
      <c r="O465" s="27"/>
      <c r="P465" s="27" t="str">
        <f aca="false">A465&amp;"|"&amp;N465</f>
        <v>NURSE-03|normal</v>
      </c>
    </row>
    <row r="466" customFormat="false" ht="15" hidden="false" customHeight="true" outlineLevel="0" collapsed="false">
      <c r="A466" s="27" t="s">
        <v>78</v>
      </c>
      <c r="B466" s="41" t="n">
        <v>46303.3138888889</v>
      </c>
      <c r="C466" s="27" t="s">
        <v>200</v>
      </c>
      <c r="D466" s="27" t="n">
        <v>35.4</v>
      </c>
      <c r="E466" s="27" t="n">
        <v>21.5</v>
      </c>
      <c r="F466" s="27" t="n">
        <v>28.1</v>
      </c>
      <c r="G466" s="27" t="n">
        <v>34.2</v>
      </c>
      <c r="H466" s="27" t="s">
        <v>196</v>
      </c>
      <c r="I466" s="42" t="n">
        <f aca="false">(D466-INDEX('Cohort Summary'!$D$5:$D$14,MATCH($A466,'Cohort Summary'!$A$5:$A$14,0)))/INDEX('Cohort Summary'!$E$5:$E$14,MATCH($A466,'Cohort Summary'!$A$5:$A$14,0))</f>
        <v>-0.557142857142858</v>
      </c>
      <c r="J466" s="42" t="n">
        <f aca="false">(E466-INDEX('Cohort Summary'!$F$5:$F$14,MATCH($A466,'Cohort Summary'!$A$5:$A$14,0)))/INDEX('Cohort Summary'!$G$5:$G$14,MATCH($A466,'Cohort Summary'!$A$5:$A$14,0))</f>
        <v>1.48387096774194</v>
      </c>
      <c r="K466" s="42" t="n">
        <f aca="false">(F466-INDEX('Cohort Summary'!$H$5:$H$14,MATCH($A466,'Cohort Summary'!$A$5:$A$14,0)))/INDEX('Cohort Summary'!$I$5:$I$14,MATCH($A466,'Cohort Summary'!$A$5:$A$14,0))</f>
        <v>0.151624548736463</v>
      </c>
      <c r="L466" s="42" t="n">
        <f aca="false">(G466-INDEX('Cohort Summary'!$J$5:$J$14,MATCH($A466,'Cohort Summary'!$A$5:$A$14,0)))/INDEX('Cohort Summary'!$K$5:$K$14,MATCH($A466,'Cohort Summary'!$A$5:$A$14,0))</f>
        <v>1.52631578947369</v>
      </c>
      <c r="M466" s="42" t="n">
        <f aca="false">MAX(I466:K466)</f>
        <v>1.48387096774194</v>
      </c>
      <c r="N466" s="27" t="s">
        <v>197</v>
      </c>
      <c r="O466" s="27"/>
      <c r="P466" s="27" t="str">
        <f aca="false">A466&amp;"|"&amp;N466</f>
        <v>NURSE-03|normal</v>
      </c>
    </row>
    <row r="467" customFormat="false" ht="15" hidden="false" customHeight="true" outlineLevel="0" collapsed="false">
      <c r="A467" s="27" t="s">
        <v>78</v>
      </c>
      <c r="B467" s="41" t="n">
        <v>46303.3142361111</v>
      </c>
      <c r="C467" s="27" t="s">
        <v>200</v>
      </c>
      <c r="D467" s="27" t="n">
        <v>33.6</v>
      </c>
      <c r="E467" s="27" t="n">
        <v>17</v>
      </c>
      <c r="F467" s="27" t="n">
        <v>28.1</v>
      </c>
      <c r="G467" s="27" t="n">
        <v>33.3</v>
      </c>
      <c r="H467" s="27" t="s">
        <v>198</v>
      </c>
      <c r="I467" s="42" t="n">
        <f aca="false">(D467-INDEX('Cohort Summary'!$D$5:$D$14,MATCH($A467,'Cohort Summary'!$A$5:$A$14,0)))/INDEX('Cohort Summary'!$E$5:$E$14,MATCH($A467,'Cohort Summary'!$A$5:$A$14,0))</f>
        <v>-1.2</v>
      </c>
      <c r="J467" s="42" t="n">
        <f aca="false">(E467-INDEX('Cohort Summary'!$F$5:$F$14,MATCH($A467,'Cohort Summary'!$A$5:$A$14,0)))/INDEX('Cohort Summary'!$G$5:$G$14,MATCH($A467,'Cohort Summary'!$A$5:$A$14,0))</f>
        <v>-0.589861751152074</v>
      </c>
      <c r="K467" s="42" t="n">
        <f aca="false">(F467-INDEX('Cohort Summary'!$H$5:$H$14,MATCH($A467,'Cohort Summary'!$A$5:$A$14,0)))/INDEX('Cohort Summary'!$I$5:$I$14,MATCH($A467,'Cohort Summary'!$A$5:$A$14,0))</f>
        <v>0.151624548736463</v>
      </c>
      <c r="L467" s="42" t="n">
        <f aca="false">(G467-INDEX('Cohort Summary'!$J$5:$J$14,MATCH($A467,'Cohort Summary'!$A$5:$A$14,0)))/INDEX('Cohort Summary'!$K$5:$K$14,MATCH($A467,'Cohort Summary'!$A$5:$A$14,0))</f>
        <v>-0.0526315789473704</v>
      </c>
      <c r="M467" s="42" t="n">
        <f aca="false">MAX(I467:K467)</f>
        <v>0.151624548736463</v>
      </c>
      <c r="N467" s="27" t="s">
        <v>197</v>
      </c>
      <c r="O467" s="27"/>
      <c r="P467" s="27" t="str">
        <f aca="false">A467&amp;"|"&amp;N467</f>
        <v>NURSE-03|normal</v>
      </c>
    </row>
    <row r="468" customFormat="false" ht="15" hidden="false" customHeight="true" outlineLevel="0" collapsed="false">
      <c r="A468" s="27" t="s">
        <v>78</v>
      </c>
      <c r="B468" s="41" t="n">
        <v>46303.3145833333</v>
      </c>
      <c r="C468" s="27" t="s">
        <v>200</v>
      </c>
      <c r="D468" s="27" t="n">
        <v>36.1</v>
      </c>
      <c r="E468" s="27" t="n">
        <v>15.4</v>
      </c>
      <c r="F468" s="27" t="n">
        <v>28.6</v>
      </c>
      <c r="G468" s="27" t="n">
        <v>32.5</v>
      </c>
      <c r="H468" s="27" t="s">
        <v>196</v>
      </c>
      <c r="I468" s="42" t="n">
        <f aca="false">(D468-INDEX('Cohort Summary'!$D$5:$D$14,MATCH($A468,'Cohort Summary'!$A$5:$A$14,0)))/INDEX('Cohort Summary'!$E$5:$E$14,MATCH($A468,'Cohort Summary'!$A$5:$A$14,0))</f>
        <v>-0.307142857142857</v>
      </c>
      <c r="J468" s="42" t="n">
        <f aca="false">(E468-INDEX('Cohort Summary'!$F$5:$F$14,MATCH($A468,'Cohort Summary'!$A$5:$A$14,0)))/INDEX('Cohort Summary'!$G$5:$G$14,MATCH($A468,'Cohort Summary'!$A$5:$A$14,0))</f>
        <v>-1.32718894009217</v>
      </c>
      <c r="K468" s="42" t="n">
        <f aca="false">(F468-INDEX('Cohort Summary'!$H$5:$H$14,MATCH($A468,'Cohort Summary'!$A$5:$A$14,0)))/INDEX('Cohort Summary'!$I$5:$I$14,MATCH($A468,'Cohort Summary'!$A$5:$A$14,0))</f>
        <v>0.332129963898918</v>
      </c>
      <c r="L468" s="42" t="n">
        <f aca="false">(G468-INDEX('Cohort Summary'!$J$5:$J$14,MATCH($A468,'Cohort Summary'!$A$5:$A$14,0)))/INDEX('Cohort Summary'!$K$5:$K$14,MATCH($A468,'Cohort Summary'!$A$5:$A$14,0))</f>
        <v>-1.45614035087719</v>
      </c>
      <c r="M468" s="42" t="n">
        <f aca="false">MAX(I468:K468)</f>
        <v>0.332129963898918</v>
      </c>
      <c r="N468" s="27" t="s">
        <v>197</v>
      </c>
      <c r="O468" s="27"/>
      <c r="P468" s="27" t="str">
        <f aca="false">A468&amp;"|"&amp;N468</f>
        <v>NURSE-03|normal</v>
      </c>
    </row>
    <row r="469" customFormat="false" ht="15" hidden="false" customHeight="true" outlineLevel="0" collapsed="false">
      <c r="A469" s="27" t="s">
        <v>78</v>
      </c>
      <c r="B469" s="41" t="n">
        <v>46303.3149305556</v>
      </c>
      <c r="C469" s="27" t="s">
        <v>200</v>
      </c>
      <c r="D469" s="27" t="n">
        <v>41.9</v>
      </c>
      <c r="E469" s="27" t="n">
        <v>19.5</v>
      </c>
      <c r="F469" s="27" t="n">
        <v>23.4</v>
      </c>
      <c r="G469" s="27" t="n">
        <v>33.1</v>
      </c>
      <c r="H469" s="27" t="s">
        <v>198</v>
      </c>
      <c r="I469" s="42" t="n">
        <f aca="false">(D469-INDEX('Cohort Summary'!$D$5:$D$14,MATCH($A469,'Cohort Summary'!$A$5:$A$14,0)))/INDEX('Cohort Summary'!$E$5:$E$14,MATCH($A469,'Cohort Summary'!$A$5:$A$14,0))</f>
        <v>1.76428571428571</v>
      </c>
      <c r="J469" s="42" t="n">
        <f aca="false">(E469-INDEX('Cohort Summary'!$F$5:$F$14,MATCH($A469,'Cohort Summary'!$A$5:$A$14,0)))/INDEX('Cohort Summary'!$G$5:$G$14,MATCH($A469,'Cohort Summary'!$A$5:$A$14,0))</f>
        <v>0.56221198156682</v>
      </c>
      <c r="K469" s="42" t="n">
        <f aca="false">(F469-INDEX('Cohort Summary'!$H$5:$H$14,MATCH($A469,'Cohort Summary'!$A$5:$A$14,0)))/INDEX('Cohort Summary'!$I$5:$I$14,MATCH($A469,'Cohort Summary'!$A$5:$A$14,0))</f>
        <v>-1.54512635379061</v>
      </c>
      <c r="L469" s="42" t="n">
        <f aca="false">(G469-INDEX('Cohort Summary'!$J$5:$J$14,MATCH($A469,'Cohort Summary'!$A$5:$A$14,0)))/INDEX('Cohort Summary'!$K$5:$K$14,MATCH($A469,'Cohort Summary'!$A$5:$A$14,0))</f>
        <v>-0.403508771929819</v>
      </c>
      <c r="M469" s="42" t="n">
        <f aca="false">MAX(I469:K469)</f>
        <v>1.76428571428571</v>
      </c>
      <c r="N469" s="27" t="s">
        <v>197</v>
      </c>
      <c r="O469" s="27"/>
      <c r="P469" s="27" t="str">
        <f aca="false">A469&amp;"|"&amp;N469</f>
        <v>NURSE-03|normal</v>
      </c>
    </row>
    <row r="470" customFormat="false" ht="15" hidden="false" customHeight="true" outlineLevel="0" collapsed="false">
      <c r="A470" s="27" t="s">
        <v>78</v>
      </c>
      <c r="B470" s="41" t="n">
        <v>46303.3152777778</v>
      </c>
      <c r="C470" s="27" t="s">
        <v>200</v>
      </c>
      <c r="D470" s="27" t="n">
        <v>35.1</v>
      </c>
      <c r="E470" s="27" t="n">
        <v>19.8</v>
      </c>
      <c r="F470" s="27" t="n">
        <v>23</v>
      </c>
      <c r="G470" s="27" t="n">
        <v>32.9</v>
      </c>
      <c r="H470" s="27" t="s">
        <v>198</v>
      </c>
      <c r="I470" s="42" t="n">
        <f aca="false">(D470-INDEX('Cohort Summary'!$D$5:$D$14,MATCH($A470,'Cohort Summary'!$A$5:$A$14,0)))/INDEX('Cohort Summary'!$E$5:$E$14,MATCH($A470,'Cohort Summary'!$A$5:$A$14,0))</f>
        <v>-0.664285714285714</v>
      </c>
      <c r="J470" s="42" t="n">
        <f aca="false">(E470-INDEX('Cohort Summary'!$F$5:$F$14,MATCH($A470,'Cohort Summary'!$A$5:$A$14,0)))/INDEX('Cohort Summary'!$G$5:$G$14,MATCH($A470,'Cohort Summary'!$A$5:$A$14,0))</f>
        <v>0.700460829493087</v>
      </c>
      <c r="K470" s="42" t="n">
        <f aca="false">(F470-INDEX('Cohort Summary'!$H$5:$H$14,MATCH($A470,'Cohort Summary'!$A$5:$A$14,0)))/INDEX('Cohort Summary'!$I$5:$I$14,MATCH($A470,'Cohort Summary'!$A$5:$A$14,0))</f>
        <v>-1.68953068592058</v>
      </c>
      <c r="L470" s="42" t="n">
        <f aca="false">(G470-INDEX('Cohort Summary'!$J$5:$J$14,MATCH($A470,'Cohort Summary'!$A$5:$A$14,0)))/INDEX('Cohort Summary'!$K$5:$K$14,MATCH($A470,'Cohort Summary'!$A$5:$A$14,0))</f>
        <v>-0.75438596491228</v>
      </c>
      <c r="M470" s="42" t="n">
        <f aca="false">MAX(I470:K470)</f>
        <v>0.700460829493087</v>
      </c>
      <c r="N470" s="27" t="s">
        <v>197</v>
      </c>
      <c r="O470" s="27"/>
      <c r="P470" s="27" t="str">
        <f aca="false">A470&amp;"|"&amp;N470</f>
        <v>NURSE-03|normal</v>
      </c>
    </row>
    <row r="471" customFormat="false" ht="15" hidden="false" customHeight="true" outlineLevel="0" collapsed="false">
      <c r="A471" s="27" t="s">
        <v>78</v>
      </c>
      <c r="B471" s="41" t="n">
        <v>46303.315625</v>
      </c>
      <c r="C471" s="27" t="s">
        <v>200</v>
      </c>
      <c r="D471" s="27" t="n">
        <v>37.9</v>
      </c>
      <c r="E471" s="27" t="n">
        <v>19.7</v>
      </c>
      <c r="F471" s="27" t="n">
        <v>25</v>
      </c>
      <c r="G471" s="27" t="n">
        <v>33.3</v>
      </c>
      <c r="H471" s="27" t="s">
        <v>196</v>
      </c>
      <c r="I471" s="42" t="n">
        <f aca="false">(D471-INDEX('Cohort Summary'!$D$5:$D$14,MATCH($A471,'Cohort Summary'!$A$5:$A$14,0)))/INDEX('Cohort Summary'!$E$5:$E$14,MATCH($A471,'Cohort Summary'!$A$5:$A$14,0))</f>
        <v>0.335714285714285</v>
      </c>
      <c r="J471" s="42" t="n">
        <f aca="false">(E471-INDEX('Cohort Summary'!$F$5:$F$14,MATCH($A471,'Cohort Summary'!$A$5:$A$14,0)))/INDEX('Cohort Summary'!$G$5:$G$14,MATCH($A471,'Cohort Summary'!$A$5:$A$14,0))</f>
        <v>0.654377880184331</v>
      </c>
      <c r="K471" s="42" t="n">
        <f aca="false">(F471-INDEX('Cohort Summary'!$H$5:$H$14,MATCH($A471,'Cohort Summary'!$A$5:$A$14,0)))/INDEX('Cohort Summary'!$I$5:$I$14,MATCH($A471,'Cohort Summary'!$A$5:$A$14,0))</f>
        <v>-0.967509025270758</v>
      </c>
      <c r="L471" s="42" t="n">
        <f aca="false">(G471-INDEX('Cohort Summary'!$J$5:$J$14,MATCH($A471,'Cohort Summary'!$A$5:$A$14,0)))/INDEX('Cohort Summary'!$K$5:$K$14,MATCH($A471,'Cohort Summary'!$A$5:$A$14,0))</f>
        <v>-0.0526315789473704</v>
      </c>
      <c r="M471" s="42" t="n">
        <f aca="false">MAX(I471:K471)</f>
        <v>0.654377880184331</v>
      </c>
      <c r="N471" s="27" t="s">
        <v>197</v>
      </c>
      <c r="O471" s="27"/>
      <c r="P471" s="27" t="str">
        <f aca="false">A471&amp;"|"&amp;N471</f>
        <v>NURSE-03|normal</v>
      </c>
    </row>
    <row r="472" customFormat="false" ht="15" hidden="false" customHeight="true" outlineLevel="0" collapsed="false">
      <c r="A472" s="27" t="s">
        <v>78</v>
      </c>
      <c r="B472" s="41" t="n">
        <v>46303.3159722222</v>
      </c>
      <c r="C472" s="27" t="s">
        <v>200</v>
      </c>
      <c r="D472" s="27" t="n">
        <v>37.7</v>
      </c>
      <c r="E472" s="27" t="n">
        <v>21.1</v>
      </c>
      <c r="F472" s="27" t="n">
        <v>32</v>
      </c>
      <c r="G472" s="27" t="n">
        <v>34.9</v>
      </c>
      <c r="H472" s="27" t="s">
        <v>198</v>
      </c>
      <c r="I472" s="42" t="n">
        <f aca="false">(D472-INDEX('Cohort Summary'!$D$5:$D$14,MATCH($A472,'Cohort Summary'!$A$5:$A$14,0)))/INDEX('Cohort Summary'!$E$5:$E$14,MATCH($A472,'Cohort Summary'!$A$5:$A$14,0))</f>
        <v>0.264285714285715</v>
      </c>
      <c r="J472" s="42" t="n">
        <f aca="false">(E472-INDEX('Cohort Summary'!$F$5:$F$14,MATCH($A472,'Cohort Summary'!$A$5:$A$14,0)))/INDEX('Cohort Summary'!$G$5:$G$14,MATCH($A472,'Cohort Summary'!$A$5:$A$14,0))</f>
        <v>1.29953917050691</v>
      </c>
      <c r="K472" s="42" t="n">
        <f aca="false">(F472-INDEX('Cohort Summary'!$H$5:$H$14,MATCH($A472,'Cohort Summary'!$A$5:$A$14,0)))/INDEX('Cohort Summary'!$I$5:$I$14,MATCH($A472,'Cohort Summary'!$A$5:$A$14,0))</f>
        <v>1.55956678700361</v>
      </c>
      <c r="L472" s="42" t="n">
        <f aca="false">(G472-INDEX('Cohort Summary'!$J$5:$J$14,MATCH($A472,'Cohort Summary'!$A$5:$A$14,0)))/INDEX('Cohort Summary'!$K$5:$K$14,MATCH($A472,'Cohort Summary'!$A$5:$A$14,0))</f>
        <v>2.75438596491228</v>
      </c>
      <c r="M472" s="42" t="n">
        <f aca="false">MAX(I472:K472)</f>
        <v>1.55956678700361</v>
      </c>
      <c r="N472" s="27" t="s">
        <v>201</v>
      </c>
      <c r="O472" s="27" t="s">
        <v>220</v>
      </c>
      <c r="P472" s="27" t="str">
        <f aca="false">A472&amp;"|"&amp;N472</f>
        <v>NURSE-03|caution</v>
      </c>
    </row>
    <row r="473" customFormat="false" ht="15" hidden="false" customHeight="true" outlineLevel="0" collapsed="false">
      <c r="A473" s="27" t="s">
        <v>78</v>
      </c>
      <c r="B473" s="41" t="n">
        <v>46303.3163194444</v>
      </c>
      <c r="C473" s="27" t="s">
        <v>200</v>
      </c>
      <c r="D473" s="27" t="n">
        <v>37.7</v>
      </c>
      <c r="E473" s="27" t="n">
        <v>17.9</v>
      </c>
      <c r="F473" s="27" t="n">
        <v>24.2</v>
      </c>
      <c r="G473" s="27" t="n">
        <v>34.2</v>
      </c>
      <c r="H473" s="27" t="s">
        <v>196</v>
      </c>
      <c r="I473" s="42" t="n">
        <f aca="false">(D473-INDEX('Cohort Summary'!$D$5:$D$14,MATCH($A473,'Cohort Summary'!$A$5:$A$14,0)))/INDEX('Cohort Summary'!$E$5:$E$14,MATCH($A473,'Cohort Summary'!$A$5:$A$14,0))</f>
        <v>0.264285714285715</v>
      </c>
      <c r="J473" s="42" t="n">
        <f aca="false">(E473-INDEX('Cohort Summary'!$F$5:$F$14,MATCH($A473,'Cohort Summary'!$A$5:$A$14,0)))/INDEX('Cohort Summary'!$G$5:$G$14,MATCH($A473,'Cohort Summary'!$A$5:$A$14,0))</f>
        <v>-0.175115207373273</v>
      </c>
      <c r="K473" s="42" t="n">
        <f aca="false">(F473-INDEX('Cohort Summary'!$H$5:$H$14,MATCH($A473,'Cohort Summary'!$A$5:$A$14,0)))/INDEX('Cohort Summary'!$I$5:$I$14,MATCH($A473,'Cohort Summary'!$A$5:$A$14,0))</f>
        <v>-1.25631768953069</v>
      </c>
      <c r="L473" s="42" t="n">
        <f aca="false">(G473-INDEX('Cohort Summary'!$J$5:$J$14,MATCH($A473,'Cohort Summary'!$A$5:$A$14,0)))/INDEX('Cohort Summary'!$K$5:$K$14,MATCH($A473,'Cohort Summary'!$A$5:$A$14,0))</f>
        <v>1.52631578947369</v>
      </c>
      <c r="M473" s="42" t="n">
        <f aca="false">MAX(I473:K473)</f>
        <v>0.264285714285715</v>
      </c>
      <c r="N473" s="27" t="s">
        <v>197</v>
      </c>
      <c r="O473" s="27"/>
      <c r="P473" s="27" t="str">
        <f aca="false">A473&amp;"|"&amp;N473</f>
        <v>NURSE-03|normal</v>
      </c>
    </row>
    <row r="474" customFormat="false" ht="15" hidden="false" customHeight="true" outlineLevel="0" collapsed="false">
      <c r="A474" s="27" t="s">
        <v>78</v>
      </c>
      <c r="B474" s="41" t="n">
        <v>46303.3166666667</v>
      </c>
      <c r="C474" s="27" t="s">
        <v>200</v>
      </c>
      <c r="D474" s="27" t="n">
        <v>33.1</v>
      </c>
      <c r="E474" s="27" t="n">
        <v>15.7</v>
      </c>
      <c r="F474" s="27" t="n">
        <v>24.7</v>
      </c>
      <c r="G474" s="27" t="n">
        <v>34.9</v>
      </c>
      <c r="H474" s="27" t="s">
        <v>199</v>
      </c>
      <c r="I474" s="42" t="n">
        <f aca="false">(D474-INDEX('Cohort Summary'!$D$5:$D$14,MATCH($A474,'Cohort Summary'!$A$5:$A$14,0)))/INDEX('Cohort Summary'!$E$5:$E$14,MATCH($A474,'Cohort Summary'!$A$5:$A$14,0))</f>
        <v>-1.37857142857143</v>
      </c>
      <c r="J474" s="42" t="n">
        <f aca="false">(E474-INDEX('Cohort Summary'!$F$5:$F$14,MATCH($A474,'Cohort Summary'!$A$5:$A$14,0)))/INDEX('Cohort Summary'!$G$5:$G$14,MATCH($A474,'Cohort Summary'!$A$5:$A$14,0))</f>
        <v>-1.1889400921659</v>
      </c>
      <c r="K474" s="42" t="n">
        <f aca="false">(F474-INDEX('Cohort Summary'!$H$5:$H$14,MATCH($A474,'Cohort Summary'!$A$5:$A$14,0)))/INDEX('Cohort Summary'!$I$5:$I$14,MATCH($A474,'Cohort Summary'!$A$5:$A$14,0))</f>
        <v>-1.07581227436823</v>
      </c>
      <c r="L474" s="42" t="n">
        <f aca="false">(G474-INDEX('Cohort Summary'!$J$5:$J$14,MATCH($A474,'Cohort Summary'!$A$5:$A$14,0)))/INDEX('Cohort Summary'!$K$5:$K$14,MATCH($A474,'Cohort Summary'!$A$5:$A$14,0))</f>
        <v>2.75438596491228</v>
      </c>
      <c r="M474" s="42" t="n">
        <f aca="false">MAX(I474:K474)</f>
        <v>-1.07581227436823</v>
      </c>
      <c r="N474" s="27" t="s">
        <v>201</v>
      </c>
      <c r="O474" s="27" t="s">
        <v>220</v>
      </c>
      <c r="P474" s="27" t="str">
        <f aca="false">A474&amp;"|"&amp;N474</f>
        <v>NURSE-03|caution</v>
      </c>
    </row>
    <row r="475" customFormat="false" ht="15" hidden="false" customHeight="true" outlineLevel="0" collapsed="false">
      <c r="A475" s="27" t="s">
        <v>78</v>
      </c>
      <c r="B475" s="41" t="n">
        <v>46303.3170138889</v>
      </c>
      <c r="C475" s="27" t="s">
        <v>200</v>
      </c>
      <c r="D475" s="27" t="n">
        <v>38.1</v>
      </c>
      <c r="E475" s="27" t="n">
        <v>20.6</v>
      </c>
      <c r="F475" s="27" t="n">
        <v>23.6</v>
      </c>
      <c r="G475" s="27" t="n">
        <v>33.9</v>
      </c>
      <c r="H475" s="27" t="s">
        <v>196</v>
      </c>
      <c r="I475" s="42" t="n">
        <f aca="false">(D475-INDEX('Cohort Summary'!$D$5:$D$14,MATCH($A475,'Cohort Summary'!$A$5:$A$14,0)))/INDEX('Cohort Summary'!$E$5:$E$14,MATCH($A475,'Cohort Summary'!$A$5:$A$14,0))</f>
        <v>0.407142857142857</v>
      </c>
      <c r="J475" s="42" t="n">
        <f aca="false">(E475-INDEX('Cohort Summary'!$F$5:$F$14,MATCH($A475,'Cohort Summary'!$A$5:$A$14,0)))/INDEX('Cohort Summary'!$G$5:$G$14,MATCH($A475,'Cohort Summary'!$A$5:$A$14,0))</f>
        <v>1.06912442396313</v>
      </c>
      <c r="K475" s="42" t="n">
        <f aca="false">(F475-INDEX('Cohort Summary'!$H$5:$H$14,MATCH($A475,'Cohort Summary'!$A$5:$A$14,0)))/INDEX('Cohort Summary'!$I$5:$I$14,MATCH($A475,'Cohort Summary'!$A$5:$A$14,0))</f>
        <v>-1.47292418772563</v>
      </c>
      <c r="L475" s="42" t="n">
        <f aca="false">(G475-INDEX('Cohort Summary'!$J$5:$J$14,MATCH($A475,'Cohort Summary'!$A$5:$A$14,0)))/INDEX('Cohort Summary'!$K$5:$K$14,MATCH($A475,'Cohort Summary'!$A$5:$A$14,0))</f>
        <v>1</v>
      </c>
      <c r="M475" s="42" t="n">
        <f aca="false">MAX(I475:K475)</f>
        <v>1.06912442396313</v>
      </c>
      <c r="N475" s="27" t="s">
        <v>197</v>
      </c>
      <c r="O475" s="27"/>
      <c r="P475" s="27" t="str">
        <f aca="false">A475&amp;"|"&amp;N475</f>
        <v>NURSE-03|normal</v>
      </c>
    </row>
    <row r="476" customFormat="false" ht="15" hidden="false" customHeight="true" outlineLevel="0" collapsed="false">
      <c r="A476" s="27" t="s">
        <v>78</v>
      </c>
      <c r="B476" s="41" t="n">
        <v>46303.3173611111</v>
      </c>
      <c r="C476" s="27" t="s">
        <v>200</v>
      </c>
      <c r="D476" s="27" t="n">
        <v>35.2</v>
      </c>
      <c r="E476" s="27" t="n">
        <v>20</v>
      </c>
      <c r="F476" s="27" t="n">
        <v>26.5</v>
      </c>
      <c r="G476" s="27" t="n">
        <v>34.2</v>
      </c>
      <c r="H476" s="27" t="s">
        <v>199</v>
      </c>
      <c r="I476" s="42" t="n">
        <f aca="false">(D476-INDEX('Cohort Summary'!$D$5:$D$14,MATCH($A476,'Cohort Summary'!$A$5:$A$14,0)))/INDEX('Cohort Summary'!$E$5:$E$14,MATCH($A476,'Cohort Summary'!$A$5:$A$14,0))</f>
        <v>-0.628571428571428</v>
      </c>
      <c r="J476" s="42" t="n">
        <f aca="false">(E476-INDEX('Cohort Summary'!$F$5:$F$14,MATCH($A476,'Cohort Summary'!$A$5:$A$14,0)))/INDEX('Cohort Summary'!$G$5:$G$14,MATCH($A476,'Cohort Summary'!$A$5:$A$14,0))</f>
        <v>0.792626728110599</v>
      </c>
      <c r="K476" s="42" t="n">
        <f aca="false">(F476-INDEX('Cohort Summary'!$H$5:$H$14,MATCH($A476,'Cohort Summary'!$A$5:$A$14,0)))/INDEX('Cohort Summary'!$I$5:$I$14,MATCH($A476,'Cohort Summary'!$A$5:$A$14,0))</f>
        <v>-0.425992779783393</v>
      </c>
      <c r="L476" s="42" t="n">
        <f aca="false">(G476-INDEX('Cohort Summary'!$J$5:$J$14,MATCH($A476,'Cohort Summary'!$A$5:$A$14,0)))/INDEX('Cohort Summary'!$K$5:$K$14,MATCH($A476,'Cohort Summary'!$A$5:$A$14,0))</f>
        <v>1.52631578947369</v>
      </c>
      <c r="M476" s="42" t="n">
        <f aca="false">MAX(I476:K476)</f>
        <v>0.792626728110599</v>
      </c>
      <c r="N476" s="27" t="s">
        <v>197</v>
      </c>
      <c r="O476" s="27"/>
      <c r="P476" s="27" t="str">
        <f aca="false">A476&amp;"|"&amp;N476</f>
        <v>NURSE-03|normal</v>
      </c>
    </row>
    <row r="477" customFormat="false" ht="15" hidden="false" customHeight="true" outlineLevel="0" collapsed="false">
      <c r="A477" s="27" t="s">
        <v>78</v>
      </c>
      <c r="B477" s="41" t="n">
        <v>46303.3177083333</v>
      </c>
      <c r="C477" s="27" t="s">
        <v>200</v>
      </c>
      <c r="D477" s="27" t="n">
        <v>38.3</v>
      </c>
      <c r="E477" s="27" t="n">
        <v>21</v>
      </c>
      <c r="F477" s="27" t="n">
        <v>32.5</v>
      </c>
      <c r="G477" s="27" t="n">
        <v>34</v>
      </c>
      <c r="H477" s="27" t="s">
        <v>198</v>
      </c>
      <c r="I477" s="42" t="n">
        <f aca="false">(D477-INDEX('Cohort Summary'!$D$5:$D$14,MATCH($A477,'Cohort Summary'!$A$5:$A$14,0)))/INDEX('Cohort Summary'!$E$5:$E$14,MATCH($A477,'Cohort Summary'!$A$5:$A$14,0))</f>
        <v>0.478571428571427</v>
      </c>
      <c r="J477" s="42" t="n">
        <f aca="false">(E477-INDEX('Cohort Summary'!$F$5:$F$14,MATCH($A477,'Cohort Summary'!$A$5:$A$14,0)))/INDEX('Cohort Summary'!$G$5:$G$14,MATCH($A477,'Cohort Summary'!$A$5:$A$14,0))</f>
        <v>1.25345622119816</v>
      </c>
      <c r="K477" s="42" t="n">
        <f aca="false">(F477-INDEX('Cohort Summary'!$H$5:$H$14,MATCH($A477,'Cohort Summary'!$A$5:$A$14,0)))/INDEX('Cohort Summary'!$I$5:$I$14,MATCH($A477,'Cohort Summary'!$A$5:$A$14,0))</f>
        <v>1.74007220216607</v>
      </c>
      <c r="L477" s="42" t="n">
        <f aca="false">(G477-INDEX('Cohort Summary'!$J$5:$J$14,MATCH($A477,'Cohort Summary'!$A$5:$A$14,0)))/INDEX('Cohort Summary'!$K$5:$K$14,MATCH($A477,'Cohort Summary'!$A$5:$A$14,0))</f>
        <v>1.17543859649123</v>
      </c>
      <c r="M477" s="42" t="n">
        <f aca="false">MAX(I477:K477)</f>
        <v>1.74007220216607</v>
      </c>
      <c r="N477" s="27" t="s">
        <v>197</v>
      </c>
      <c r="O477" s="27"/>
      <c r="P477" s="27" t="str">
        <f aca="false">A477&amp;"|"&amp;N477</f>
        <v>NURSE-03|normal</v>
      </c>
    </row>
    <row r="478" customFormat="false" ht="15" hidden="false" customHeight="true" outlineLevel="0" collapsed="false">
      <c r="A478" s="27" t="s">
        <v>78</v>
      </c>
      <c r="B478" s="41" t="n">
        <v>46303.3180555556</v>
      </c>
      <c r="C478" s="27" t="s">
        <v>200</v>
      </c>
      <c r="D478" s="27" t="n">
        <v>36.5</v>
      </c>
      <c r="E478" s="27" t="n">
        <v>17.7</v>
      </c>
      <c r="F478" s="27" t="n">
        <v>23.5</v>
      </c>
      <c r="G478" s="27" t="n">
        <v>34.1</v>
      </c>
      <c r="H478" s="27" t="s">
        <v>196</v>
      </c>
      <c r="I478" s="42" t="n">
        <f aca="false">(D478-INDEX('Cohort Summary'!$D$5:$D$14,MATCH($A478,'Cohort Summary'!$A$5:$A$14,0)))/INDEX('Cohort Summary'!$E$5:$E$14,MATCH($A478,'Cohort Summary'!$A$5:$A$14,0))</f>
        <v>-0.164285714285715</v>
      </c>
      <c r="J478" s="42" t="n">
        <f aca="false">(E478-INDEX('Cohort Summary'!$F$5:$F$14,MATCH($A478,'Cohort Summary'!$A$5:$A$14,0)))/INDEX('Cohort Summary'!$G$5:$G$14,MATCH($A478,'Cohort Summary'!$A$5:$A$14,0))</f>
        <v>-0.267281105990784</v>
      </c>
      <c r="K478" s="42" t="n">
        <f aca="false">(F478-INDEX('Cohort Summary'!$H$5:$H$14,MATCH($A478,'Cohort Summary'!$A$5:$A$14,0)))/INDEX('Cohort Summary'!$I$5:$I$14,MATCH($A478,'Cohort Summary'!$A$5:$A$14,0))</f>
        <v>-1.50902527075812</v>
      </c>
      <c r="L478" s="42" t="n">
        <f aca="false">(G478-INDEX('Cohort Summary'!$J$5:$J$14,MATCH($A478,'Cohort Summary'!$A$5:$A$14,0)))/INDEX('Cohort Summary'!$K$5:$K$14,MATCH($A478,'Cohort Summary'!$A$5:$A$14,0))</f>
        <v>1.35087719298246</v>
      </c>
      <c r="M478" s="42" t="n">
        <f aca="false">MAX(I478:K478)</f>
        <v>-0.164285714285715</v>
      </c>
      <c r="N478" s="27" t="s">
        <v>197</v>
      </c>
      <c r="O478" s="27"/>
      <c r="P478" s="27" t="str">
        <f aca="false">A478&amp;"|"&amp;N478</f>
        <v>NURSE-03|normal</v>
      </c>
    </row>
    <row r="479" customFormat="false" ht="15" hidden="false" customHeight="true" outlineLevel="0" collapsed="false">
      <c r="A479" s="27" t="s">
        <v>78</v>
      </c>
      <c r="B479" s="41" t="n">
        <v>46303.3184027778</v>
      </c>
      <c r="C479" s="27" t="s">
        <v>200</v>
      </c>
      <c r="D479" s="27" t="n">
        <v>39.6</v>
      </c>
      <c r="E479" s="27" t="n">
        <v>15.3</v>
      </c>
      <c r="F479" s="27" t="n">
        <v>23.5</v>
      </c>
      <c r="G479" s="27" t="n">
        <v>32.8</v>
      </c>
      <c r="H479" s="27" t="s">
        <v>198</v>
      </c>
      <c r="I479" s="42" t="n">
        <f aca="false">(D479-INDEX('Cohort Summary'!$D$5:$D$14,MATCH($A479,'Cohort Summary'!$A$5:$A$14,0)))/INDEX('Cohort Summary'!$E$5:$E$14,MATCH($A479,'Cohort Summary'!$A$5:$A$14,0))</f>
        <v>0.942857142857143</v>
      </c>
      <c r="J479" s="42" t="n">
        <f aca="false">(E479-INDEX('Cohort Summary'!$F$5:$F$14,MATCH($A479,'Cohort Summary'!$A$5:$A$14,0)))/INDEX('Cohort Summary'!$G$5:$G$14,MATCH($A479,'Cohort Summary'!$A$5:$A$14,0))</f>
        <v>-1.37327188940092</v>
      </c>
      <c r="K479" s="42" t="n">
        <f aca="false">(F479-INDEX('Cohort Summary'!$H$5:$H$14,MATCH($A479,'Cohort Summary'!$A$5:$A$14,0)))/INDEX('Cohort Summary'!$I$5:$I$14,MATCH($A479,'Cohort Summary'!$A$5:$A$14,0))</f>
        <v>-1.50902527075812</v>
      </c>
      <c r="L479" s="42" t="n">
        <f aca="false">(G479-INDEX('Cohort Summary'!$J$5:$J$14,MATCH($A479,'Cohort Summary'!$A$5:$A$14,0)))/INDEX('Cohort Summary'!$K$5:$K$14,MATCH($A479,'Cohort Summary'!$A$5:$A$14,0))</f>
        <v>-0.929824561403511</v>
      </c>
      <c r="M479" s="42" t="n">
        <f aca="false">MAX(I479:K479)</f>
        <v>0.942857142857143</v>
      </c>
      <c r="N479" s="27" t="s">
        <v>197</v>
      </c>
      <c r="O479" s="27"/>
      <c r="P479" s="27" t="str">
        <f aca="false">A479&amp;"|"&amp;N479</f>
        <v>NURSE-03|normal</v>
      </c>
    </row>
    <row r="480" customFormat="false" ht="15" hidden="false" customHeight="true" outlineLevel="0" collapsed="false">
      <c r="A480" s="27" t="s">
        <v>78</v>
      </c>
      <c r="B480" s="41" t="n">
        <v>46303.31875</v>
      </c>
      <c r="C480" s="27" t="s">
        <v>200</v>
      </c>
      <c r="D480" s="27" t="n">
        <v>32.4</v>
      </c>
      <c r="E480" s="27" t="n">
        <v>21.5</v>
      </c>
      <c r="F480" s="27" t="n">
        <v>31.5</v>
      </c>
      <c r="G480" s="27" t="n">
        <v>32.9</v>
      </c>
      <c r="H480" s="27" t="s">
        <v>199</v>
      </c>
      <c r="I480" s="42" t="n">
        <f aca="false">(D480-INDEX('Cohort Summary'!$D$5:$D$14,MATCH($A480,'Cohort Summary'!$A$5:$A$14,0)))/INDEX('Cohort Summary'!$E$5:$E$14,MATCH($A480,'Cohort Summary'!$A$5:$A$14,0))</f>
        <v>-1.62857142857143</v>
      </c>
      <c r="J480" s="42" t="n">
        <f aca="false">(E480-INDEX('Cohort Summary'!$F$5:$F$14,MATCH($A480,'Cohort Summary'!$A$5:$A$14,0)))/INDEX('Cohort Summary'!$G$5:$G$14,MATCH($A480,'Cohort Summary'!$A$5:$A$14,0))</f>
        <v>1.48387096774194</v>
      </c>
      <c r="K480" s="42" t="n">
        <f aca="false">(F480-INDEX('Cohort Summary'!$H$5:$H$14,MATCH($A480,'Cohort Summary'!$A$5:$A$14,0)))/INDEX('Cohort Summary'!$I$5:$I$14,MATCH($A480,'Cohort Summary'!$A$5:$A$14,0))</f>
        <v>1.37906137184116</v>
      </c>
      <c r="L480" s="42" t="n">
        <f aca="false">(G480-INDEX('Cohort Summary'!$J$5:$J$14,MATCH($A480,'Cohort Summary'!$A$5:$A$14,0)))/INDEX('Cohort Summary'!$K$5:$K$14,MATCH($A480,'Cohort Summary'!$A$5:$A$14,0))</f>
        <v>-0.75438596491228</v>
      </c>
      <c r="M480" s="42" t="n">
        <f aca="false">MAX(I480:K480)</f>
        <v>1.48387096774194</v>
      </c>
      <c r="N480" s="27" t="s">
        <v>197</v>
      </c>
      <c r="O480" s="27"/>
      <c r="P480" s="27" t="str">
        <f aca="false">A480&amp;"|"&amp;N480</f>
        <v>NURSE-03|normal</v>
      </c>
    </row>
    <row r="481" customFormat="false" ht="15" hidden="false" customHeight="true" outlineLevel="0" collapsed="false">
      <c r="A481" s="27" t="s">
        <v>78</v>
      </c>
      <c r="B481" s="41" t="n">
        <v>46303.3190972222</v>
      </c>
      <c r="C481" s="27" t="s">
        <v>200</v>
      </c>
      <c r="D481" s="27" t="n">
        <v>35</v>
      </c>
      <c r="E481" s="27" t="n">
        <v>19.2</v>
      </c>
      <c r="F481" s="27" t="n">
        <v>32.6</v>
      </c>
      <c r="G481" s="27" t="n">
        <v>33.3</v>
      </c>
      <c r="H481" s="27" t="s">
        <v>198</v>
      </c>
      <c r="I481" s="42" t="n">
        <f aca="false">(D481-INDEX('Cohort Summary'!$D$5:$D$14,MATCH($A481,'Cohort Summary'!$A$5:$A$14,0)))/INDEX('Cohort Summary'!$E$5:$E$14,MATCH($A481,'Cohort Summary'!$A$5:$A$14,0))</f>
        <v>-0.7</v>
      </c>
      <c r="J481" s="42" t="n">
        <f aca="false">(E481-INDEX('Cohort Summary'!$F$5:$F$14,MATCH($A481,'Cohort Summary'!$A$5:$A$14,0)))/INDEX('Cohort Summary'!$G$5:$G$14,MATCH($A481,'Cohort Summary'!$A$5:$A$14,0))</f>
        <v>0.423963133640552</v>
      </c>
      <c r="K481" s="42" t="n">
        <f aca="false">(F481-INDEX('Cohort Summary'!$H$5:$H$14,MATCH($A481,'Cohort Summary'!$A$5:$A$14,0)))/INDEX('Cohort Summary'!$I$5:$I$14,MATCH($A481,'Cohort Summary'!$A$5:$A$14,0))</f>
        <v>1.77617328519856</v>
      </c>
      <c r="L481" s="42" t="n">
        <f aca="false">(G481-INDEX('Cohort Summary'!$J$5:$J$14,MATCH($A481,'Cohort Summary'!$A$5:$A$14,0)))/INDEX('Cohort Summary'!$K$5:$K$14,MATCH($A481,'Cohort Summary'!$A$5:$A$14,0))</f>
        <v>-0.0526315789473704</v>
      </c>
      <c r="M481" s="42" t="n">
        <f aca="false">MAX(I481:K481)</f>
        <v>1.77617328519856</v>
      </c>
      <c r="N481" s="27" t="s">
        <v>197</v>
      </c>
      <c r="O481" s="27"/>
      <c r="P481" s="27" t="str">
        <f aca="false">A481&amp;"|"&amp;N481</f>
        <v>NURSE-03|normal</v>
      </c>
    </row>
    <row r="482" customFormat="false" ht="15" hidden="false" customHeight="true" outlineLevel="0" collapsed="false">
      <c r="A482" s="27" t="s">
        <v>78</v>
      </c>
      <c r="B482" s="41" t="n">
        <v>46303.3194444445</v>
      </c>
      <c r="C482" s="27" t="s">
        <v>200</v>
      </c>
      <c r="D482" s="27" t="n">
        <v>34.4</v>
      </c>
      <c r="E482" s="27" t="n">
        <v>17.7</v>
      </c>
      <c r="F482" s="27" t="n">
        <v>30.2</v>
      </c>
      <c r="G482" s="27" t="n">
        <v>32.7</v>
      </c>
      <c r="H482" s="27" t="s">
        <v>199</v>
      </c>
      <c r="I482" s="42" t="n">
        <f aca="false">(D482-INDEX('Cohort Summary'!$D$5:$D$14,MATCH($A482,'Cohort Summary'!$A$5:$A$14,0)))/INDEX('Cohort Summary'!$E$5:$E$14,MATCH($A482,'Cohort Summary'!$A$5:$A$14,0))</f>
        <v>-0.914285714285715</v>
      </c>
      <c r="J482" s="42" t="n">
        <f aca="false">(E482-INDEX('Cohort Summary'!$F$5:$F$14,MATCH($A482,'Cohort Summary'!$A$5:$A$14,0)))/INDEX('Cohort Summary'!$G$5:$G$14,MATCH($A482,'Cohort Summary'!$A$5:$A$14,0))</f>
        <v>-0.267281105990784</v>
      </c>
      <c r="K482" s="42" t="n">
        <f aca="false">(F482-INDEX('Cohort Summary'!$H$5:$H$14,MATCH($A482,'Cohort Summary'!$A$5:$A$14,0)))/INDEX('Cohort Summary'!$I$5:$I$14,MATCH($A482,'Cohort Summary'!$A$5:$A$14,0))</f>
        <v>0.909747292418772</v>
      </c>
      <c r="L482" s="42" t="n">
        <f aca="false">(G482-INDEX('Cohort Summary'!$J$5:$J$14,MATCH($A482,'Cohort Summary'!$A$5:$A$14,0)))/INDEX('Cohort Summary'!$K$5:$K$14,MATCH($A482,'Cohort Summary'!$A$5:$A$14,0))</f>
        <v>-1.10526315789473</v>
      </c>
      <c r="M482" s="42" t="n">
        <f aca="false">MAX(I482:K482)</f>
        <v>0.909747292418772</v>
      </c>
      <c r="N482" s="27" t="s">
        <v>197</v>
      </c>
      <c r="O482" s="27"/>
      <c r="P482" s="27" t="str">
        <f aca="false">A482&amp;"|"&amp;N482</f>
        <v>NURSE-03|normal</v>
      </c>
    </row>
    <row r="483" customFormat="false" ht="15" hidden="false" customHeight="true" outlineLevel="0" collapsed="false">
      <c r="A483" s="27" t="s">
        <v>78</v>
      </c>
      <c r="B483" s="41" t="n">
        <v>46303.3197916667</v>
      </c>
      <c r="C483" s="27" t="s">
        <v>200</v>
      </c>
      <c r="D483" s="27" t="n">
        <v>36</v>
      </c>
      <c r="E483" s="27" t="n">
        <v>20</v>
      </c>
      <c r="F483" s="27" t="n">
        <v>23.2</v>
      </c>
      <c r="G483" s="27" t="n">
        <v>34</v>
      </c>
      <c r="H483" s="27" t="s">
        <v>198</v>
      </c>
      <c r="I483" s="42" t="n">
        <f aca="false">(D483-INDEX('Cohort Summary'!$D$5:$D$14,MATCH($A483,'Cohort Summary'!$A$5:$A$14,0)))/INDEX('Cohort Summary'!$E$5:$E$14,MATCH($A483,'Cohort Summary'!$A$5:$A$14,0))</f>
        <v>-0.342857142857143</v>
      </c>
      <c r="J483" s="42" t="n">
        <f aca="false">(E483-INDEX('Cohort Summary'!$F$5:$F$14,MATCH($A483,'Cohort Summary'!$A$5:$A$14,0)))/INDEX('Cohort Summary'!$G$5:$G$14,MATCH($A483,'Cohort Summary'!$A$5:$A$14,0))</f>
        <v>0.792626728110599</v>
      </c>
      <c r="K483" s="42" t="n">
        <f aca="false">(F483-INDEX('Cohort Summary'!$H$5:$H$14,MATCH($A483,'Cohort Summary'!$A$5:$A$14,0)))/INDEX('Cohort Summary'!$I$5:$I$14,MATCH($A483,'Cohort Summary'!$A$5:$A$14,0))</f>
        <v>-1.6173285198556</v>
      </c>
      <c r="L483" s="42" t="n">
        <f aca="false">(G483-INDEX('Cohort Summary'!$J$5:$J$14,MATCH($A483,'Cohort Summary'!$A$5:$A$14,0)))/INDEX('Cohort Summary'!$K$5:$K$14,MATCH($A483,'Cohort Summary'!$A$5:$A$14,0))</f>
        <v>1.17543859649123</v>
      </c>
      <c r="M483" s="42" t="n">
        <f aca="false">MAX(I483:K483)</f>
        <v>0.792626728110599</v>
      </c>
      <c r="N483" s="27" t="s">
        <v>197</v>
      </c>
      <c r="O483" s="27"/>
      <c r="P483" s="27" t="str">
        <f aca="false">A483&amp;"|"&amp;N483</f>
        <v>NURSE-03|normal</v>
      </c>
    </row>
    <row r="484" customFormat="false" ht="15" hidden="false" customHeight="true" outlineLevel="0" collapsed="false">
      <c r="A484" s="27" t="s">
        <v>78</v>
      </c>
      <c r="B484" s="41" t="n">
        <v>46303.3201388889</v>
      </c>
      <c r="C484" s="27" t="s">
        <v>200</v>
      </c>
      <c r="D484" s="27" t="n">
        <v>33.7</v>
      </c>
      <c r="E484" s="27" t="n">
        <v>17.5</v>
      </c>
      <c r="F484" s="27" t="n">
        <v>24.9</v>
      </c>
      <c r="G484" s="27" t="n">
        <v>34.2</v>
      </c>
      <c r="H484" s="27" t="s">
        <v>199</v>
      </c>
      <c r="I484" s="42" t="n">
        <f aca="false">(D484-INDEX('Cohort Summary'!$D$5:$D$14,MATCH($A484,'Cohort Summary'!$A$5:$A$14,0)))/INDEX('Cohort Summary'!$E$5:$E$14,MATCH($A484,'Cohort Summary'!$A$5:$A$14,0))</f>
        <v>-1.16428571428571</v>
      </c>
      <c r="J484" s="42" t="n">
        <f aca="false">(E484-INDEX('Cohort Summary'!$F$5:$F$14,MATCH($A484,'Cohort Summary'!$A$5:$A$14,0)))/INDEX('Cohort Summary'!$G$5:$G$14,MATCH($A484,'Cohort Summary'!$A$5:$A$14,0))</f>
        <v>-0.359447004608296</v>
      </c>
      <c r="K484" s="42" t="n">
        <f aca="false">(F484-INDEX('Cohort Summary'!$H$5:$H$14,MATCH($A484,'Cohort Summary'!$A$5:$A$14,0)))/INDEX('Cohort Summary'!$I$5:$I$14,MATCH($A484,'Cohort Summary'!$A$5:$A$14,0))</f>
        <v>-1.00361010830325</v>
      </c>
      <c r="L484" s="42" t="n">
        <f aca="false">(G484-INDEX('Cohort Summary'!$J$5:$J$14,MATCH($A484,'Cohort Summary'!$A$5:$A$14,0)))/INDEX('Cohort Summary'!$K$5:$K$14,MATCH($A484,'Cohort Summary'!$A$5:$A$14,0))</f>
        <v>1.52631578947369</v>
      </c>
      <c r="M484" s="42" t="n">
        <f aca="false">MAX(I484:K484)</f>
        <v>-0.359447004608296</v>
      </c>
      <c r="N484" s="27" t="s">
        <v>197</v>
      </c>
      <c r="O484" s="27"/>
      <c r="P484" s="27" t="str">
        <f aca="false">A484&amp;"|"&amp;N484</f>
        <v>NURSE-03|normal</v>
      </c>
    </row>
    <row r="485" customFormat="false" ht="15" hidden="false" customHeight="true" outlineLevel="0" collapsed="false">
      <c r="A485" s="27" t="s">
        <v>78</v>
      </c>
      <c r="B485" s="41" t="n">
        <v>46303.3204861111</v>
      </c>
      <c r="C485" s="27" t="s">
        <v>200</v>
      </c>
      <c r="D485" s="27" t="n">
        <v>36</v>
      </c>
      <c r="E485" s="27" t="n">
        <v>17.5</v>
      </c>
      <c r="F485" s="27" t="n">
        <v>26.4</v>
      </c>
      <c r="G485" s="27" t="n">
        <v>34</v>
      </c>
      <c r="H485" s="27" t="s">
        <v>199</v>
      </c>
      <c r="I485" s="42" t="n">
        <f aca="false">(D485-INDEX('Cohort Summary'!$D$5:$D$14,MATCH($A485,'Cohort Summary'!$A$5:$A$14,0)))/INDEX('Cohort Summary'!$E$5:$E$14,MATCH($A485,'Cohort Summary'!$A$5:$A$14,0))</f>
        <v>-0.342857142857143</v>
      </c>
      <c r="J485" s="42" t="n">
        <f aca="false">(E485-INDEX('Cohort Summary'!$F$5:$F$14,MATCH($A485,'Cohort Summary'!$A$5:$A$14,0)))/INDEX('Cohort Summary'!$G$5:$G$14,MATCH($A485,'Cohort Summary'!$A$5:$A$14,0))</f>
        <v>-0.359447004608296</v>
      </c>
      <c r="K485" s="42" t="n">
        <f aca="false">(F485-INDEX('Cohort Summary'!$H$5:$H$14,MATCH($A485,'Cohort Summary'!$A$5:$A$14,0)))/INDEX('Cohort Summary'!$I$5:$I$14,MATCH($A485,'Cohort Summary'!$A$5:$A$14,0))</f>
        <v>-0.462093862815885</v>
      </c>
      <c r="L485" s="42" t="n">
        <f aca="false">(G485-INDEX('Cohort Summary'!$J$5:$J$14,MATCH($A485,'Cohort Summary'!$A$5:$A$14,0)))/INDEX('Cohort Summary'!$K$5:$K$14,MATCH($A485,'Cohort Summary'!$A$5:$A$14,0))</f>
        <v>1.17543859649123</v>
      </c>
      <c r="M485" s="42" t="n">
        <f aca="false">MAX(I485:K485)</f>
        <v>-0.342857142857143</v>
      </c>
      <c r="N485" s="27" t="s">
        <v>197</v>
      </c>
      <c r="O485" s="27"/>
      <c r="P485" s="27" t="str">
        <f aca="false">A485&amp;"|"&amp;N485</f>
        <v>NURSE-03|normal</v>
      </c>
    </row>
    <row r="486" customFormat="false" ht="15" hidden="false" customHeight="true" outlineLevel="0" collapsed="false">
      <c r="A486" s="27" t="s">
        <v>78</v>
      </c>
      <c r="B486" s="41" t="n">
        <v>46303.3208333333</v>
      </c>
      <c r="C486" s="27" t="s">
        <v>200</v>
      </c>
      <c r="D486" s="27" t="n">
        <v>36</v>
      </c>
      <c r="E486" s="27" t="n">
        <v>15.5</v>
      </c>
      <c r="F486" s="27" t="n">
        <v>24.2</v>
      </c>
      <c r="G486" s="27" t="n">
        <v>34</v>
      </c>
      <c r="H486" s="27" t="s">
        <v>199</v>
      </c>
      <c r="I486" s="42" t="n">
        <f aca="false">(D486-INDEX('Cohort Summary'!$D$5:$D$14,MATCH($A486,'Cohort Summary'!$A$5:$A$14,0)))/INDEX('Cohort Summary'!$E$5:$E$14,MATCH($A486,'Cohort Summary'!$A$5:$A$14,0))</f>
        <v>-0.342857142857143</v>
      </c>
      <c r="J486" s="42" t="n">
        <f aca="false">(E486-INDEX('Cohort Summary'!$F$5:$F$14,MATCH($A486,'Cohort Summary'!$A$5:$A$14,0)))/INDEX('Cohort Summary'!$G$5:$G$14,MATCH($A486,'Cohort Summary'!$A$5:$A$14,0))</f>
        <v>-1.28110599078341</v>
      </c>
      <c r="K486" s="42" t="n">
        <f aca="false">(F486-INDEX('Cohort Summary'!$H$5:$H$14,MATCH($A486,'Cohort Summary'!$A$5:$A$14,0)))/INDEX('Cohort Summary'!$I$5:$I$14,MATCH($A486,'Cohort Summary'!$A$5:$A$14,0))</f>
        <v>-1.25631768953069</v>
      </c>
      <c r="L486" s="42" t="n">
        <f aca="false">(G486-INDEX('Cohort Summary'!$J$5:$J$14,MATCH($A486,'Cohort Summary'!$A$5:$A$14,0)))/INDEX('Cohort Summary'!$K$5:$K$14,MATCH($A486,'Cohort Summary'!$A$5:$A$14,0))</f>
        <v>1.17543859649123</v>
      </c>
      <c r="M486" s="42" t="n">
        <f aca="false">MAX(I486:K486)</f>
        <v>-0.342857142857143</v>
      </c>
      <c r="N486" s="27" t="s">
        <v>197</v>
      </c>
      <c r="O486" s="27"/>
      <c r="P486" s="27" t="str">
        <f aca="false">A486&amp;"|"&amp;N486</f>
        <v>NURSE-03|normal</v>
      </c>
    </row>
    <row r="487" customFormat="false" ht="15" hidden="false" customHeight="true" outlineLevel="0" collapsed="false">
      <c r="A487" s="27" t="s">
        <v>78</v>
      </c>
      <c r="B487" s="41" t="n">
        <v>46303.3211805556</v>
      </c>
      <c r="C487" s="27" t="s">
        <v>200</v>
      </c>
      <c r="D487" s="27" t="n">
        <v>37.5</v>
      </c>
      <c r="E487" s="27" t="n">
        <v>17.7</v>
      </c>
      <c r="F487" s="27" t="n">
        <v>27.7</v>
      </c>
      <c r="G487" s="27" t="n">
        <v>33</v>
      </c>
      <c r="H487" s="27" t="s">
        <v>199</v>
      </c>
      <c r="I487" s="42" t="n">
        <f aca="false">(D487-INDEX('Cohort Summary'!$D$5:$D$14,MATCH($A487,'Cohort Summary'!$A$5:$A$14,0)))/INDEX('Cohort Summary'!$E$5:$E$14,MATCH($A487,'Cohort Summary'!$A$5:$A$14,0))</f>
        <v>0.192857142857143</v>
      </c>
      <c r="J487" s="42" t="n">
        <f aca="false">(E487-INDEX('Cohort Summary'!$F$5:$F$14,MATCH($A487,'Cohort Summary'!$A$5:$A$14,0)))/INDEX('Cohort Summary'!$G$5:$G$14,MATCH($A487,'Cohort Summary'!$A$5:$A$14,0))</f>
        <v>-0.267281105990784</v>
      </c>
      <c r="K487" s="42" t="n">
        <f aca="false">(F487-INDEX('Cohort Summary'!$H$5:$H$14,MATCH($A487,'Cohort Summary'!$A$5:$A$14,0)))/INDEX('Cohort Summary'!$I$5:$I$14,MATCH($A487,'Cohort Summary'!$A$5:$A$14,0))</f>
        <v>0.00722021660649804</v>
      </c>
      <c r="L487" s="42" t="n">
        <f aca="false">(G487-INDEX('Cohort Summary'!$J$5:$J$14,MATCH($A487,'Cohort Summary'!$A$5:$A$14,0)))/INDEX('Cohort Summary'!$K$5:$K$14,MATCH($A487,'Cohort Summary'!$A$5:$A$14,0))</f>
        <v>-0.57894736842105</v>
      </c>
      <c r="M487" s="42" t="n">
        <f aca="false">MAX(I487:K487)</f>
        <v>0.192857142857143</v>
      </c>
      <c r="N487" s="27" t="s">
        <v>197</v>
      </c>
      <c r="O487" s="27"/>
      <c r="P487" s="27" t="str">
        <f aca="false">A487&amp;"|"&amp;N487</f>
        <v>NURSE-03|normal</v>
      </c>
    </row>
    <row r="488" customFormat="false" ht="15" hidden="false" customHeight="true" outlineLevel="0" collapsed="false">
      <c r="A488" s="27" t="s">
        <v>78</v>
      </c>
      <c r="B488" s="41" t="n">
        <v>46303.3215277778</v>
      </c>
      <c r="C488" s="27" t="s">
        <v>200</v>
      </c>
      <c r="D488" s="27" t="n">
        <v>32.3</v>
      </c>
      <c r="E488" s="27" t="n">
        <v>19.6</v>
      </c>
      <c r="F488" s="27" t="n">
        <v>26.4</v>
      </c>
      <c r="G488" s="27" t="n">
        <v>32.6</v>
      </c>
      <c r="H488" s="27" t="s">
        <v>196</v>
      </c>
      <c r="I488" s="42" t="n">
        <f aca="false">(D488-INDEX('Cohort Summary'!$D$5:$D$14,MATCH($A488,'Cohort Summary'!$A$5:$A$14,0)))/INDEX('Cohort Summary'!$E$5:$E$14,MATCH($A488,'Cohort Summary'!$A$5:$A$14,0))</f>
        <v>-1.66428571428572</v>
      </c>
      <c r="J488" s="42" t="n">
        <f aca="false">(E488-INDEX('Cohort Summary'!$F$5:$F$14,MATCH($A488,'Cohort Summary'!$A$5:$A$14,0)))/INDEX('Cohort Summary'!$G$5:$G$14,MATCH($A488,'Cohort Summary'!$A$5:$A$14,0))</f>
        <v>0.608294930875576</v>
      </c>
      <c r="K488" s="42" t="n">
        <f aca="false">(F488-INDEX('Cohort Summary'!$H$5:$H$14,MATCH($A488,'Cohort Summary'!$A$5:$A$14,0)))/INDEX('Cohort Summary'!$I$5:$I$14,MATCH($A488,'Cohort Summary'!$A$5:$A$14,0))</f>
        <v>-0.462093862815885</v>
      </c>
      <c r="L488" s="42" t="n">
        <f aca="false">(G488-INDEX('Cohort Summary'!$J$5:$J$14,MATCH($A488,'Cohort Summary'!$A$5:$A$14,0)))/INDEX('Cohort Summary'!$K$5:$K$14,MATCH($A488,'Cohort Summary'!$A$5:$A$14,0))</f>
        <v>-1.28070175438596</v>
      </c>
      <c r="M488" s="42" t="n">
        <f aca="false">MAX(I488:K488)</f>
        <v>0.608294930875576</v>
      </c>
      <c r="N488" s="27" t="s">
        <v>197</v>
      </c>
      <c r="O488" s="27"/>
      <c r="P488" s="27" t="str">
        <f aca="false">A488&amp;"|"&amp;N488</f>
        <v>NURSE-03|normal</v>
      </c>
    </row>
    <row r="489" customFormat="false" ht="15" hidden="false" customHeight="true" outlineLevel="0" collapsed="false">
      <c r="A489" s="27" t="s">
        <v>78</v>
      </c>
      <c r="B489" s="41" t="n">
        <v>46303.321875</v>
      </c>
      <c r="C489" s="27" t="s">
        <v>200</v>
      </c>
      <c r="D489" s="27" t="n">
        <v>33.3</v>
      </c>
      <c r="E489" s="27" t="n">
        <v>16.4</v>
      </c>
      <c r="F489" s="27" t="n">
        <v>28.4</v>
      </c>
      <c r="G489" s="27" t="n">
        <v>33.9</v>
      </c>
      <c r="H489" s="27" t="s">
        <v>196</v>
      </c>
      <c r="I489" s="42" t="n">
        <f aca="false">(D489-INDEX('Cohort Summary'!$D$5:$D$14,MATCH($A489,'Cohort Summary'!$A$5:$A$14,0)))/INDEX('Cohort Summary'!$E$5:$E$14,MATCH($A489,'Cohort Summary'!$A$5:$A$14,0))</f>
        <v>-1.30714285714286</v>
      </c>
      <c r="J489" s="42" t="n">
        <f aca="false">(E489-INDEX('Cohort Summary'!$F$5:$F$14,MATCH($A489,'Cohort Summary'!$A$5:$A$14,0)))/INDEX('Cohort Summary'!$G$5:$G$14,MATCH($A489,'Cohort Summary'!$A$5:$A$14,0))</f>
        <v>-0.86635944700461</v>
      </c>
      <c r="K489" s="42" t="n">
        <f aca="false">(F489-INDEX('Cohort Summary'!$H$5:$H$14,MATCH($A489,'Cohort Summary'!$A$5:$A$14,0)))/INDEX('Cohort Summary'!$I$5:$I$14,MATCH($A489,'Cohort Summary'!$A$5:$A$14,0))</f>
        <v>0.259927797833935</v>
      </c>
      <c r="L489" s="42" t="n">
        <f aca="false">(G489-INDEX('Cohort Summary'!$J$5:$J$14,MATCH($A489,'Cohort Summary'!$A$5:$A$14,0)))/INDEX('Cohort Summary'!$K$5:$K$14,MATCH($A489,'Cohort Summary'!$A$5:$A$14,0))</f>
        <v>1</v>
      </c>
      <c r="M489" s="42" t="n">
        <f aca="false">MAX(I489:K489)</f>
        <v>0.259927797833935</v>
      </c>
      <c r="N489" s="27" t="s">
        <v>197</v>
      </c>
      <c r="O489" s="27"/>
      <c r="P489" s="27" t="str">
        <f aca="false">A489&amp;"|"&amp;N489</f>
        <v>NURSE-03|normal</v>
      </c>
    </row>
    <row r="490" customFormat="false" ht="15" hidden="false" customHeight="true" outlineLevel="0" collapsed="false">
      <c r="A490" s="27" t="s">
        <v>78</v>
      </c>
      <c r="B490" s="41" t="n">
        <v>46303.3222222222</v>
      </c>
      <c r="C490" s="27" t="s">
        <v>200</v>
      </c>
      <c r="D490" s="27" t="n">
        <v>36.4</v>
      </c>
      <c r="E490" s="27" t="n">
        <v>20.9</v>
      </c>
      <c r="F490" s="27" t="n">
        <v>31</v>
      </c>
      <c r="G490" s="27" t="n">
        <v>32.6</v>
      </c>
      <c r="H490" s="27" t="s">
        <v>199</v>
      </c>
      <c r="I490" s="42" t="n">
        <f aca="false">(D490-INDEX('Cohort Summary'!$D$5:$D$14,MATCH($A490,'Cohort Summary'!$A$5:$A$14,0)))/INDEX('Cohort Summary'!$E$5:$E$14,MATCH($A490,'Cohort Summary'!$A$5:$A$14,0))</f>
        <v>-0.200000000000001</v>
      </c>
      <c r="J490" s="42" t="n">
        <f aca="false">(E490-INDEX('Cohort Summary'!$F$5:$F$14,MATCH($A490,'Cohort Summary'!$A$5:$A$14,0)))/INDEX('Cohort Summary'!$G$5:$G$14,MATCH($A490,'Cohort Summary'!$A$5:$A$14,0))</f>
        <v>1.2073732718894</v>
      </c>
      <c r="K490" s="42" t="n">
        <f aca="false">(F490-INDEX('Cohort Summary'!$H$5:$H$14,MATCH($A490,'Cohort Summary'!$A$5:$A$14,0)))/INDEX('Cohort Summary'!$I$5:$I$14,MATCH($A490,'Cohort Summary'!$A$5:$A$14,0))</f>
        <v>1.1985559566787</v>
      </c>
      <c r="L490" s="42" t="n">
        <f aca="false">(G490-INDEX('Cohort Summary'!$J$5:$J$14,MATCH($A490,'Cohort Summary'!$A$5:$A$14,0)))/INDEX('Cohort Summary'!$K$5:$K$14,MATCH($A490,'Cohort Summary'!$A$5:$A$14,0))</f>
        <v>-1.28070175438596</v>
      </c>
      <c r="M490" s="42" t="n">
        <f aca="false">MAX(I490:K490)</f>
        <v>1.2073732718894</v>
      </c>
      <c r="N490" s="27" t="s">
        <v>197</v>
      </c>
      <c r="O490" s="27"/>
      <c r="P490" s="27" t="str">
        <f aca="false">A490&amp;"|"&amp;N490</f>
        <v>NURSE-03|normal</v>
      </c>
    </row>
    <row r="491" customFormat="false" ht="15" hidden="false" customHeight="true" outlineLevel="0" collapsed="false">
      <c r="A491" s="27" t="s">
        <v>78</v>
      </c>
      <c r="B491" s="41" t="n">
        <v>46303.3225694444</v>
      </c>
      <c r="C491" s="27" t="s">
        <v>200</v>
      </c>
      <c r="D491" s="27" t="n">
        <v>34.2</v>
      </c>
      <c r="E491" s="27" t="n">
        <v>17.8</v>
      </c>
      <c r="F491" s="27" t="n">
        <v>29.3</v>
      </c>
      <c r="G491" s="27" t="n">
        <v>33.5</v>
      </c>
      <c r="H491" s="27" t="s">
        <v>199</v>
      </c>
      <c r="I491" s="42" t="n">
        <f aca="false">(D491-INDEX('Cohort Summary'!$D$5:$D$14,MATCH($A491,'Cohort Summary'!$A$5:$A$14,0)))/INDEX('Cohort Summary'!$E$5:$E$14,MATCH($A491,'Cohort Summary'!$A$5:$A$14,0))</f>
        <v>-0.985714285714285</v>
      </c>
      <c r="J491" s="42" t="n">
        <f aca="false">(E491-INDEX('Cohort Summary'!$F$5:$F$14,MATCH($A491,'Cohort Summary'!$A$5:$A$14,0)))/INDEX('Cohort Summary'!$G$5:$G$14,MATCH($A491,'Cohort Summary'!$A$5:$A$14,0))</f>
        <v>-0.221198156682028</v>
      </c>
      <c r="K491" s="42" t="n">
        <f aca="false">(F491-INDEX('Cohort Summary'!$H$5:$H$14,MATCH($A491,'Cohort Summary'!$A$5:$A$14,0)))/INDEX('Cohort Summary'!$I$5:$I$14,MATCH($A491,'Cohort Summary'!$A$5:$A$14,0))</f>
        <v>0.584837545126354</v>
      </c>
      <c r="L491" s="42" t="n">
        <f aca="false">(G491-INDEX('Cohort Summary'!$J$5:$J$14,MATCH($A491,'Cohort Summary'!$A$5:$A$14,0)))/INDEX('Cohort Summary'!$K$5:$K$14,MATCH($A491,'Cohort Summary'!$A$5:$A$14,0))</f>
        <v>0.298245614035091</v>
      </c>
      <c r="M491" s="42" t="n">
        <f aca="false">MAX(I491:K491)</f>
        <v>0.584837545126354</v>
      </c>
      <c r="N491" s="27" t="s">
        <v>197</v>
      </c>
      <c r="O491" s="27"/>
      <c r="P491" s="27" t="str">
        <f aca="false">A491&amp;"|"&amp;N491</f>
        <v>NURSE-03|normal</v>
      </c>
    </row>
    <row r="492" customFormat="false" ht="15" hidden="false" customHeight="true" outlineLevel="0" collapsed="false">
      <c r="A492" s="27" t="s">
        <v>78</v>
      </c>
      <c r="B492" s="41" t="n">
        <v>46303.3229166667</v>
      </c>
      <c r="C492" s="27" t="s">
        <v>200</v>
      </c>
      <c r="D492" s="27" t="n">
        <v>41.5</v>
      </c>
      <c r="E492" s="27" t="n">
        <v>18.5</v>
      </c>
      <c r="F492" s="27" t="n">
        <v>25.3</v>
      </c>
      <c r="G492" s="27" t="n">
        <v>33.2</v>
      </c>
      <c r="H492" s="27" t="s">
        <v>198</v>
      </c>
      <c r="I492" s="42" t="n">
        <f aca="false">(D492-INDEX('Cohort Summary'!$D$5:$D$14,MATCH($A492,'Cohort Summary'!$A$5:$A$14,0)))/INDEX('Cohort Summary'!$E$5:$E$14,MATCH($A492,'Cohort Summary'!$A$5:$A$14,0))</f>
        <v>1.62142857142857</v>
      </c>
      <c r="J492" s="42" t="n">
        <f aca="false">(E492-INDEX('Cohort Summary'!$F$5:$F$14,MATCH($A492,'Cohort Summary'!$A$5:$A$14,0)))/INDEX('Cohort Summary'!$G$5:$G$14,MATCH($A492,'Cohort Summary'!$A$5:$A$14,0))</f>
        <v>0.101382488479262</v>
      </c>
      <c r="K492" s="42" t="n">
        <f aca="false">(F492-INDEX('Cohort Summary'!$H$5:$H$14,MATCH($A492,'Cohort Summary'!$A$5:$A$14,0)))/INDEX('Cohort Summary'!$I$5:$I$14,MATCH($A492,'Cohort Summary'!$A$5:$A$14,0))</f>
        <v>-0.859205776173285</v>
      </c>
      <c r="L492" s="42" t="n">
        <f aca="false">(G492-INDEX('Cohort Summary'!$J$5:$J$14,MATCH($A492,'Cohort Summary'!$A$5:$A$14,0)))/INDEX('Cohort Summary'!$K$5:$K$14,MATCH($A492,'Cohort Summary'!$A$5:$A$14,0))</f>
        <v>-0.228070175438589</v>
      </c>
      <c r="M492" s="42" t="n">
        <f aca="false">MAX(I492:K492)</f>
        <v>1.62142857142857</v>
      </c>
      <c r="N492" s="27" t="s">
        <v>197</v>
      </c>
      <c r="O492" s="27"/>
      <c r="P492" s="27" t="str">
        <f aca="false">A492&amp;"|"&amp;N492</f>
        <v>NURSE-03|normal</v>
      </c>
    </row>
    <row r="493" customFormat="false" ht="15" hidden="false" customHeight="true" outlineLevel="0" collapsed="false">
      <c r="A493" s="27" t="s">
        <v>78</v>
      </c>
      <c r="B493" s="41" t="n">
        <v>46303.3232638889</v>
      </c>
      <c r="C493" s="27" t="s">
        <v>200</v>
      </c>
      <c r="D493" s="27" t="n">
        <v>41.4</v>
      </c>
      <c r="E493" s="27" t="n">
        <v>22</v>
      </c>
      <c r="F493" s="27" t="n">
        <v>29</v>
      </c>
      <c r="G493" s="27" t="n">
        <v>33.2</v>
      </c>
      <c r="H493" s="27" t="s">
        <v>199</v>
      </c>
      <c r="I493" s="42" t="n">
        <f aca="false">(D493-INDEX('Cohort Summary'!$D$5:$D$14,MATCH($A493,'Cohort Summary'!$A$5:$A$14,0)))/INDEX('Cohort Summary'!$E$5:$E$14,MATCH($A493,'Cohort Summary'!$A$5:$A$14,0))</f>
        <v>1.58571428571429</v>
      </c>
      <c r="J493" s="42" t="n">
        <f aca="false">(E493-INDEX('Cohort Summary'!$F$5:$F$14,MATCH($A493,'Cohort Summary'!$A$5:$A$14,0)))/INDEX('Cohort Summary'!$G$5:$G$14,MATCH($A493,'Cohort Summary'!$A$5:$A$14,0))</f>
        <v>1.71428571428571</v>
      </c>
      <c r="K493" s="42" t="n">
        <f aca="false">(F493-INDEX('Cohort Summary'!$H$5:$H$14,MATCH($A493,'Cohort Summary'!$A$5:$A$14,0)))/INDEX('Cohort Summary'!$I$5:$I$14,MATCH($A493,'Cohort Summary'!$A$5:$A$14,0))</f>
        <v>0.476534296028881</v>
      </c>
      <c r="L493" s="42" t="n">
        <f aca="false">(G493-INDEX('Cohort Summary'!$J$5:$J$14,MATCH($A493,'Cohort Summary'!$A$5:$A$14,0)))/INDEX('Cohort Summary'!$K$5:$K$14,MATCH($A493,'Cohort Summary'!$A$5:$A$14,0))</f>
        <v>-0.228070175438589</v>
      </c>
      <c r="M493" s="42" t="n">
        <f aca="false">MAX(I493:K493)</f>
        <v>1.71428571428571</v>
      </c>
      <c r="N493" s="27" t="s">
        <v>197</v>
      </c>
      <c r="O493" s="27"/>
      <c r="P493" s="27" t="str">
        <f aca="false">A493&amp;"|"&amp;N493</f>
        <v>NURSE-03|normal</v>
      </c>
    </row>
    <row r="494" customFormat="false" ht="15" hidden="false" customHeight="true" outlineLevel="0" collapsed="false">
      <c r="A494" s="27" t="s">
        <v>78</v>
      </c>
      <c r="B494" s="41" t="n">
        <v>46303.3236111111</v>
      </c>
      <c r="C494" s="27" t="s">
        <v>200</v>
      </c>
      <c r="D494" s="27" t="n">
        <v>37.3</v>
      </c>
      <c r="E494" s="27" t="n">
        <v>17.8</v>
      </c>
      <c r="F494" s="27" t="n">
        <v>28.1</v>
      </c>
      <c r="G494" s="27" t="n">
        <v>32.6</v>
      </c>
      <c r="H494" s="27" t="s">
        <v>198</v>
      </c>
      <c r="I494" s="42" t="n">
        <f aca="false">(D494-INDEX('Cohort Summary'!$D$5:$D$14,MATCH($A494,'Cohort Summary'!$A$5:$A$14,0)))/INDEX('Cohort Summary'!$E$5:$E$14,MATCH($A494,'Cohort Summary'!$A$5:$A$14,0))</f>
        <v>0.12142857142857</v>
      </c>
      <c r="J494" s="42" t="n">
        <f aca="false">(E494-INDEX('Cohort Summary'!$F$5:$F$14,MATCH($A494,'Cohort Summary'!$A$5:$A$14,0)))/INDEX('Cohort Summary'!$G$5:$G$14,MATCH($A494,'Cohort Summary'!$A$5:$A$14,0))</f>
        <v>-0.221198156682028</v>
      </c>
      <c r="K494" s="42" t="n">
        <f aca="false">(F494-INDEX('Cohort Summary'!$H$5:$H$14,MATCH($A494,'Cohort Summary'!$A$5:$A$14,0)))/INDEX('Cohort Summary'!$I$5:$I$14,MATCH($A494,'Cohort Summary'!$A$5:$A$14,0))</f>
        <v>0.151624548736463</v>
      </c>
      <c r="L494" s="42" t="n">
        <f aca="false">(G494-INDEX('Cohort Summary'!$J$5:$J$14,MATCH($A494,'Cohort Summary'!$A$5:$A$14,0)))/INDEX('Cohort Summary'!$K$5:$K$14,MATCH($A494,'Cohort Summary'!$A$5:$A$14,0))</f>
        <v>-1.28070175438596</v>
      </c>
      <c r="M494" s="42" t="n">
        <f aca="false">MAX(I494:K494)</f>
        <v>0.151624548736463</v>
      </c>
      <c r="N494" s="27" t="s">
        <v>197</v>
      </c>
      <c r="O494" s="27"/>
      <c r="P494" s="27" t="str">
        <f aca="false">A494&amp;"|"&amp;N494</f>
        <v>NURSE-03|normal</v>
      </c>
    </row>
    <row r="495" customFormat="false" ht="15" hidden="false" customHeight="true" outlineLevel="0" collapsed="false">
      <c r="A495" s="27" t="s">
        <v>78</v>
      </c>
      <c r="B495" s="41" t="n">
        <v>46303.3239583333</v>
      </c>
      <c r="C495" s="27" t="s">
        <v>200</v>
      </c>
      <c r="D495" s="27" t="n">
        <v>38.8</v>
      </c>
      <c r="E495" s="27" t="n">
        <v>15.6</v>
      </c>
      <c r="F495" s="27" t="n">
        <v>31.5</v>
      </c>
      <c r="G495" s="27" t="n">
        <v>33.8</v>
      </c>
      <c r="H495" s="27" t="s">
        <v>199</v>
      </c>
      <c r="I495" s="42" t="n">
        <f aca="false">(D495-INDEX('Cohort Summary'!$D$5:$D$14,MATCH($A495,'Cohort Summary'!$A$5:$A$14,0)))/INDEX('Cohort Summary'!$E$5:$E$14,MATCH($A495,'Cohort Summary'!$A$5:$A$14,0))</f>
        <v>0.657142857142856</v>
      </c>
      <c r="J495" s="42" t="n">
        <f aca="false">(E495-INDEX('Cohort Summary'!$F$5:$F$14,MATCH($A495,'Cohort Summary'!$A$5:$A$14,0)))/INDEX('Cohort Summary'!$G$5:$G$14,MATCH($A495,'Cohort Summary'!$A$5:$A$14,0))</f>
        <v>-1.23502304147466</v>
      </c>
      <c r="K495" s="42" t="n">
        <f aca="false">(F495-INDEX('Cohort Summary'!$H$5:$H$14,MATCH($A495,'Cohort Summary'!$A$5:$A$14,0)))/INDEX('Cohort Summary'!$I$5:$I$14,MATCH($A495,'Cohort Summary'!$A$5:$A$14,0))</f>
        <v>1.37906137184116</v>
      </c>
      <c r="L495" s="42" t="n">
        <f aca="false">(G495-INDEX('Cohort Summary'!$J$5:$J$14,MATCH($A495,'Cohort Summary'!$A$5:$A$14,0)))/INDEX('Cohort Summary'!$K$5:$K$14,MATCH($A495,'Cohort Summary'!$A$5:$A$14,0))</f>
        <v>0.82456140350877</v>
      </c>
      <c r="M495" s="42" t="n">
        <f aca="false">MAX(I495:K495)</f>
        <v>1.37906137184116</v>
      </c>
      <c r="N495" s="27" t="s">
        <v>197</v>
      </c>
      <c r="O495" s="27"/>
      <c r="P495" s="27" t="str">
        <f aca="false">A495&amp;"|"&amp;N495</f>
        <v>NURSE-03|normal</v>
      </c>
    </row>
    <row r="496" customFormat="false" ht="15" hidden="false" customHeight="true" outlineLevel="0" collapsed="false">
      <c r="A496" s="27" t="s">
        <v>78</v>
      </c>
      <c r="B496" s="41" t="n">
        <v>46303.3243055556</v>
      </c>
      <c r="C496" s="27" t="s">
        <v>200</v>
      </c>
      <c r="D496" s="27" t="n">
        <v>32.3</v>
      </c>
      <c r="E496" s="27" t="n">
        <v>20</v>
      </c>
      <c r="F496" s="27" t="n">
        <v>24.5</v>
      </c>
      <c r="G496" s="27" t="n">
        <v>32.3</v>
      </c>
      <c r="H496" s="27" t="s">
        <v>196</v>
      </c>
      <c r="I496" s="42" t="n">
        <f aca="false">(D496-INDEX('Cohort Summary'!$D$5:$D$14,MATCH($A496,'Cohort Summary'!$A$5:$A$14,0)))/INDEX('Cohort Summary'!$E$5:$E$14,MATCH($A496,'Cohort Summary'!$A$5:$A$14,0))</f>
        <v>-1.66428571428572</v>
      </c>
      <c r="J496" s="42" t="n">
        <f aca="false">(E496-INDEX('Cohort Summary'!$F$5:$F$14,MATCH($A496,'Cohort Summary'!$A$5:$A$14,0)))/INDEX('Cohort Summary'!$G$5:$G$14,MATCH($A496,'Cohort Summary'!$A$5:$A$14,0))</f>
        <v>0.792626728110599</v>
      </c>
      <c r="K496" s="42" t="n">
        <f aca="false">(F496-INDEX('Cohort Summary'!$H$5:$H$14,MATCH($A496,'Cohort Summary'!$A$5:$A$14,0)))/INDEX('Cohort Summary'!$I$5:$I$14,MATCH($A496,'Cohort Summary'!$A$5:$A$14,0))</f>
        <v>-1.14801444043321</v>
      </c>
      <c r="L496" s="42" t="n">
        <f aca="false">(G496-INDEX('Cohort Summary'!$J$5:$J$14,MATCH($A496,'Cohort Summary'!$A$5:$A$14,0)))/INDEX('Cohort Summary'!$K$5:$K$14,MATCH($A496,'Cohort Summary'!$A$5:$A$14,0))</f>
        <v>-1.80701754385965</v>
      </c>
      <c r="M496" s="42" t="n">
        <f aca="false">MAX(I496:K496)</f>
        <v>0.792626728110599</v>
      </c>
      <c r="N496" s="27" t="s">
        <v>197</v>
      </c>
      <c r="O496" s="27"/>
      <c r="P496" s="27" t="str">
        <f aca="false">A496&amp;"|"&amp;N496</f>
        <v>NURSE-03|normal</v>
      </c>
    </row>
    <row r="497" customFormat="false" ht="15" hidden="false" customHeight="true" outlineLevel="0" collapsed="false">
      <c r="A497" s="27" t="s">
        <v>78</v>
      </c>
      <c r="B497" s="41" t="n">
        <v>46303.3246527778</v>
      </c>
      <c r="C497" s="27" t="s">
        <v>200</v>
      </c>
      <c r="D497" s="27" t="n">
        <v>32.9</v>
      </c>
      <c r="E497" s="27" t="n">
        <v>16.2</v>
      </c>
      <c r="F497" s="27" t="n">
        <v>31.5</v>
      </c>
      <c r="G497" s="27" t="n">
        <v>32.9</v>
      </c>
      <c r="H497" s="27" t="s">
        <v>196</v>
      </c>
      <c r="I497" s="42" t="n">
        <f aca="false">(D497-INDEX('Cohort Summary'!$D$5:$D$14,MATCH($A497,'Cohort Summary'!$A$5:$A$14,0)))/INDEX('Cohort Summary'!$E$5:$E$14,MATCH($A497,'Cohort Summary'!$A$5:$A$14,0))</f>
        <v>-1.45</v>
      </c>
      <c r="J497" s="42" t="n">
        <f aca="false">(E497-INDEX('Cohort Summary'!$F$5:$F$14,MATCH($A497,'Cohort Summary'!$A$5:$A$14,0)))/INDEX('Cohort Summary'!$G$5:$G$14,MATCH($A497,'Cohort Summary'!$A$5:$A$14,0))</f>
        <v>-0.958525345622121</v>
      </c>
      <c r="K497" s="42" t="n">
        <f aca="false">(F497-INDEX('Cohort Summary'!$H$5:$H$14,MATCH($A497,'Cohort Summary'!$A$5:$A$14,0)))/INDEX('Cohort Summary'!$I$5:$I$14,MATCH($A497,'Cohort Summary'!$A$5:$A$14,0))</f>
        <v>1.37906137184116</v>
      </c>
      <c r="L497" s="42" t="n">
        <f aca="false">(G497-INDEX('Cohort Summary'!$J$5:$J$14,MATCH($A497,'Cohort Summary'!$A$5:$A$14,0)))/INDEX('Cohort Summary'!$K$5:$K$14,MATCH($A497,'Cohort Summary'!$A$5:$A$14,0))</f>
        <v>-0.75438596491228</v>
      </c>
      <c r="M497" s="42" t="n">
        <f aca="false">MAX(I497:K497)</f>
        <v>1.37906137184116</v>
      </c>
      <c r="N497" s="27" t="s">
        <v>197</v>
      </c>
      <c r="O497" s="27"/>
      <c r="P497" s="27" t="str">
        <f aca="false">A497&amp;"|"&amp;N497</f>
        <v>NURSE-03|normal</v>
      </c>
    </row>
    <row r="498" customFormat="false" ht="15" hidden="false" customHeight="true" outlineLevel="0" collapsed="false">
      <c r="A498" s="27" t="s">
        <v>78</v>
      </c>
      <c r="B498" s="41" t="n">
        <v>46303.325</v>
      </c>
      <c r="C498" s="27" t="s">
        <v>200</v>
      </c>
      <c r="D498" s="27" t="n">
        <v>40.9</v>
      </c>
      <c r="E498" s="27" t="n">
        <v>15.5</v>
      </c>
      <c r="F498" s="27" t="n">
        <v>32.1</v>
      </c>
      <c r="G498" s="27" t="n">
        <v>33.9</v>
      </c>
      <c r="H498" s="27" t="s">
        <v>199</v>
      </c>
      <c r="I498" s="42" t="n">
        <f aca="false">(D498-INDEX('Cohort Summary'!$D$5:$D$14,MATCH($A498,'Cohort Summary'!$A$5:$A$14,0)))/INDEX('Cohort Summary'!$E$5:$E$14,MATCH($A498,'Cohort Summary'!$A$5:$A$14,0))</f>
        <v>1.40714285714286</v>
      </c>
      <c r="J498" s="42" t="n">
        <f aca="false">(E498-INDEX('Cohort Summary'!$F$5:$F$14,MATCH($A498,'Cohort Summary'!$A$5:$A$14,0)))/INDEX('Cohort Summary'!$G$5:$G$14,MATCH($A498,'Cohort Summary'!$A$5:$A$14,0))</f>
        <v>-1.28110599078341</v>
      </c>
      <c r="K498" s="42" t="n">
        <f aca="false">(F498-INDEX('Cohort Summary'!$H$5:$H$14,MATCH($A498,'Cohort Summary'!$A$5:$A$14,0)))/INDEX('Cohort Summary'!$I$5:$I$14,MATCH($A498,'Cohort Summary'!$A$5:$A$14,0))</f>
        <v>1.5956678700361</v>
      </c>
      <c r="L498" s="42" t="n">
        <f aca="false">(G498-INDEX('Cohort Summary'!$J$5:$J$14,MATCH($A498,'Cohort Summary'!$A$5:$A$14,0)))/INDEX('Cohort Summary'!$K$5:$K$14,MATCH($A498,'Cohort Summary'!$A$5:$A$14,0))</f>
        <v>1</v>
      </c>
      <c r="M498" s="42" t="n">
        <f aca="false">MAX(I498:K498)</f>
        <v>1.5956678700361</v>
      </c>
      <c r="N498" s="27" t="s">
        <v>197</v>
      </c>
      <c r="O498" s="27"/>
      <c r="P498" s="27" t="str">
        <f aca="false">A498&amp;"|"&amp;N498</f>
        <v>NURSE-03|normal</v>
      </c>
    </row>
    <row r="499" customFormat="false" ht="15" hidden="false" customHeight="true" outlineLevel="0" collapsed="false">
      <c r="A499" s="27" t="s">
        <v>78</v>
      </c>
      <c r="B499" s="41" t="n">
        <v>46303.3253472222</v>
      </c>
      <c r="C499" s="27" t="s">
        <v>200</v>
      </c>
      <c r="D499" s="27" t="n">
        <v>33.9</v>
      </c>
      <c r="E499" s="27" t="n">
        <v>20</v>
      </c>
      <c r="F499" s="27" t="n">
        <v>23.9</v>
      </c>
      <c r="G499" s="27" t="n">
        <v>32.9</v>
      </c>
      <c r="H499" s="27" t="s">
        <v>196</v>
      </c>
      <c r="I499" s="42" t="n">
        <f aca="false">(D499-INDEX('Cohort Summary'!$D$5:$D$14,MATCH($A499,'Cohort Summary'!$A$5:$A$14,0)))/INDEX('Cohort Summary'!$E$5:$E$14,MATCH($A499,'Cohort Summary'!$A$5:$A$14,0))</f>
        <v>-1.09285714285714</v>
      </c>
      <c r="J499" s="42" t="n">
        <f aca="false">(E499-INDEX('Cohort Summary'!$F$5:$F$14,MATCH($A499,'Cohort Summary'!$A$5:$A$14,0)))/INDEX('Cohort Summary'!$G$5:$G$14,MATCH($A499,'Cohort Summary'!$A$5:$A$14,0))</f>
        <v>0.792626728110599</v>
      </c>
      <c r="K499" s="42" t="n">
        <f aca="false">(F499-INDEX('Cohort Summary'!$H$5:$H$14,MATCH($A499,'Cohort Summary'!$A$5:$A$14,0)))/INDEX('Cohort Summary'!$I$5:$I$14,MATCH($A499,'Cohort Summary'!$A$5:$A$14,0))</f>
        <v>-1.36462093862816</v>
      </c>
      <c r="L499" s="42" t="n">
        <f aca="false">(G499-INDEX('Cohort Summary'!$J$5:$J$14,MATCH($A499,'Cohort Summary'!$A$5:$A$14,0)))/INDEX('Cohort Summary'!$K$5:$K$14,MATCH($A499,'Cohort Summary'!$A$5:$A$14,0))</f>
        <v>-0.75438596491228</v>
      </c>
      <c r="M499" s="42" t="n">
        <f aca="false">MAX(I499:K499)</f>
        <v>0.792626728110599</v>
      </c>
      <c r="N499" s="27" t="s">
        <v>197</v>
      </c>
      <c r="O499" s="27"/>
      <c r="P499" s="27" t="str">
        <f aca="false">A499&amp;"|"&amp;N499</f>
        <v>NURSE-03|normal</v>
      </c>
    </row>
    <row r="500" customFormat="false" ht="15" hidden="false" customHeight="true" outlineLevel="0" collapsed="false">
      <c r="A500" s="27" t="s">
        <v>78</v>
      </c>
      <c r="B500" s="41" t="n">
        <v>46303.3256944444</v>
      </c>
      <c r="C500" s="27" t="s">
        <v>200</v>
      </c>
      <c r="D500" s="27" t="n">
        <v>36</v>
      </c>
      <c r="E500" s="27" t="n">
        <v>17.5</v>
      </c>
      <c r="F500" s="27" t="n">
        <v>31.4</v>
      </c>
      <c r="G500" s="27" t="n">
        <v>33.2</v>
      </c>
      <c r="H500" s="27" t="s">
        <v>196</v>
      </c>
      <c r="I500" s="42" t="n">
        <f aca="false">(D500-INDEX('Cohort Summary'!$D$5:$D$14,MATCH($A500,'Cohort Summary'!$A$5:$A$14,0)))/INDEX('Cohort Summary'!$E$5:$E$14,MATCH($A500,'Cohort Summary'!$A$5:$A$14,0))</f>
        <v>-0.342857142857143</v>
      </c>
      <c r="J500" s="42" t="n">
        <f aca="false">(E500-INDEX('Cohort Summary'!$F$5:$F$14,MATCH($A500,'Cohort Summary'!$A$5:$A$14,0)))/INDEX('Cohort Summary'!$G$5:$G$14,MATCH($A500,'Cohort Summary'!$A$5:$A$14,0))</f>
        <v>-0.359447004608296</v>
      </c>
      <c r="K500" s="42" t="n">
        <f aca="false">(F500-INDEX('Cohort Summary'!$H$5:$H$14,MATCH($A500,'Cohort Summary'!$A$5:$A$14,0)))/INDEX('Cohort Summary'!$I$5:$I$14,MATCH($A500,'Cohort Summary'!$A$5:$A$14,0))</f>
        <v>1.34296028880866</v>
      </c>
      <c r="L500" s="42" t="n">
        <f aca="false">(G500-INDEX('Cohort Summary'!$J$5:$J$14,MATCH($A500,'Cohort Summary'!$A$5:$A$14,0)))/INDEX('Cohort Summary'!$K$5:$K$14,MATCH($A500,'Cohort Summary'!$A$5:$A$14,0))</f>
        <v>-0.228070175438589</v>
      </c>
      <c r="M500" s="42" t="n">
        <f aca="false">MAX(I500:K500)</f>
        <v>1.34296028880866</v>
      </c>
      <c r="N500" s="27" t="s">
        <v>197</v>
      </c>
      <c r="O500" s="27"/>
      <c r="P500" s="27" t="str">
        <f aca="false">A500&amp;"|"&amp;N500</f>
        <v>NURSE-03|normal</v>
      </c>
    </row>
    <row r="501" customFormat="false" ht="15" hidden="false" customHeight="true" outlineLevel="0" collapsed="false">
      <c r="A501" s="27" t="s">
        <v>78</v>
      </c>
      <c r="B501" s="41" t="n">
        <v>46303.3260416667</v>
      </c>
      <c r="C501" s="27" t="s">
        <v>200</v>
      </c>
      <c r="D501" s="27" t="n">
        <v>40.8</v>
      </c>
      <c r="E501" s="27" t="n">
        <v>21</v>
      </c>
      <c r="F501" s="27" t="n">
        <v>24.3</v>
      </c>
      <c r="G501" s="27" t="n">
        <v>32.9</v>
      </c>
      <c r="H501" s="27" t="s">
        <v>198</v>
      </c>
      <c r="I501" s="42" t="n">
        <f aca="false">(D501-INDEX('Cohort Summary'!$D$5:$D$14,MATCH($A501,'Cohort Summary'!$A$5:$A$14,0)))/INDEX('Cohort Summary'!$E$5:$E$14,MATCH($A501,'Cohort Summary'!$A$5:$A$14,0))</f>
        <v>1.37142857142857</v>
      </c>
      <c r="J501" s="42" t="n">
        <f aca="false">(E501-INDEX('Cohort Summary'!$F$5:$F$14,MATCH($A501,'Cohort Summary'!$A$5:$A$14,0)))/INDEX('Cohort Summary'!$G$5:$G$14,MATCH($A501,'Cohort Summary'!$A$5:$A$14,0))</f>
        <v>1.25345622119816</v>
      </c>
      <c r="K501" s="42" t="n">
        <f aca="false">(F501-INDEX('Cohort Summary'!$H$5:$H$14,MATCH($A501,'Cohort Summary'!$A$5:$A$14,0)))/INDEX('Cohort Summary'!$I$5:$I$14,MATCH($A501,'Cohort Summary'!$A$5:$A$14,0))</f>
        <v>-1.22021660649819</v>
      </c>
      <c r="L501" s="42" t="n">
        <f aca="false">(G501-INDEX('Cohort Summary'!$J$5:$J$14,MATCH($A501,'Cohort Summary'!$A$5:$A$14,0)))/INDEX('Cohort Summary'!$K$5:$K$14,MATCH($A501,'Cohort Summary'!$A$5:$A$14,0))</f>
        <v>-0.75438596491228</v>
      </c>
      <c r="M501" s="42" t="n">
        <f aca="false">MAX(I501:K501)</f>
        <v>1.37142857142857</v>
      </c>
      <c r="N501" s="27" t="s">
        <v>197</v>
      </c>
      <c r="O501" s="27"/>
      <c r="P501" s="27" t="str">
        <f aca="false">A501&amp;"|"&amp;N501</f>
        <v>NURSE-03|normal</v>
      </c>
    </row>
    <row r="502" customFormat="false" ht="15" hidden="false" customHeight="true" outlineLevel="0" collapsed="false">
      <c r="A502" s="27" t="s">
        <v>78</v>
      </c>
      <c r="B502" s="41" t="n">
        <v>46303.3263888889</v>
      </c>
      <c r="C502" s="27" t="s">
        <v>200</v>
      </c>
      <c r="D502" s="27" t="n">
        <v>35.7</v>
      </c>
      <c r="E502" s="27" t="n">
        <v>20.6</v>
      </c>
      <c r="F502" s="27" t="n">
        <v>29.9</v>
      </c>
      <c r="G502" s="27" t="n">
        <v>34.1</v>
      </c>
      <c r="H502" s="27" t="s">
        <v>198</v>
      </c>
      <c r="I502" s="42" t="n">
        <f aca="false">(D502-INDEX('Cohort Summary'!$D$5:$D$14,MATCH($A502,'Cohort Summary'!$A$5:$A$14,0)))/INDEX('Cohort Summary'!$E$5:$E$14,MATCH($A502,'Cohort Summary'!$A$5:$A$14,0))</f>
        <v>-0.449999999999999</v>
      </c>
      <c r="J502" s="42" t="n">
        <f aca="false">(E502-INDEX('Cohort Summary'!$F$5:$F$14,MATCH($A502,'Cohort Summary'!$A$5:$A$14,0)))/INDEX('Cohort Summary'!$G$5:$G$14,MATCH($A502,'Cohort Summary'!$A$5:$A$14,0))</f>
        <v>1.06912442396313</v>
      </c>
      <c r="K502" s="42" t="n">
        <f aca="false">(F502-INDEX('Cohort Summary'!$H$5:$H$14,MATCH($A502,'Cohort Summary'!$A$5:$A$14,0)))/INDEX('Cohort Summary'!$I$5:$I$14,MATCH($A502,'Cohort Summary'!$A$5:$A$14,0))</f>
        <v>0.801444043321299</v>
      </c>
      <c r="L502" s="42" t="n">
        <f aca="false">(G502-INDEX('Cohort Summary'!$J$5:$J$14,MATCH($A502,'Cohort Summary'!$A$5:$A$14,0)))/INDEX('Cohort Summary'!$K$5:$K$14,MATCH($A502,'Cohort Summary'!$A$5:$A$14,0))</f>
        <v>1.35087719298246</v>
      </c>
      <c r="M502" s="42" t="n">
        <f aca="false">MAX(I502:K502)</f>
        <v>1.06912442396313</v>
      </c>
      <c r="N502" s="27" t="s">
        <v>197</v>
      </c>
      <c r="O502" s="27"/>
      <c r="P502" s="27" t="str">
        <f aca="false">A502&amp;"|"&amp;N502</f>
        <v>NURSE-03|normal</v>
      </c>
    </row>
    <row r="503" customFormat="false" ht="15" hidden="false" customHeight="true" outlineLevel="0" collapsed="false">
      <c r="A503" s="27" t="s">
        <v>78</v>
      </c>
      <c r="B503" s="41" t="n">
        <v>46303.3267361111</v>
      </c>
      <c r="C503" s="27" t="s">
        <v>200</v>
      </c>
      <c r="D503" s="27" t="n">
        <v>38.6</v>
      </c>
      <c r="E503" s="27" t="n">
        <v>19.9</v>
      </c>
      <c r="F503" s="27" t="n">
        <v>25.5</v>
      </c>
      <c r="G503" s="27" t="n">
        <v>34</v>
      </c>
      <c r="H503" s="27" t="s">
        <v>199</v>
      </c>
      <c r="I503" s="42" t="n">
        <f aca="false">(D503-INDEX('Cohort Summary'!$D$5:$D$14,MATCH($A503,'Cohort Summary'!$A$5:$A$14,0)))/INDEX('Cohort Summary'!$E$5:$E$14,MATCH($A503,'Cohort Summary'!$A$5:$A$14,0))</f>
        <v>0.585714285714286</v>
      </c>
      <c r="J503" s="42" t="n">
        <f aca="false">(E503-INDEX('Cohort Summary'!$F$5:$F$14,MATCH($A503,'Cohort Summary'!$A$5:$A$14,0)))/INDEX('Cohort Summary'!$G$5:$G$14,MATCH($A503,'Cohort Summary'!$A$5:$A$14,0))</f>
        <v>0.746543778801842</v>
      </c>
      <c r="K503" s="42" t="n">
        <f aca="false">(F503-INDEX('Cohort Summary'!$H$5:$H$14,MATCH($A503,'Cohort Summary'!$A$5:$A$14,0)))/INDEX('Cohort Summary'!$I$5:$I$14,MATCH($A503,'Cohort Summary'!$A$5:$A$14,0))</f>
        <v>-0.787003610108303</v>
      </c>
      <c r="L503" s="42" t="n">
        <f aca="false">(G503-INDEX('Cohort Summary'!$J$5:$J$14,MATCH($A503,'Cohort Summary'!$A$5:$A$14,0)))/INDEX('Cohort Summary'!$K$5:$K$14,MATCH($A503,'Cohort Summary'!$A$5:$A$14,0))</f>
        <v>1.17543859649123</v>
      </c>
      <c r="M503" s="42" t="n">
        <f aca="false">MAX(I503:K503)</f>
        <v>0.746543778801842</v>
      </c>
      <c r="N503" s="27" t="s">
        <v>197</v>
      </c>
      <c r="O503" s="27"/>
      <c r="P503" s="27" t="str">
        <f aca="false">A503&amp;"|"&amp;N503</f>
        <v>NURSE-03|normal</v>
      </c>
    </row>
    <row r="504" customFormat="false" ht="15" hidden="false" customHeight="true" outlineLevel="0" collapsed="false">
      <c r="A504" s="27" t="s">
        <v>78</v>
      </c>
      <c r="B504" s="41" t="n">
        <v>46303.3270833333</v>
      </c>
      <c r="C504" s="27" t="s">
        <v>200</v>
      </c>
      <c r="D504" s="27" t="n">
        <v>41.1</v>
      </c>
      <c r="E504" s="27" t="n">
        <v>15.7</v>
      </c>
      <c r="F504" s="27" t="n">
        <v>25.9</v>
      </c>
      <c r="G504" s="27" t="n">
        <v>32.8</v>
      </c>
      <c r="H504" s="27" t="s">
        <v>196</v>
      </c>
      <c r="I504" s="42" t="n">
        <f aca="false">(D504-INDEX('Cohort Summary'!$D$5:$D$14,MATCH($A504,'Cohort Summary'!$A$5:$A$14,0)))/INDEX('Cohort Summary'!$E$5:$E$14,MATCH($A504,'Cohort Summary'!$A$5:$A$14,0))</f>
        <v>1.47857142857143</v>
      </c>
      <c r="J504" s="42" t="n">
        <f aca="false">(E504-INDEX('Cohort Summary'!$F$5:$F$14,MATCH($A504,'Cohort Summary'!$A$5:$A$14,0)))/INDEX('Cohort Summary'!$G$5:$G$14,MATCH($A504,'Cohort Summary'!$A$5:$A$14,0))</f>
        <v>-1.1889400921659</v>
      </c>
      <c r="K504" s="42" t="n">
        <f aca="false">(F504-INDEX('Cohort Summary'!$H$5:$H$14,MATCH($A504,'Cohort Summary'!$A$5:$A$14,0)))/INDEX('Cohort Summary'!$I$5:$I$14,MATCH($A504,'Cohort Summary'!$A$5:$A$14,0))</f>
        <v>-0.64259927797834</v>
      </c>
      <c r="L504" s="42" t="n">
        <f aca="false">(G504-INDEX('Cohort Summary'!$J$5:$J$14,MATCH($A504,'Cohort Summary'!$A$5:$A$14,0)))/INDEX('Cohort Summary'!$K$5:$K$14,MATCH($A504,'Cohort Summary'!$A$5:$A$14,0))</f>
        <v>-0.929824561403511</v>
      </c>
      <c r="M504" s="42" t="n">
        <f aca="false">MAX(I504:K504)</f>
        <v>1.47857142857143</v>
      </c>
      <c r="N504" s="27" t="s">
        <v>197</v>
      </c>
      <c r="O504" s="27"/>
      <c r="P504" s="27" t="str">
        <f aca="false">A504&amp;"|"&amp;N504</f>
        <v>NURSE-03|normal</v>
      </c>
    </row>
    <row r="505" customFormat="false" ht="15" hidden="false" customHeight="true" outlineLevel="0" collapsed="false">
      <c r="A505" s="27" t="s">
        <v>78</v>
      </c>
      <c r="B505" s="41" t="n">
        <v>46303.3274305556</v>
      </c>
      <c r="C505" s="27" t="s">
        <v>200</v>
      </c>
      <c r="D505" s="27" t="n">
        <v>39.3</v>
      </c>
      <c r="E505" s="27" t="n">
        <v>20</v>
      </c>
      <c r="F505" s="27" t="n">
        <v>23.4</v>
      </c>
      <c r="G505" s="27" t="n">
        <v>32.4</v>
      </c>
      <c r="H505" s="27" t="s">
        <v>198</v>
      </c>
      <c r="I505" s="42" t="n">
        <f aca="false">(D505-INDEX('Cohort Summary'!$D$5:$D$14,MATCH($A505,'Cohort Summary'!$A$5:$A$14,0)))/INDEX('Cohort Summary'!$E$5:$E$14,MATCH($A505,'Cohort Summary'!$A$5:$A$14,0))</f>
        <v>0.835714285714284</v>
      </c>
      <c r="J505" s="42" t="n">
        <f aca="false">(E505-INDEX('Cohort Summary'!$F$5:$F$14,MATCH($A505,'Cohort Summary'!$A$5:$A$14,0)))/INDEX('Cohort Summary'!$G$5:$G$14,MATCH($A505,'Cohort Summary'!$A$5:$A$14,0))</f>
        <v>0.792626728110599</v>
      </c>
      <c r="K505" s="42" t="n">
        <f aca="false">(F505-INDEX('Cohort Summary'!$H$5:$H$14,MATCH($A505,'Cohort Summary'!$A$5:$A$14,0)))/INDEX('Cohort Summary'!$I$5:$I$14,MATCH($A505,'Cohort Summary'!$A$5:$A$14,0))</f>
        <v>-1.54512635379061</v>
      </c>
      <c r="L505" s="42" t="n">
        <f aca="false">(G505-INDEX('Cohort Summary'!$J$5:$J$14,MATCH($A505,'Cohort Summary'!$A$5:$A$14,0)))/INDEX('Cohort Summary'!$K$5:$K$14,MATCH($A505,'Cohort Summary'!$A$5:$A$14,0))</f>
        <v>-1.63157894736842</v>
      </c>
      <c r="M505" s="42" t="n">
        <f aca="false">MAX(I505:K505)</f>
        <v>0.835714285714284</v>
      </c>
      <c r="N505" s="27" t="s">
        <v>197</v>
      </c>
      <c r="O505" s="27"/>
      <c r="P505" s="27" t="str">
        <f aca="false">A505&amp;"|"&amp;N505</f>
        <v>NURSE-03|normal</v>
      </c>
    </row>
    <row r="506" customFormat="false" ht="15" hidden="false" customHeight="true" outlineLevel="0" collapsed="false">
      <c r="A506" s="27" t="s">
        <v>78</v>
      </c>
      <c r="B506" s="41" t="n">
        <v>46303.3277777778</v>
      </c>
      <c r="C506" s="27" t="s">
        <v>200</v>
      </c>
      <c r="D506" s="27" t="n">
        <v>36.3</v>
      </c>
      <c r="E506" s="27" t="n">
        <v>20.3</v>
      </c>
      <c r="F506" s="27" t="n">
        <v>24.6</v>
      </c>
      <c r="G506" s="27" t="n">
        <v>33.8</v>
      </c>
      <c r="H506" s="27" t="s">
        <v>196</v>
      </c>
      <c r="I506" s="42" t="n">
        <f aca="false">(D506-INDEX('Cohort Summary'!$D$5:$D$14,MATCH($A506,'Cohort Summary'!$A$5:$A$14,0)))/INDEX('Cohort Summary'!$E$5:$E$14,MATCH($A506,'Cohort Summary'!$A$5:$A$14,0))</f>
        <v>-0.235714285714287</v>
      </c>
      <c r="J506" s="42" t="n">
        <f aca="false">(E506-INDEX('Cohort Summary'!$F$5:$F$14,MATCH($A506,'Cohort Summary'!$A$5:$A$14,0)))/INDEX('Cohort Summary'!$G$5:$G$14,MATCH($A506,'Cohort Summary'!$A$5:$A$14,0))</f>
        <v>0.930875576036866</v>
      </c>
      <c r="K506" s="42" t="n">
        <f aca="false">(F506-INDEX('Cohort Summary'!$H$5:$H$14,MATCH($A506,'Cohort Summary'!$A$5:$A$14,0)))/INDEX('Cohort Summary'!$I$5:$I$14,MATCH($A506,'Cohort Summary'!$A$5:$A$14,0))</f>
        <v>-1.11191335740072</v>
      </c>
      <c r="L506" s="42" t="n">
        <f aca="false">(G506-INDEX('Cohort Summary'!$J$5:$J$14,MATCH($A506,'Cohort Summary'!$A$5:$A$14,0)))/INDEX('Cohort Summary'!$K$5:$K$14,MATCH($A506,'Cohort Summary'!$A$5:$A$14,0))</f>
        <v>0.82456140350877</v>
      </c>
      <c r="M506" s="42" t="n">
        <f aca="false">MAX(I506:K506)</f>
        <v>0.930875576036866</v>
      </c>
      <c r="N506" s="27" t="s">
        <v>197</v>
      </c>
      <c r="O506" s="27"/>
      <c r="P506" s="27" t="str">
        <f aca="false">A506&amp;"|"&amp;N506</f>
        <v>NURSE-03|normal</v>
      </c>
    </row>
    <row r="507" customFormat="false" ht="15" hidden="false" customHeight="true" outlineLevel="0" collapsed="false">
      <c r="A507" s="27" t="s">
        <v>78</v>
      </c>
      <c r="B507" s="41" t="n">
        <v>46303.328125</v>
      </c>
      <c r="C507" s="27" t="s">
        <v>200</v>
      </c>
      <c r="D507" s="27" t="n">
        <v>35.1</v>
      </c>
      <c r="E507" s="27" t="n">
        <v>19.5</v>
      </c>
      <c r="F507" s="27" t="n">
        <v>24.8</v>
      </c>
      <c r="G507" s="27" t="n">
        <v>34</v>
      </c>
      <c r="H507" s="27" t="s">
        <v>196</v>
      </c>
      <c r="I507" s="42" t="n">
        <f aca="false">(D507-INDEX('Cohort Summary'!$D$5:$D$14,MATCH($A507,'Cohort Summary'!$A$5:$A$14,0)))/INDEX('Cohort Summary'!$E$5:$E$14,MATCH($A507,'Cohort Summary'!$A$5:$A$14,0))</f>
        <v>-0.664285714285714</v>
      </c>
      <c r="J507" s="42" t="n">
        <f aca="false">(E507-INDEX('Cohort Summary'!$F$5:$F$14,MATCH($A507,'Cohort Summary'!$A$5:$A$14,0)))/INDEX('Cohort Summary'!$G$5:$G$14,MATCH($A507,'Cohort Summary'!$A$5:$A$14,0))</f>
        <v>0.56221198156682</v>
      </c>
      <c r="K507" s="42" t="n">
        <f aca="false">(F507-INDEX('Cohort Summary'!$H$5:$H$14,MATCH($A507,'Cohort Summary'!$A$5:$A$14,0)))/INDEX('Cohort Summary'!$I$5:$I$14,MATCH($A507,'Cohort Summary'!$A$5:$A$14,0))</f>
        <v>-1.03971119133574</v>
      </c>
      <c r="L507" s="42" t="n">
        <f aca="false">(G507-INDEX('Cohort Summary'!$J$5:$J$14,MATCH($A507,'Cohort Summary'!$A$5:$A$14,0)))/INDEX('Cohort Summary'!$K$5:$K$14,MATCH($A507,'Cohort Summary'!$A$5:$A$14,0))</f>
        <v>1.17543859649123</v>
      </c>
      <c r="M507" s="42" t="n">
        <f aca="false">MAX(I507:K507)</f>
        <v>0.56221198156682</v>
      </c>
      <c r="N507" s="27" t="s">
        <v>197</v>
      </c>
      <c r="O507" s="27"/>
      <c r="P507" s="27" t="str">
        <f aca="false">A507&amp;"|"&amp;N507</f>
        <v>NURSE-03|normal</v>
      </c>
    </row>
    <row r="508" customFormat="false" ht="15" hidden="false" customHeight="true" outlineLevel="0" collapsed="false">
      <c r="A508" s="27" t="s">
        <v>78</v>
      </c>
      <c r="B508" s="41" t="n">
        <v>46303.3284722222</v>
      </c>
      <c r="C508" s="27" t="s">
        <v>200</v>
      </c>
      <c r="D508" s="27" t="n">
        <v>37</v>
      </c>
      <c r="E508" s="27" t="n">
        <v>18.6</v>
      </c>
      <c r="F508" s="27" t="n">
        <v>32.3</v>
      </c>
      <c r="G508" s="27" t="n">
        <v>33.6</v>
      </c>
      <c r="H508" s="27" t="s">
        <v>196</v>
      </c>
      <c r="I508" s="42" t="n">
        <f aca="false">(D508-INDEX('Cohort Summary'!$D$5:$D$14,MATCH($A508,'Cohort Summary'!$A$5:$A$14,0)))/INDEX('Cohort Summary'!$E$5:$E$14,MATCH($A508,'Cohort Summary'!$A$5:$A$14,0))</f>
        <v>0.014285714285714</v>
      </c>
      <c r="J508" s="42" t="n">
        <f aca="false">(E508-INDEX('Cohort Summary'!$F$5:$F$14,MATCH($A508,'Cohort Summary'!$A$5:$A$14,0)))/INDEX('Cohort Summary'!$G$5:$G$14,MATCH($A508,'Cohort Summary'!$A$5:$A$14,0))</f>
        <v>0.147465437788019</v>
      </c>
      <c r="K508" s="42" t="n">
        <f aca="false">(F508-INDEX('Cohort Summary'!$H$5:$H$14,MATCH($A508,'Cohort Summary'!$A$5:$A$14,0)))/INDEX('Cohort Summary'!$I$5:$I$14,MATCH($A508,'Cohort Summary'!$A$5:$A$14,0))</f>
        <v>1.66787003610108</v>
      </c>
      <c r="L508" s="42" t="n">
        <f aca="false">(G508-INDEX('Cohort Summary'!$J$5:$J$14,MATCH($A508,'Cohort Summary'!$A$5:$A$14,0)))/INDEX('Cohort Summary'!$K$5:$K$14,MATCH($A508,'Cohort Summary'!$A$5:$A$14,0))</f>
        <v>0.473684210526321</v>
      </c>
      <c r="M508" s="42" t="n">
        <f aca="false">MAX(I508:K508)</f>
        <v>1.66787003610108</v>
      </c>
      <c r="N508" s="27" t="s">
        <v>197</v>
      </c>
      <c r="O508" s="27"/>
      <c r="P508" s="27" t="str">
        <f aca="false">A508&amp;"|"&amp;N508</f>
        <v>NURSE-03|normal</v>
      </c>
    </row>
    <row r="509" customFormat="false" ht="15" hidden="false" customHeight="true" outlineLevel="0" collapsed="false">
      <c r="A509" s="27" t="s">
        <v>78</v>
      </c>
      <c r="B509" s="41" t="n">
        <v>46303.3288194445</v>
      </c>
      <c r="C509" s="27" t="s">
        <v>200</v>
      </c>
      <c r="D509" s="27" t="n">
        <v>35.5</v>
      </c>
      <c r="E509" s="27" t="n">
        <v>15</v>
      </c>
      <c r="F509" s="27" t="n">
        <v>31.3</v>
      </c>
      <c r="G509" s="27" t="n">
        <v>33.9</v>
      </c>
      <c r="H509" s="27" t="s">
        <v>199</v>
      </c>
      <c r="I509" s="42" t="n">
        <f aca="false">(D509-INDEX('Cohort Summary'!$D$5:$D$14,MATCH($A509,'Cohort Summary'!$A$5:$A$14,0)))/INDEX('Cohort Summary'!$E$5:$E$14,MATCH($A509,'Cohort Summary'!$A$5:$A$14,0))</f>
        <v>-0.521428571428572</v>
      </c>
      <c r="J509" s="42" t="n">
        <f aca="false">(E509-INDEX('Cohort Summary'!$F$5:$F$14,MATCH($A509,'Cohort Summary'!$A$5:$A$14,0)))/INDEX('Cohort Summary'!$G$5:$G$14,MATCH($A509,'Cohort Summary'!$A$5:$A$14,0))</f>
        <v>-1.51152073732719</v>
      </c>
      <c r="K509" s="42" t="n">
        <f aca="false">(F509-INDEX('Cohort Summary'!$H$5:$H$14,MATCH($A509,'Cohort Summary'!$A$5:$A$14,0)))/INDEX('Cohort Summary'!$I$5:$I$14,MATCH($A509,'Cohort Summary'!$A$5:$A$14,0))</f>
        <v>1.30685920577617</v>
      </c>
      <c r="L509" s="42" t="n">
        <f aca="false">(G509-INDEX('Cohort Summary'!$J$5:$J$14,MATCH($A509,'Cohort Summary'!$A$5:$A$14,0)))/INDEX('Cohort Summary'!$K$5:$K$14,MATCH($A509,'Cohort Summary'!$A$5:$A$14,0))</f>
        <v>1</v>
      </c>
      <c r="M509" s="42" t="n">
        <f aca="false">MAX(I509:K509)</f>
        <v>1.30685920577617</v>
      </c>
      <c r="N509" s="27" t="s">
        <v>197</v>
      </c>
      <c r="O509" s="27"/>
      <c r="P509" s="27" t="str">
        <f aca="false">A509&amp;"|"&amp;N509</f>
        <v>NURSE-03|normal</v>
      </c>
    </row>
    <row r="510" customFormat="false" ht="15" hidden="false" customHeight="true" outlineLevel="0" collapsed="false">
      <c r="A510" s="27" t="s">
        <v>78</v>
      </c>
      <c r="B510" s="41" t="n">
        <v>46303.3291666667</v>
      </c>
      <c r="C510" s="27" t="s">
        <v>200</v>
      </c>
      <c r="D510" s="27" t="n">
        <v>41</v>
      </c>
      <c r="E510" s="27" t="n">
        <v>21.1</v>
      </c>
      <c r="F510" s="27" t="n">
        <v>28.9</v>
      </c>
      <c r="G510" s="27" t="n">
        <v>33.7</v>
      </c>
      <c r="H510" s="27" t="s">
        <v>198</v>
      </c>
      <c r="I510" s="42" t="n">
        <f aca="false">(D510-INDEX('Cohort Summary'!$D$5:$D$14,MATCH($A510,'Cohort Summary'!$A$5:$A$14,0)))/INDEX('Cohort Summary'!$E$5:$E$14,MATCH($A510,'Cohort Summary'!$A$5:$A$14,0))</f>
        <v>1.44285714285714</v>
      </c>
      <c r="J510" s="42" t="n">
        <f aca="false">(E510-INDEX('Cohort Summary'!$F$5:$F$14,MATCH($A510,'Cohort Summary'!$A$5:$A$14,0)))/INDEX('Cohort Summary'!$G$5:$G$14,MATCH($A510,'Cohort Summary'!$A$5:$A$14,0))</f>
        <v>1.29953917050691</v>
      </c>
      <c r="K510" s="42" t="n">
        <f aca="false">(F510-INDEX('Cohort Summary'!$H$5:$H$14,MATCH($A510,'Cohort Summary'!$A$5:$A$14,0)))/INDEX('Cohort Summary'!$I$5:$I$14,MATCH($A510,'Cohort Summary'!$A$5:$A$14,0))</f>
        <v>0.44043321299639</v>
      </c>
      <c r="L510" s="42" t="n">
        <f aca="false">(G510-INDEX('Cohort Summary'!$J$5:$J$14,MATCH($A510,'Cohort Summary'!$A$5:$A$14,0)))/INDEX('Cohort Summary'!$K$5:$K$14,MATCH($A510,'Cohort Summary'!$A$5:$A$14,0))</f>
        <v>0.649122807017552</v>
      </c>
      <c r="M510" s="42" t="n">
        <f aca="false">MAX(I510:K510)</f>
        <v>1.44285714285714</v>
      </c>
      <c r="N510" s="27" t="s">
        <v>197</v>
      </c>
      <c r="O510" s="27"/>
      <c r="P510" s="27" t="str">
        <f aca="false">A510&amp;"|"&amp;N510</f>
        <v>NURSE-03|normal</v>
      </c>
    </row>
    <row r="511" customFormat="false" ht="15" hidden="false" customHeight="true" outlineLevel="0" collapsed="false">
      <c r="A511" s="27" t="s">
        <v>78</v>
      </c>
      <c r="B511" s="41" t="n">
        <v>46303.3295138889</v>
      </c>
      <c r="C511" s="27" t="s">
        <v>200</v>
      </c>
      <c r="D511" s="27" t="n">
        <v>38.8</v>
      </c>
      <c r="E511" s="27" t="n">
        <v>15.3</v>
      </c>
      <c r="F511" s="27" t="n">
        <v>26.2</v>
      </c>
      <c r="G511" s="27" t="n">
        <v>33.9</v>
      </c>
      <c r="H511" s="27" t="s">
        <v>199</v>
      </c>
      <c r="I511" s="42" t="n">
        <f aca="false">(D511-INDEX('Cohort Summary'!$D$5:$D$14,MATCH($A511,'Cohort Summary'!$A$5:$A$14,0)))/INDEX('Cohort Summary'!$E$5:$E$14,MATCH($A511,'Cohort Summary'!$A$5:$A$14,0))</f>
        <v>0.657142857142856</v>
      </c>
      <c r="J511" s="42" t="n">
        <f aca="false">(E511-INDEX('Cohort Summary'!$F$5:$F$14,MATCH($A511,'Cohort Summary'!$A$5:$A$14,0)))/INDEX('Cohort Summary'!$G$5:$G$14,MATCH($A511,'Cohort Summary'!$A$5:$A$14,0))</f>
        <v>-1.37327188940092</v>
      </c>
      <c r="K511" s="42" t="n">
        <f aca="false">(F511-INDEX('Cohort Summary'!$H$5:$H$14,MATCH($A511,'Cohort Summary'!$A$5:$A$14,0)))/INDEX('Cohort Summary'!$I$5:$I$14,MATCH($A511,'Cohort Summary'!$A$5:$A$14,0))</f>
        <v>-0.534296028880867</v>
      </c>
      <c r="L511" s="42" t="n">
        <f aca="false">(G511-INDEX('Cohort Summary'!$J$5:$J$14,MATCH($A511,'Cohort Summary'!$A$5:$A$14,0)))/INDEX('Cohort Summary'!$K$5:$K$14,MATCH($A511,'Cohort Summary'!$A$5:$A$14,0))</f>
        <v>1</v>
      </c>
      <c r="M511" s="42" t="n">
        <f aca="false">MAX(I511:K511)</f>
        <v>0.657142857142856</v>
      </c>
      <c r="N511" s="27" t="s">
        <v>197</v>
      </c>
      <c r="O511" s="27"/>
      <c r="P511" s="27" t="str">
        <f aca="false">A511&amp;"|"&amp;N511</f>
        <v>NURSE-03|normal</v>
      </c>
    </row>
    <row r="512" customFormat="false" ht="15" hidden="false" customHeight="true" outlineLevel="0" collapsed="false">
      <c r="A512" s="27" t="s">
        <v>78</v>
      </c>
      <c r="B512" s="41" t="n">
        <v>46303.3298611111</v>
      </c>
      <c r="C512" s="27" t="s">
        <v>200</v>
      </c>
      <c r="D512" s="27" t="n">
        <v>39.5</v>
      </c>
      <c r="E512" s="27" t="n">
        <v>15.6</v>
      </c>
      <c r="F512" s="27" t="n">
        <v>29.9</v>
      </c>
      <c r="G512" s="27" t="n">
        <v>33.1</v>
      </c>
      <c r="H512" s="27" t="s">
        <v>196</v>
      </c>
      <c r="I512" s="42" t="n">
        <f aca="false">(D512-INDEX('Cohort Summary'!$D$5:$D$14,MATCH($A512,'Cohort Summary'!$A$5:$A$14,0)))/INDEX('Cohort Summary'!$E$5:$E$14,MATCH($A512,'Cohort Summary'!$A$5:$A$14,0))</f>
        <v>0.907142857142857</v>
      </c>
      <c r="J512" s="42" t="n">
        <f aca="false">(E512-INDEX('Cohort Summary'!$F$5:$F$14,MATCH($A512,'Cohort Summary'!$A$5:$A$14,0)))/INDEX('Cohort Summary'!$G$5:$G$14,MATCH($A512,'Cohort Summary'!$A$5:$A$14,0))</f>
        <v>-1.23502304147466</v>
      </c>
      <c r="K512" s="42" t="n">
        <f aca="false">(F512-INDEX('Cohort Summary'!$H$5:$H$14,MATCH($A512,'Cohort Summary'!$A$5:$A$14,0)))/INDEX('Cohort Summary'!$I$5:$I$14,MATCH($A512,'Cohort Summary'!$A$5:$A$14,0))</f>
        <v>0.801444043321299</v>
      </c>
      <c r="L512" s="42" t="n">
        <f aca="false">(G512-INDEX('Cohort Summary'!$J$5:$J$14,MATCH($A512,'Cohort Summary'!$A$5:$A$14,0)))/INDEX('Cohort Summary'!$K$5:$K$14,MATCH($A512,'Cohort Summary'!$A$5:$A$14,0))</f>
        <v>-0.403508771929819</v>
      </c>
      <c r="M512" s="42" t="n">
        <f aca="false">MAX(I512:K512)</f>
        <v>0.907142857142857</v>
      </c>
      <c r="N512" s="27" t="s">
        <v>197</v>
      </c>
      <c r="O512" s="27"/>
      <c r="P512" s="27" t="str">
        <f aca="false">A512&amp;"|"&amp;N512</f>
        <v>NURSE-03|normal</v>
      </c>
    </row>
    <row r="513" customFormat="false" ht="15" hidden="false" customHeight="true" outlineLevel="0" collapsed="false">
      <c r="A513" s="27" t="s">
        <v>78</v>
      </c>
      <c r="B513" s="41" t="n">
        <v>46303.3302083333</v>
      </c>
      <c r="C513" s="27" t="s">
        <v>200</v>
      </c>
      <c r="D513" s="27" t="n">
        <v>38.2</v>
      </c>
      <c r="E513" s="27" t="n">
        <v>16.5</v>
      </c>
      <c r="F513" s="27" t="n">
        <v>28.3</v>
      </c>
      <c r="G513" s="27" t="n">
        <v>33</v>
      </c>
      <c r="H513" s="27" t="s">
        <v>199</v>
      </c>
      <c r="I513" s="42" t="n">
        <f aca="false">(D513-INDEX('Cohort Summary'!$D$5:$D$14,MATCH($A513,'Cohort Summary'!$A$5:$A$14,0)))/INDEX('Cohort Summary'!$E$5:$E$14,MATCH($A513,'Cohort Summary'!$A$5:$A$14,0))</f>
        <v>0.442857142857144</v>
      </c>
      <c r="J513" s="42" t="n">
        <f aca="false">(E513-INDEX('Cohort Summary'!$F$5:$F$14,MATCH($A513,'Cohort Summary'!$A$5:$A$14,0)))/INDEX('Cohort Summary'!$G$5:$G$14,MATCH($A513,'Cohort Summary'!$A$5:$A$14,0))</f>
        <v>-0.820276497695853</v>
      </c>
      <c r="K513" s="42" t="n">
        <f aca="false">(F513-INDEX('Cohort Summary'!$H$5:$H$14,MATCH($A513,'Cohort Summary'!$A$5:$A$14,0)))/INDEX('Cohort Summary'!$I$5:$I$14,MATCH($A513,'Cohort Summary'!$A$5:$A$14,0))</f>
        <v>0.223826714801444</v>
      </c>
      <c r="L513" s="42" t="n">
        <f aca="false">(G513-INDEX('Cohort Summary'!$J$5:$J$14,MATCH($A513,'Cohort Summary'!$A$5:$A$14,0)))/INDEX('Cohort Summary'!$K$5:$K$14,MATCH($A513,'Cohort Summary'!$A$5:$A$14,0))</f>
        <v>-0.57894736842105</v>
      </c>
      <c r="M513" s="42" t="n">
        <f aca="false">MAX(I513:K513)</f>
        <v>0.442857142857144</v>
      </c>
      <c r="N513" s="27" t="s">
        <v>197</v>
      </c>
      <c r="O513" s="27"/>
      <c r="P513" s="27" t="str">
        <f aca="false">A513&amp;"|"&amp;N513</f>
        <v>NURSE-03|normal</v>
      </c>
    </row>
    <row r="514" customFormat="false" ht="15" hidden="false" customHeight="true" outlineLevel="0" collapsed="false">
      <c r="A514" s="27" t="s">
        <v>78</v>
      </c>
      <c r="B514" s="41" t="n">
        <v>46303.3305555556</v>
      </c>
      <c r="C514" s="27" t="s">
        <v>200</v>
      </c>
      <c r="D514" s="27" t="n">
        <v>36.4</v>
      </c>
      <c r="E514" s="27" t="n">
        <v>17.4</v>
      </c>
      <c r="F514" s="27" t="n">
        <v>28</v>
      </c>
      <c r="G514" s="27" t="n">
        <v>33.7</v>
      </c>
      <c r="H514" s="27" t="s">
        <v>196</v>
      </c>
      <c r="I514" s="42" t="n">
        <f aca="false">(D514-INDEX('Cohort Summary'!$D$5:$D$14,MATCH($A514,'Cohort Summary'!$A$5:$A$14,0)))/INDEX('Cohort Summary'!$E$5:$E$14,MATCH($A514,'Cohort Summary'!$A$5:$A$14,0))</f>
        <v>-0.200000000000001</v>
      </c>
      <c r="J514" s="42" t="n">
        <f aca="false">(E514-INDEX('Cohort Summary'!$F$5:$F$14,MATCH($A514,'Cohort Summary'!$A$5:$A$14,0)))/INDEX('Cohort Summary'!$G$5:$G$14,MATCH($A514,'Cohort Summary'!$A$5:$A$14,0))</f>
        <v>-0.405529953917052</v>
      </c>
      <c r="K514" s="42" t="n">
        <f aca="false">(F514-INDEX('Cohort Summary'!$H$5:$H$14,MATCH($A514,'Cohort Summary'!$A$5:$A$14,0)))/INDEX('Cohort Summary'!$I$5:$I$14,MATCH($A514,'Cohort Summary'!$A$5:$A$14,0))</f>
        <v>0.115523465703971</v>
      </c>
      <c r="L514" s="42" t="n">
        <f aca="false">(G514-INDEX('Cohort Summary'!$J$5:$J$14,MATCH($A514,'Cohort Summary'!$A$5:$A$14,0)))/INDEX('Cohort Summary'!$K$5:$K$14,MATCH($A514,'Cohort Summary'!$A$5:$A$14,0))</f>
        <v>0.649122807017552</v>
      </c>
      <c r="M514" s="42" t="n">
        <f aca="false">MAX(I514:K514)</f>
        <v>0.115523465703971</v>
      </c>
      <c r="N514" s="27" t="s">
        <v>197</v>
      </c>
      <c r="O514" s="27"/>
      <c r="P514" s="27" t="str">
        <f aca="false">A514&amp;"|"&amp;N514</f>
        <v>NURSE-03|normal</v>
      </c>
    </row>
    <row r="515" customFormat="false" ht="15" hidden="false" customHeight="true" outlineLevel="0" collapsed="false">
      <c r="A515" s="27" t="s">
        <v>78</v>
      </c>
      <c r="B515" s="41" t="n">
        <v>46303.3309027778</v>
      </c>
      <c r="C515" s="27" t="s">
        <v>200</v>
      </c>
      <c r="D515" s="27" t="n">
        <v>38.3</v>
      </c>
      <c r="E515" s="27" t="n">
        <v>18.6</v>
      </c>
      <c r="F515" s="27" t="n">
        <v>29.8</v>
      </c>
      <c r="G515" s="27" t="n">
        <v>32.7</v>
      </c>
      <c r="H515" s="27" t="s">
        <v>196</v>
      </c>
      <c r="I515" s="42" t="n">
        <f aca="false">(D515-INDEX('Cohort Summary'!$D$5:$D$14,MATCH($A515,'Cohort Summary'!$A$5:$A$14,0)))/INDEX('Cohort Summary'!$E$5:$E$14,MATCH($A515,'Cohort Summary'!$A$5:$A$14,0))</f>
        <v>0.478571428571427</v>
      </c>
      <c r="J515" s="42" t="n">
        <f aca="false">(E515-INDEX('Cohort Summary'!$F$5:$F$14,MATCH($A515,'Cohort Summary'!$A$5:$A$14,0)))/INDEX('Cohort Summary'!$G$5:$G$14,MATCH($A515,'Cohort Summary'!$A$5:$A$14,0))</f>
        <v>0.147465437788019</v>
      </c>
      <c r="K515" s="42" t="n">
        <f aca="false">(F515-INDEX('Cohort Summary'!$H$5:$H$14,MATCH($A515,'Cohort Summary'!$A$5:$A$14,0)))/INDEX('Cohort Summary'!$I$5:$I$14,MATCH($A515,'Cohort Summary'!$A$5:$A$14,0))</f>
        <v>0.765342960288809</v>
      </c>
      <c r="L515" s="42" t="n">
        <f aca="false">(G515-INDEX('Cohort Summary'!$J$5:$J$14,MATCH($A515,'Cohort Summary'!$A$5:$A$14,0)))/INDEX('Cohort Summary'!$K$5:$K$14,MATCH($A515,'Cohort Summary'!$A$5:$A$14,0))</f>
        <v>-1.10526315789473</v>
      </c>
      <c r="M515" s="42" t="n">
        <f aca="false">MAX(I515:K515)</f>
        <v>0.765342960288809</v>
      </c>
      <c r="N515" s="27" t="s">
        <v>197</v>
      </c>
      <c r="O515" s="27"/>
      <c r="P515" s="27" t="str">
        <f aca="false">A515&amp;"|"&amp;N515</f>
        <v>NURSE-03|normal</v>
      </c>
    </row>
    <row r="516" customFormat="false" ht="15" hidden="false" customHeight="true" outlineLevel="0" collapsed="false">
      <c r="A516" s="27" t="s">
        <v>78</v>
      </c>
      <c r="B516" s="41" t="n">
        <v>46303.33125</v>
      </c>
      <c r="C516" s="27" t="s">
        <v>200</v>
      </c>
      <c r="D516" s="27" t="n">
        <v>37.1</v>
      </c>
      <c r="E516" s="27" t="n">
        <v>21.5</v>
      </c>
      <c r="F516" s="27" t="n">
        <v>24.3</v>
      </c>
      <c r="G516" s="27" t="n">
        <v>33.8</v>
      </c>
      <c r="H516" s="27" t="s">
        <v>198</v>
      </c>
      <c r="I516" s="42" t="n">
        <f aca="false">(D516-INDEX('Cohort Summary'!$D$5:$D$14,MATCH($A516,'Cohort Summary'!$A$5:$A$14,0)))/INDEX('Cohort Summary'!$E$5:$E$14,MATCH($A516,'Cohort Summary'!$A$5:$A$14,0))</f>
        <v>0.0500000000000002</v>
      </c>
      <c r="J516" s="42" t="n">
        <f aca="false">(E516-INDEX('Cohort Summary'!$F$5:$F$14,MATCH($A516,'Cohort Summary'!$A$5:$A$14,0)))/INDEX('Cohort Summary'!$G$5:$G$14,MATCH($A516,'Cohort Summary'!$A$5:$A$14,0))</f>
        <v>1.48387096774194</v>
      </c>
      <c r="K516" s="42" t="n">
        <f aca="false">(F516-INDEX('Cohort Summary'!$H$5:$H$14,MATCH($A516,'Cohort Summary'!$A$5:$A$14,0)))/INDEX('Cohort Summary'!$I$5:$I$14,MATCH($A516,'Cohort Summary'!$A$5:$A$14,0))</f>
        <v>-1.22021660649819</v>
      </c>
      <c r="L516" s="42" t="n">
        <f aca="false">(G516-INDEX('Cohort Summary'!$J$5:$J$14,MATCH($A516,'Cohort Summary'!$A$5:$A$14,0)))/INDEX('Cohort Summary'!$K$5:$K$14,MATCH($A516,'Cohort Summary'!$A$5:$A$14,0))</f>
        <v>0.82456140350877</v>
      </c>
      <c r="M516" s="42" t="n">
        <f aca="false">MAX(I516:K516)</f>
        <v>1.48387096774194</v>
      </c>
      <c r="N516" s="27" t="s">
        <v>197</v>
      </c>
      <c r="O516" s="27"/>
      <c r="P516" s="27" t="str">
        <f aca="false">A516&amp;"|"&amp;N516</f>
        <v>NURSE-03|normal</v>
      </c>
    </row>
    <row r="517" customFormat="false" ht="15" hidden="false" customHeight="true" outlineLevel="0" collapsed="false">
      <c r="A517" s="27" t="s">
        <v>78</v>
      </c>
      <c r="B517" s="41" t="n">
        <v>46303.3315972222</v>
      </c>
      <c r="C517" s="27" t="s">
        <v>200</v>
      </c>
      <c r="D517" s="27" t="n">
        <v>41.5</v>
      </c>
      <c r="E517" s="27" t="n">
        <v>20.8</v>
      </c>
      <c r="F517" s="27" t="n">
        <v>28.6</v>
      </c>
      <c r="G517" s="27" t="n">
        <v>32.6</v>
      </c>
      <c r="H517" s="27" t="s">
        <v>198</v>
      </c>
      <c r="I517" s="42" t="n">
        <f aca="false">(D517-INDEX('Cohort Summary'!$D$5:$D$14,MATCH($A517,'Cohort Summary'!$A$5:$A$14,0)))/INDEX('Cohort Summary'!$E$5:$E$14,MATCH($A517,'Cohort Summary'!$A$5:$A$14,0))</f>
        <v>1.62142857142857</v>
      </c>
      <c r="J517" s="42" t="n">
        <f aca="false">(E517-INDEX('Cohort Summary'!$F$5:$F$14,MATCH($A517,'Cohort Summary'!$A$5:$A$14,0)))/INDEX('Cohort Summary'!$G$5:$G$14,MATCH($A517,'Cohort Summary'!$A$5:$A$14,0))</f>
        <v>1.16129032258065</v>
      </c>
      <c r="K517" s="42" t="n">
        <f aca="false">(F517-INDEX('Cohort Summary'!$H$5:$H$14,MATCH($A517,'Cohort Summary'!$A$5:$A$14,0)))/INDEX('Cohort Summary'!$I$5:$I$14,MATCH($A517,'Cohort Summary'!$A$5:$A$14,0))</f>
        <v>0.332129963898918</v>
      </c>
      <c r="L517" s="42" t="n">
        <f aca="false">(G517-INDEX('Cohort Summary'!$J$5:$J$14,MATCH($A517,'Cohort Summary'!$A$5:$A$14,0)))/INDEX('Cohort Summary'!$K$5:$K$14,MATCH($A517,'Cohort Summary'!$A$5:$A$14,0))</f>
        <v>-1.28070175438596</v>
      </c>
      <c r="M517" s="42" t="n">
        <f aca="false">MAX(I517:K517)</f>
        <v>1.62142857142857</v>
      </c>
      <c r="N517" s="27" t="s">
        <v>197</v>
      </c>
      <c r="O517" s="27"/>
      <c r="P517" s="27" t="str">
        <f aca="false">A517&amp;"|"&amp;N517</f>
        <v>NURSE-03|normal</v>
      </c>
    </row>
    <row r="518" customFormat="false" ht="15" hidden="false" customHeight="true" outlineLevel="0" collapsed="false">
      <c r="A518" s="27" t="s">
        <v>78</v>
      </c>
      <c r="B518" s="41" t="n">
        <v>46303.3319444444</v>
      </c>
      <c r="C518" s="27" t="s">
        <v>200</v>
      </c>
      <c r="D518" s="27" t="n">
        <v>41.7</v>
      </c>
      <c r="E518" s="27" t="n">
        <v>19.5</v>
      </c>
      <c r="F518" s="27" t="n">
        <v>28.4</v>
      </c>
      <c r="G518" s="27" t="n">
        <v>32.8</v>
      </c>
      <c r="H518" s="27" t="s">
        <v>198</v>
      </c>
      <c r="I518" s="42" t="n">
        <f aca="false">(D518-INDEX('Cohort Summary'!$D$5:$D$14,MATCH($A518,'Cohort Summary'!$A$5:$A$14,0)))/INDEX('Cohort Summary'!$E$5:$E$14,MATCH($A518,'Cohort Summary'!$A$5:$A$14,0))</f>
        <v>1.69285714285714</v>
      </c>
      <c r="J518" s="42" t="n">
        <f aca="false">(E518-INDEX('Cohort Summary'!$F$5:$F$14,MATCH($A518,'Cohort Summary'!$A$5:$A$14,0)))/INDEX('Cohort Summary'!$G$5:$G$14,MATCH($A518,'Cohort Summary'!$A$5:$A$14,0))</f>
        <v>0.56221198156682</v>
      </c>
      <c r="K518" s="42" t="n">
        <f aca="false">(F518-INDEX('Cohort Summary'!$H$5:$H$14,MATCH($A518,'Cohort Summary'!$A$5:$A$14,0)))/INDEX('Cohort Summary'!$I$5:$I$14,MATCH($A518,'Cohort Summary'!$A$5:$A$14,0))</f>
        <v>0.259927797833935</v>
      </c>
      <c r="L518" s="42" t="n">
        <f aca="false">(G518-INDEX('Cohort Summary'!$J$5:$J$14,MATCH($A518,'Cohort Summary'!$A$5:$A$14,0)))/INDEX('Cohort Summary'!$K$5:$K$14,MATCH($A518,'Cohort Summary'!$A$5:$A$14,0))</f>
        <v>-0.929824561403511</v>
      </c>
      <c r="M518" s="42" t="n">
        <f aca="false">MAX(I518:K518)</f>
        <v>1.69285714285714</v>
      </c>
      <c r="N518" s="27" t="s">
        <v>197</v>
      </c>
      <c r="O518" s="27"/>
      <c r="P518" s="27" t="str">
        <f aca="false">A518&amp;"|"&amp;N518</f>
        <v>NURSE-03|normal</v>
      </c>
    </row>
    <row r="519" customFormat="false" ht="15" hidden="false" customHeight="true" outlineLevel="0" collapsed="false">
      <c r="A519" s="27" t="s">
        <v>78</v>
      </c>
      <c r="B519" s="41" t="n">
        <v>46303.3322916667</v>
      </c>
      <c r="C519" s="27" t="s">
        <v>200</v>
      </c>
      <c r="D519" s="27" t="n">
        <v>33.7</v>
      </c>
      <c r="E519" s="27" t="n">
        <v>17.4</v>
      </c>
      <c r="F519" s="27" t="n">
        <v>23.9</v>
      </c>
      <c r="G519" s="27" t="n">
        <v>33.6</v>
      </c>
      <c r="H519" s="27" t="s">
        <v>198</v>
      </c>
      <c r="I519" s="42" t="n">
        <f aca="false">(D519-INDEX('Cohort Summary'!$D$5:$D$14,MATCH($A519,'Cohort Summary'!$A$5:$A$14,0)))/INDEX('Cohort Summary'!$E$5:$E$14,MATCH($A519,'Cohort Summary'!$A$5:$A$14,0))</f>
        <v>-1.16428571428571</v>
      </c>
      <c r="J519" s="42" t="n">
        <f aca="false">(E519-INDEX('Cohort Summary'!$F$5:$F$14,MATCH($A519,'Cohort Summary'!$A$5:$A$14,0)))/INDEX('Cohort Summary'!$G$5:$G$14,MATCH($A519,'Cohort Summary'!$A$5:$A$14,0))</f>
        <v>-0.405529953917052</v>
      </c>
      <c r="K519" s="42" t="n">
        <f aca="false">(F519-INDEX('Cohort Summary'!$H$5:$H$14,MATCH($A519,'Cohort Summary'!$A$5:$A$14,0)))/INDEX('Cohort Summary'!$I$5:$I$14,MATCH($A519,'Cohort Summary'!$A$5:$A$14,0))</f>
        <v>-1.36462093862816</v>
      </c>
      <c r="L519" s="42" t="n">
        <f aca="false">(G519-INDEX('Cohort Summary'!$J$5:$J$14,MATCH($A519,'Cohort Summary'!$A$5:$A$14,0)))/INDEX('Cohort Summary'!$K$5:$K$14,MATCH($A519,'Cohort Summary'!$A$5:$A$14,0))</f>
        <v>0.473684210526321</v>
      </c>
      <c r="M519" s="42" t="n">
        <f aca="false">MAX(I519:K519)</f>
        <v>-0.405529953917052</v>
      </c>
      <c r="N519" s="27" t="s">
        <v>197</v>
      </c>
      <c r="O519" s="27"/>
      <c r="P519" s="27" t="str">
        <f aca="false">A519&amp;"|"&amp;N519</f>
        <v>NURSE-03|normal</v>
      </c>
    </row>
    <row r="520" customFormat="false" ht="15" hidden="false" customHeight="true" outlineLevel="0" collapsed="false">
      <c r="A520" s="27" t="s">
        <v>78</v>
      </c>
      <c r="B520" s="41" t="n">
        <v>46303.3326388889</v>
      </c>
      <c r="C520" s="27" t="s">
        <v>200</v>
      </c>
      <c r="D520" s="27" t="n">
        <v>33.4</v>
      </c>
      <c r="E520" s="27" t="n">
        <v>19.9</v>
      </c>
      <c r="F520" s="27" t="n">
        <v>29.7</v>
      </c>
      <c r="G520" s="27" t="n">
        <v>35.4</v>
      </c>
      <c r="H520" s="27" t="s">
        <v>198</v>
      </c>
      <c r="I520" s="42" t="n">
        <f aca="false">(D520-INDEX('Cohort Summary'!$D$5:$D$14,MATCH($A520,'Cohort Summary'!$A$5:$A$14,0)))/INDEX('Cohort Summary'!$E$5:$E$14,MATCH($A520,'Cohort Summary'!$A$5:$A$14,0))</f>
        <v>-1.27142857142857</v>
      </c>
      <c r="J520" s="42" t="n">
        <f aca="false">(E520-INDEX('Cohort Summary'!$F$5:$F$14,MATCH($A520,'Cohort Summary'!$A$5:$A$14,0)))/INDEX('Cohort Summary'!$G$5:$G$14,MATCH($A520,'Cohort Summary'!$A$5:$A$14,0))</f>
        <v>0.746543778801842</v>
      </c>
      <c r="K520" s="42" t="n">
        <f aca="false">(F520-INDEX('Cohort Summary'!$H$5:$H$14,MATCH($A520,'Cohort Summary'!$A$5:$A$14,0)))/INDEX('Cohort Summary'!$I$5:$I$14,MATCH($A520,'Cohort Summary'!$A$5:$A$14,0))</f>
        <v>0.729241877256318</v>
      </c>
      <c r="L520" s="42" t="n">
        <f aca="false">(G520-INDEX('Cohort Summary'!$J$5:$J$14,MATCH($A520,'Cohort Summary'!$A$5:$A$14,0)))/INDEX('Cohort Summary'!$K$5:$K$14,MATCH($A520,'Cohort Summary'!$A$5:$A$14,0))</f>
        <v>3.63157894736842</v>
      </c>
      <c r="M520" s="42" t="n">
        <f aca="false">MAX(I520:K520)</f>
        <v>0.746543778801842</v>
      </c>
      <c r="N520" s="27" t="s">
        <v>201</v>
      </c>
      <c r="O520" s="27" t="s">
        <v>221</v>
      </c>
      <c r="P520" s="27" t="str">
        <f aca="false">A520&amp;"|"&amp;N520</f>
        <v>NURSE-03|caution</v>
      </c>
    </row>
    <row r="521" customFormat="false" ht="15" hidden="false" customHeight="true" outlineLevel="0" collapsed="false">
      <c r="A521" s="27" t="s">
        <v>78</v>
      </c>
      <c r="B521" s="41" t="n">
        <v>46303.3329861111</v>
      </c>
      <c r="C521" s="27" t="s">
        <v>200</v>
      </c>
      <c r="D521" s="27" t="n">
        <v>32.1</v>
      </c>
      <c r="E521" s="27" t="n">
        <v>19.8</v>
      </c>
      <c r="F521" s="27" t="n">
        <v>24.3</v>
      </c>
      <c r="G521" s="27" t="n">
        <v>36.2</v>
      </c>
      <c r="H521" s="27" t="s">
        <v>196</v>
      </c>
      <c r="I521" s="42" t="n">
        <f aca="false">(D521-INDEX('Cohort Summary'!$D$5:$D$14,MATCH($A521,'Cohort Summary'!$A$5:$A$14,0)))/INDEX('Cohort Summary'!$E$5:$E$14,MATCH($A521,'Cohort Summary'!$A$5:$A$14,0))</f>
        <v>-1.73571428571429</v>
      </c>
      <c r="J521" s="42" t="n">
        <f aca="false">(E521-INDEX('Cohort Summary'!$F$5:$F$14,MATCH($A521,'Cohort Summary'!$A$5:$A$14,0)))/INDEX('Cohort Summary'!$G$5:$G$14,MATCH($A521,'Cohort Summary'!$A$5:$A$14,0))</f>
        <v>0.700460829493087</v>
      </c>
      <c r="K521" s="42" t="n">
        <f aca="false">(F521-INDEX('Cohort Summary'!$H$5:$H$14,MATCH($A521,'Cohort Summary'!$A$5:$A$14,0)))/INDEX('Cohort Summary'!$I$5:$I$14,MATCH($A521,'Cohort Summary'!$A$5:$A$14,0))</f>
        <v>-1.22021660649819</v>
      </c>
      <c r="L521" s="42" t="n">
        <f aca="false">(G521-INDEX('Cohort Summary'!$J$5:$J$14,MATCH($A521,'Cohort Summary'!$A$5:$A$14,0)))/INDEX('Cohort Summary'!$K$5:$K$14,MATCH($A521,'Cohort Summary'!$A$5:$A$14,0))</f>
        <v>5.03508771929825</v>
      </c>
      <c r="M521" s="42" t="n">
        <f aca="false">MAX(I521:K521)</f>
        <v>0.700460829493087</v>
      </c>
      <c r="N521" s="27" t="s">
        <v>201</v>
      </c>
      <c r="O521" s="27" t="s">
        <v>222</v>
      </c>
      <c r="P521" s="27" t="str">
        <f aca="false">A521&amp;"|"&amp;N521</f>
        <v>NURSE-03|caution</v>
      </c>
    </row>
    <row r="522" customFormat="false" ht="15" hidden="false" customHeight="true" outlineLevel="0" collapsed="false">
      <c r="A522" s="27" t="s">
        <v>78</v>
      </c>
      <c r="B522" s="41" t="n">
        <v>46303.3333333333</v>
      </c>
      <c r="C522" s="27" t="s">
        <v>200</v>
      </c>
      <c r="D522" s="27" t="n">
        <v>35</v>
      </c>
      <c r="E522" s="27" t="n">
        <v>21.2</v>
      </c>
      <c r="F522" s="27" t="n">
        <v>24.4</v>
      </c>
      <c r="G522" s="27" t="n">
        <v>36</v>
      </c>
      <c r="H522" s="27" t="s">
        <v>199</v>
      </c>
      <c r="I522" s="42" t="n">
        <f aca="false">(D522-INDEX('Cohort Summary'!$D$5:$D$14,MATCH($A522,'Cohort Summary'!$A$5:$A$14,0)))/INDEX('Cohort Summary'!$E$5:$E$14,MATCH($A522,'Cohort Summary'!$A$5:$A$14,0))</f>
        <v>-0.7</v>
      </c>
      <c r="J522" s="42" t="n">
        <f aca="false">(E522-INDEX('Cohort Summary'!$F$5:$F$14,MATCH($A522,'Cohort Summary'!$A$5:$A$14,0)))/INDEX('Cohort Summary'!$G$5:$G$14,MATCH($A522,'Cohort Summary'!$A$5:$A$14,0))</f>
        <v>1.34562211981567</v>
      </c>
      <c r="K522" s="42" t="n">
        <f aca="false">(F522-INDEX('Cohort Summary'!$H$5:$H$14,MATCH($A522,'Cohort Summary'!$A$5:$A$14,0)))/INDEX('Cohort Summary'!$I$5:$I$14,MATCH($A522,'Cohort Summary'!$A$5:$A$14,0))</f>
        <v>-1.1841155234657</v>
      </c>
      <c r="L522" s="42" t="n">
        <f aca="false">(G522-INDEX('Cohort Summary'!$J$5:$J$14,MATCH($A522,'Cohort Summary'!$A$5:$A$14,0)))/INDEX('Cohort Summary'!$K$5:$K$14,MATCH($A522,'Cohort Summary'!$A$5:$A$14,0))</f>
        <v>4.68421052631579</v>
      </c>
      <c r="M522" s="42" t="n">
        <f aca="false">MAX(I522:K522)</f>
        <v>1.34562211981567</v>
      </c>
      <c r="N522" s="27" t="s">
        <v>201</v>
      </c>
      <c r="O522" s="27" t="s">
        <v>223</v>
      </c>
      <c r="P522" s="27" t="str">
        <f aca="false">A522&amp;"|"&amp;N522</f>
        <v>NURSE-03|caution</v>
      </c>
    </row>
    <row r="523" customFormat="false" ht="15" hidden="false" customHeight="true" outlineLevel="0" collapsed="false">
      <c r="A523" s="27" t="s">
        <v>78</v>
      </c>
      <c r="B523" s="41" t="n">
        <v>46303.3336805556</v>
      </c>
      <c r="C523" s="27" t="s">
        <v>200</v>
      </c>
      <c r="D523" s="27" t="n">
        <v>38.3</v>
      </c>
      <c r="E523" s="27" t="n">
        <v>15.8</v>
      </c>
      <c r="F523" s="27" t="n">
        <v>27.2</v>
      </c>
      <c r="G523" s="27" t="n">
        <v>36.8</v>
      </c>
      <c r="H523" s="27" t="s">
        <v>196</v>
      </c>
      <c r="I523" s="42" t="n">
        <f aca="false">(D523-INDEX('Cohort Summary'!$D$5:$D$14,MATCH($A523,'Cohort Summary'!$A$5:$A$14,0)))/INDEX('Cohort Summary'!$E$5:$E$14,MATCH($A523,'Cohort Summary'!$A$5:$A$14,0))</f>
        <v>0.478571428571427</v>
      </c>
      <c r="J523" s="42" t="n">
        <f aca="false">(E523-INDEX('Cohort Summary'!$F$5:$F$14,MATCH($A523,'Cohort Summary'!$A$5:$A$14,0)))/INDEX('Cohort Summary'!$G$5:$G$14,MATCH($A523,'Cohort Summary'!$A$5:$A$14,0))</f>
        <v>-1.14285714285714</v>
      </c>
      <c r="K523" s="42" t="n">
        <f aca="false">(F523-INDEX('Cohort Summary'!$H$5:$H$14,MATCH($A523,'Cohort Summary'!$A$5:$A$14,0)))/INDEX('Cohort Summary'!$I$5:$I$14,MATCH($A523,'Cohort Summary'!$A$5:$A$14,0))</f>
        <v>-0.173285198555957</v>
      </c>
      <c r="L523" s="42" t="n">
        <f aca="false">(G523-INDEX('Cohort Summary'!$J$5:$J$14,MATCH($A523,'Cohort Summary'!$A$5:$A$14,0)))/INDEX('Cohort Summary'!$K$5:$K$14,MATCH($A523,'Cohort Summary'!$A$5:$A$14,0))</f>
        <v>6.08771929824561</v>
      </c>
      <c r="M523" s="42" t="n">
        <f aca="false">MAX(I523:K523)</f>
        <v>0.478571428571427</v>
      </c>
      <c r="N523" s="27" t="s">
        <v>201</v>
      </c>
      <c r="O523" s="27" t="s">
        <v>224</v>
      </c>
      <c r="P523" s="27" t="str">
        <f aca="false">A523&amp;"|"&amp;N523</f>
        <v>NURSE-03|caution</v>
      </c>
    </row>
    <row r="524" customFormat="false" ht="15" hidden="false" customHeight="true" outlineLevel="0" collapsed="false">
      <c r="A524" s="27" t="s">
        <v>78</v>
      </c>
      <c r="B524" s="41" t="n">
        <v>46303.3340277778</v>
      </c>
      <c r="C524" s="27" t="s">
        <v>200</v>
      </c>
      <c r="D524" s="27" t="n">
        <v>38.7</v>
      </c>
      <c r="E524" s="27" t="n">
        <v>19.2</v>
      </c>
      <c r="F524" s="27" t="n">
        <v>27.6</v>
      </c>
      <c r="G524" s="27" t="n">
        <v>36.4</v>
      </c>
      <c r="H524" s="27" t="s">
        <v>198</v>
      </c>
      <c r="I524" s="42" t="n">
        <f aca="false">(D524-INDEX('Cohort Summary'!$D$5:$D$14,MATCH($A524,'Cohort Summary'!$A$5:$A$14,0)))/INDEX('Cohort Summary'!$E$5:$E$14,MATCH($A524,'Cohort Summary'!$A$5:$A$14,0))</f>
        <v>0.621428571428572</v>
      </c>
      <c r="J524" s="42" t="n">
        <f aca="false">(E524-INDEX('Cohort Summary'!$F$5:$F$14,MATCH($A524,'Cohort Summary'!$A$5:$A$14,0)))/INDEX('Cohort Summary'!$G$5:$G$14,MATCH($A524,'Cohort Summary'!$A$5:$A$14,0))</f>
        <v>0.423963133640552</v>
      </c>
      <c r="K524" s="42" t="n">
        <f aca="false">(F524-INDEX('Cohort Summary'!$H$5:$H$14,MATCH($A524,'Cohort Summary'!$A$5:$A$14,0)))/INDEX('Cohort Summary'!$I$5:$I$14,MATCH($A524,'Cohort Summary'!$A$5:$A$14,0))</f>
        <v>-0.0288808664259922</v>
      </c>
      <c r="L524" s="42" t="n">
        <f aca="false">(G524-INDEX('Cohort Summary'!$J$5:$J$14,MATCH($A524,'Cohort Summary'!$A$5:$A$14,0)))/INDEX('Cohort Summary'!$K$5:$K$14,MATCH($A524,'Cohort Summary'!$A$5:$A$14,0))</f>
        <v>5.3859649122807</v>
      </c>
      <c r="M524" s="42" t="n">
        <f aca="false">MAX(I524:K524)</f>
        <v>0.621428571428572</v>
      </c>
      <c r="N524" s="27" t="s">
        <v>201</v>
      </c>
      <c r="O524" s="27" t="s">
        <v>225</v>
      </c>
      <c r="P524" s="27" t="str">
        <f aca="false">A524&amp;"|"&amp;N524</f>
        <v>NURSE-03|caution</v>
      </c>
    </row>
    <row r="525" customFormat="false" ht="15" hidden="false" customHeight="true" outlineLevel="0" collapsed="false">
      <c r="A525" s="27" t="s">
        <v>78</v>
      </c>
      <c r="B525" s="41" t="n">
        <v>46303.334375</v>
      </c>
      <c r="C525" s="27" t="s">
        <v>200</v>
      </c>
      <c r="D525" s="27" t="n">
        <v>33.1</v>
      </c>
      <c r="E525" s="27" t="n">
        <v>17</v>
      </c>
      <c r="F525" s="27" t="n">
        <v>26.6</v>
      </c>
      <c r="G525" s="27" t="n">
        <v>35.3</v>
      </c>
      <c r="H525" s="27" t="s">
        <v>198</v>
      </c>
      <c r="I525" s="42" t="n">
        <f aca="false">(D525-INDEX('Cohort Summary'!$D$5:$D$14,MATCH($A525,'Cohort Summary'!$A$5:$A$14,0)))/INDEX('Cohort Summary'!$E$5:$E$14,MATCH($A525,'Cohort Summary'!$A$5:$A$14,0))</f>
        <v>-1.37857142857143</v>
      </c>
      <c r="J525" s="42" t="n">
        <f aca="false">(E525-INDEX('Cohort Summary'!$F$5:$F$14,MATCH($A525,'Cohort Summary'!$A$5:$A$14,0)))/INDEX('Cohort Summary'!$G$5:$G$14,MATCH($A525,'Cohort Summary'!$A$5:$A$14,0))</f>
        <v>-0.589861751152074</v>
      </c>
      <c r="K525" s="42" t="n">
        <f aca="false">(F525-INDEX('Cohort Summary'!$H$5:$H$14,MATCH($A525,'Cohort Summary'!$A$5:$A$14,0)))/INDEX('Cohort Summary'!$I$5:$I$14,MATCH($A525,'Cohort Summary'!$A$5:$A$14,0))</f>
        <v>-0.389891696750902</v>
      </c>
      <c r="L525" s="42" t="n">
        <f aca="false">(G525-INDEX('Cohort Summary'!$J$5:$J$14,MATCH($A525,'Cohort Summary'!$A$5:$A$14,0)))/INDEX('Cohort Summary'!$K$5:$K$14,MATCH($A525,'Cohort Summary'!$A$5:$A$14,0))</f>
        <v>3.45614035087719</v>
      </c>
      <c r="M525" s="42" t="n">
        <f aca="false">MAX(I525:K525)</f>
        <v>-0.389891696750902</v>
      </c>
      <c r="N525" s="27" t="s">
        <v>201</v>
      </c>
      <c r="O525" s="27" t="s">
        <v>226</v>
      </c>
      <c r="P525" s="27" t="str">
        <f aca="false">A525&amp;"|"&amp;N525</f>
        <v>NURSE-03|caution</v>
      </c>
    </row>
    <row r="526" customFormat="false" ht="15" hidden="false" customHeight="true" outlineLevel="0" collapsed="false">
      <c r="A526" s="27" t="s">
        <v>78</v>
      </c>
      <c r="B526" s="41" t="n">
        <v>46303.3347222222</v>
      </c>
      <c r="C526" s="27" t="s">
        <v>200</v>
      </c>
      <c r="D526" s="27" t="n">
        <v>41</v>
      </c>
      <c r="E526" s="27" t="n">
        <v>17.1</v>
      </c>
      <c r="F526" s="27" t="n">
        <v>24.1</v>
      </c>
      <c r="G526" s="27" t="n">
        <v>35.5</v>
      </c>
      <c r="H526" s="27" t="s">
        <v>198</v>
      </c>
      <c r="I526" s="42" t="n">
        <f aca="false">(D526-INDEX('Cohort Summary'!$D$5:$D$14,MATCH($A526,'Cohort Summary'!$A$5:$A$14,0)))/INDEX('Cohort Summary'!$E$5:$E$14,MATCH($A526,'Cohort Summary'!$A$5:$A$14,0))</f>
        <v>1.44285714285714</v>
      </c>
      <c r="J526" s="42" t="n">
        <f aca="false">(E526-INDEX('Cohort Summary'!$F$5:$F$14,MATCH($A526,'Cohort Summary'!$A$5:$A$14,0)))/INDEX('Cohort Summary'!$G$5:$G$14,MATCH($A526,'Cohort Summary'!$A$5:$A$14,0))</f>
        <v>-0.543778801843318</v>
      </c>
      <c r="K526" s="42" t="n">
        <f aca="false">(F526-INDEX('Cohort Summary'!$H$5:$H$14,MATCH($A526,'Cohort Summary'!$A$5:$A$14,0)))/INDEX('Cohort Summary'!$I$5:$I$14,MATCH($A526,'Cohort Summary'!$A$5:$A$14,0))</f>
        <v>-1.29241877256318</v>
      </c>
      <c r="L526" s="42" t="n">
        <f aca="false">(G526-INDEX('Cohort Summary'!$J$5:$J$14,MATCH($A526,'Cohort Summary'!$A$5:$A$14,0)))/INDEX('Cohort Summary'!$K$5:$K$14,MATCH($A526,'Cohort Summary'!$A$5:$A$14,0))</f>
        <v>3.80701754385965</v>
      </c>
      <c r="M526" s="42" t="n">
        <f aca="false">MAX(I526:K526)</f>
        <v>1.44285714285714</v>
      </c>
      <c r="N526" s="27" t="s">
        <v>201</v>
      </c>
      <c r="O526" s="27" t="s">
        <v>227</v>
      </c>
      <c r="P526" s="27" t="str">
        <f aca="false">A526&amp;"|"&amp;N526</f>
        <v>NURSE-03|caution</v>
      </c>
    </row>
    <row r="527" customFormat="false" ht="15" hidden="false" customHeight="true" outlineLevel="0" collapsed="false">
      <c r="A527" s="27" t="s">
        <v>78</v>
      </c>
      <c r="B527" s="41" t="n">
        <v>46303.3350694445</v>
      </c>
      <c r="C527" s="27" t="s">
        <v>200</v>
      </c>
      <c r="D527" s="27" t="n">
        <v>33.6</v>
      </c>
      <c r="E527" s="27" t="n">
        <v>18.1</v>
      </c>
      <c r="F527" s="27" t="n">
        <v>28.7</v>
      </c>
      <c r="G527" s="27" t="n">
        <v>35.5</v>
      </c>
      <c r="H527" s="27" t="s">
        <v>196</v>
      </c>
      <c r="I527" s="42" t="n">
        <f aca="false">(D527-INDEX('Cohort Summary'!$D$5:$D$14,MATCH($A527,'Cohort Summary'!$A$5:$A$14,0)))/INDEX('Cohort Summary'!$E$5:$E$14,MATCH($A527,'Cohort Summary'!$A$5:$A$14,0))</f>
        <v>-1.2</v>
      </c>
      <c r="J527" s="42" t="n">
        <f aca="false">(E527-INDEX('Cohort Summary'!$F$5:$F$14,MATCH($A527,'Cohort Summary'!$A$5:$A$14,0)))/INDEX('Cohort Summary'!$G$5:$G$14,MATCH($A527,'Cohort Summary'!$A$5:$A$14,0))</f>
        <v>-0.0829493087557603</v>
      </c>
      <c r="K527" s="42" t="n">
        <f aca="false">(F527-INDEX('Cohort Summary'!$H$5:$H$14,MATCH($A527,'Cohort Summary'!$A$5:$A$14,0)))/INDEX('Cohort Summary'!$I$5:$I$14,MATCH($A527,'Cohort Summary'!$A$5:$A$14,0))</f>
        <v>0.368231046931408</v>
      </c>
      <c r="L527" s="42" t="n">
        <f aca="false">(G527-INDEX('Cohort Summary'!$J$5:$J$14,MATCH($A527,'Cohort Summary'!$A$5:$A$14,0)))/INDEX('Cohort Summary'!$K$5:$K$14,MATCH($A527,'Cohort Summary'!$A$5:$A$14,0))</f>
        <v>3.80701754385965</v>
      </c>
      <c r="M527" s="42" t="n">
        <f aca="false">MAX(I527:K527)</f>
        <v>0.368231046931408</v>
      </c>
      <c r="N527" s="27" t="s">
        <v>201</v>
      </c>
      <c r="O527" s="27" t="s">
        <v>227</v>
      </c>
      <c r="P527" s="27" t="str">
        <f aca="false">A527&amp;"|"&amp;N527</f>
        <v>NURSE-03|caution</v>
      </c>
    </row>
    <row r="528" customFormat="false" ht="15" hidden="false" customHeight="true" outlineLevel="0" collapsed="false">
      <c r="A528" s="27" t="s">
        <v>78</v>
      </c>
      <c r="B528" s="41" t="n">
        <v>46303.3354166667</v>
      </c>
      <c r="C528" s="27" t="s">
        <v>200</v>
      </c>
      <c r="D528" s="27" t="n">
        <v>32.7</v>
      </c>
      <c r="E528" s="27" t="n">
        <v>15.1</v>
      </c>
      <c r="F528" s="27" t="n">
        <v>32.9</v>
      </c>
      <c r="G528" s="27" t="n">
        <v>36.4</v>
      </c>
      <c r="H528" s="27" t="s">
        <v>198</v>
      </c>
      <c r="I528" s="42" t="n">
        <f aca="false">(D528-INDEX('Cohort Summary'!$D$5:$D$14,MATCH($A528,'Cohort Summary'!$A$5:$A$14,0)))/INDEX('Cohort Summary'!$E$5:$E$14,MATCH($A528,'Cohort Summary'!$A$5:$A$14,0))</f>
        <v>-1.52142857142857</v>
      </c>
      <c r="J528" s="42" t="n">
        <f aca="false">(E528-INDEX('Cohort Summary'!$F$5:$F$14,MATCH($A528,'Cohort Summary'!$A$5:$A$14,0)))/INDEX('Cohort Summary'!$G$5:$G$14,MATCH($A528,'Cohort Summary'!$A$5:$A$14,0))</f>
        <v>-1.46543778801843</v>
      </c>
      <c r="K528" s="42" t="n">
        <f aca="false">(F528-INDEX('Cohort Summary'!$H$5:$H$14,MATCH($A528,'Cohort Summary'!$A$5:$A$14,0)))/INDEX('Cohort Summary'!$I$5:$I$14,MATCH($A528,'Cohort Summary'!$A$5:$A$14,0))</f>
        <v>1.88447653429603</v>
      </c>
      <c r="L528" s="42" t="n">
        <f aca="false">(G528-INDEX('Cohort Summary'!$J$5:$J$14,MATCH($A528,'Cohort Summary'!$A$5:$A$14,0)))/INDEX('Cohort Summary'!$K$5:$K$14,MATCH($A528,'Cohort Summary'!$A$5:$A$14,0))</f>
        <v>5.3859649122807</v>
      </c>
      <c r="M528" s="42" t="n">
        <f aca="false">MAX(I528:K528)</f>
        <v>1.88447653429603</v>
      </c>
      <c r="N528" s="27" t="s">
        <v>201</v>
      </c>
      <c r="O528" s="27" t="s">
        <v>225</v>
      </c>
      <c r="P528" s="27" t="str">
        <f aca="false">A528&amp;"|"&amp;N528</f>
        <v>NURSE-03|caution</v>
      </c>
    </row>
    <row r="529" customFormat="false" ht="15" hidden="false" customHeight="true" outlineLevel="0" collapsed="false">
      <c r="A529" s="27" t="s">
        <v>78</v>
      </c>
      <c r="B529" s="41" t="n">
        <v>46303.3357638889</v>
      </c>
      <c r="C529" s="27" t="s">
        <v>200</v>
      </c>
      <c r="D529" s="27" t="n">
        <v>39.5</v>
      </c>
      <c r="E529" s="27" t="n">
        <v>17.3</v>
      </c>
      <c r="F529" s="27" t="n">
        <v>30.4</v>
      </c>
      <c r="G529" s="27" t="n">
        <v>32.8</v>
      </c>
      <c r="H529" s="27" t="s">
        <v>196</v>
      </c>
      <c r="I529" s="42" t="n">
        <f aca="false">(D529-INDEX('Cohort Summary'!$D$5:$D$14,MATCH($A529,'Cohort Summary'!$A$5:$A$14,0)))/INDEX('Cohort Summary'!$E$5:$E$14,MATCH($A529,'Cohort Summary'!$A$5:$A$14,0))</f>
        <v>0.907142857142857</v>
      </c>
      <c r="J529" s="42" t="n">
        <f aca="false">(E529-INDEX('Cohort Summary'!$F$5:$F$14,MATCH($A529,'Cohort Summary'!$A$5:$A$14,0)))/INDEX('Cohort Summary'!$G$5:$G$14,MATCH($A529,'Cohort Summary'!$A$5:$A$14,0))</f>
        <v>-0.451612903225807</v>
      </c>
      <c r="K529" s="42" t="n">
        <f aca="false">(F529-INDEX('Cohort Summary'!$H$5:$H$14,MATCH($A529,'Cohort Summary'!$A$5:$A$14,0)))/INDEX('Cohort Summary'!$I$5:$I$14,MATCH($A529,'Cohort Summary'!$A$5:$A$14,0))</f>
        <v>0.981949458483754</v>
      </c>
      <c r="L529" s="42" t="n">
        <f aca="false">(G529-INDEX('Cohort Summary'!$J$5:$J$14,MATCH($A529,'Cohort Summary'!$A$5:$A$14,0)))/INDEX('Cohort Summary'!$K$5:$K$14,MATCH($A529,'Cohort Summary'!$A$5:$A$14,0))</f>
        <v>-0.929824561403511</v>
      </c>
      <c r="M529" s="42" t="n">
        <f aca="false">MAX(I529:K529)</f>
        <v>0.981949458483754</v>
      </c>
      <c r="N529" s="27" t="s">
        <v>197</v>
      </c>
      <c r="O529" s="27"/>
      <c r="P529" s="27" t="str">
        <f aca="false">A529&amp;"|"&amp;N529</f>
        <v>NURSE-03|normal</v>
      </c>
    </row>
    <row r="530" customFormat="false" ht="15" hidden="false" customHeight="true" outlineLevel="0" collapsed="false">
      <c r="A530" s="27" t="s">
        <v>78</v>
      </c>
      <c r="B530" s="41" t="n">
        <v>46303.3361111111</v>
      </c>
      <c r="C530" s="27" t="s">
        <v>200</v>
      </c>
      <c r="D530" s="27" t="n">
        <v>36.9</v>
      </c>
      <c r="E530" s="27" t="n">
        <v>18</v>
      </c>
      <c r="F530" s="27" t="n">
        <v>24.9</v>
      </c>
      <c r="G530" s="27" t="n">
        <v>33.4</v>
      </c>
      <c r="H530" s="27" t="s">
        <v>198</v>
      </c>
      <c r="I530" s="42" t="n">
        <f aca="false">(D530-INDEX('Cohort Summary'!$D$5:$D$14,MATCH($A530,'Cohort Summary'!$A$5:$A$14,0)))/INDEX('Cohort Summary'!$E$5:$E$14,MATCH($A530,'Cohort Summary'!$A$5:$A$14,0))</f>
        <v>-0.0214285714285722</v>
      </c>
      <c r="J530" s="42" t="n">
        <f aca="false">(E530-INDEX('Cohort Summary'!$F$5:$F$14,MATCH($A530,'Cohort Summary'!$A$5:$A$14,0)))/INDEX('Cohort Summary'!$G$5:$G$14,MATCH($A530,'Cohort Summary'!$A$5:$A$14,0))</f>
        <v>-0.129032258064517</v>
      </c>
      <c r="K530" s="42" t="n">
        <f aca="false">(F530-INDEX('Cohort Summary'!$H$5:$H$14,MATCH($A530,'Cohort Summary'!$A$5:$A$14,0)))/INDEX('Cohort Summary'!$I$5:$I$14,MATCH($A530,'Cohort Summary'!$A$5:$A$14,0))</f>
        <v>-1.00361010830325</v>
      </c>
      <c r="L530" s="42" t="n">
        <f aca="false">(G530-INDEX('Cohort Summary'!$J$5:$J$14,MATCH($A530,'Cohort Summary'!$A$5:$A$14,0)))/INDEX('Cohort Summary'!$K$5:$K$14,MATCH($A530,'Cohort Summary'!$A$5:$A$14,0))</f>
        <v>0.12280701754386</v>
      </c>
      <c r="M530" s="42" t="n">
        <f aca="false">MAX(I530:K530)</f>
        <v>-0.0214285714285722</v>
      </c>
      <c r="N530" s="27" t="s">
        <v>197</v>
      </c>
      <c r="O530" s="27"/>
      <c r="P530" s="27" t="str">
        <f aca="false">A530&amp;"|"&amp;N530</f>
        <v>NURSE-03|normal</v>
      </c>
    </row>
    <row r="531" customFormat="false" ht="15" hidden="false" customHeight="true" outlineLevel="0" collapsed="false">
      <c r="A531" s="27" t="s">
        <v>78</v>
      </c>
      <c r="B531" s="41" t="n">
        <v>46303.3364583333</v>
      </c>
      <c r="C531" s="27" t="s">
        <v>200</v>
      </c>
      <c r="D531" s="27" t="n">
        <v>35.6</v>
      </c>
      <c r="E531" s="27" t="n">
        <v>15.6</v>
      </c>
      <c r="F531" s="27" t="n">
        <v>25.9</v>
      </c>
      <c r="G531" s="27" t="n">
        <v>33.5</v>
      </c>
      <c r="H531" s="27" t="s">
        <v>196</v>
      </c>
      <c r="I531" s="42" t="n">
        <f aca="false">(D531-INDEX('Cohort Summary'!$D$5:$D$14,MATCH($A531,'Cohort Summary'!$A$5:$A$14,0)))/INDEX('Cohort Summary'!$E$5:$E$14,MATCH($A531,'Cohort Summary'!$A$5:$A$14,0))</f>
        <v>-0.485714285714286</v>
      </c>
      <c r="J531" s="42" t="n">
        <f aca="false">(E531-INDEX('Cohort Summary'!$F$5:$F$14,MATCH($A531,'Cohort Summary'!$A$5:$A$14,0)))/INDEX('Cohort Summary'!$G$5:$G$14,MATCH($A531,'Cohort Summary'!$A$5:$A$14,0))</f>
        <v>-1.23502304147466</v>
      </c>
      <c r="K531" s="42" t="n">
        <f aca="false">(F531-INDEX('Cohort Summary'!$H$5:$H$14,MATCH($A531,'Cohort Summary'!$A$5:$A$14,0)))/INDEX('Cohort Summary'!$I$5:$I$14,MATCH($A531,'Cohort Summary'!$A$5:$A$14,0))</f>
        <v>-0.64259927797834</v>
      </c>
      <c r="L531" s="42" t="n">
        <f aca="false">(G531-INDEX('Cohort Summary'!$J$5:$J$14,MATCH($A531,'Cohort Summary'!$A$5:$A$14,0)))/INDEX('Cohort Summary'!$K$5:$K$14,MATCH($A531,'Cohort Summary'!$A$5:$A$14,0))</f>
        <v>0.298245614035091</v>
      </c>
      <c r="M531" s="42" t="n">
        <f aca="false">MAX(I531:K531)</f>
        <v>-0.485714285714286</v>
      </c>
      <c r="N531" s="27" t="s">
        <v>197</v>
      </c>
      <c r="O531" s="27"/>
      <c r="P531" s="27" t="str">
        <f aca="false">A531&amp;"|"&amp;N531</f>
        <v>NURSE-03|normal</v>
      </c>
    </row>
    <row r="532" customFormat="false" ht="15" hidden="false" customHeight="true" outlineLevel="0" collapsed="false">
      <c r="A532" s="27" t="s">
        <v>78</v>
      </c>
      <c r="B532" s="41" t="n">
        <v>46303.3368055556</v>
      </c>
      <c r="C532" s="27" t="s">
        <v>200</v>
      </c>
      <c r="D532" s="27" t="n">
        <v>38.5</v>
      </c>
      <c r="E532" s="27" t="n">
        <v>16.8</v>
      </c>
      <c r="F532" s="27" t="n">
        <v>25.5</v>
      </c>
      <c r="G532" s="27" t="n">
        <v>32.6</v>
      </c>
      <c r="H532" s="27" t="s">
        <v>198</v>
      </c>
      <c r="I532" s="42" t="n">
        <f aca="false">(D532-INDEX('Cohort Summary'!$D$5:$D$14,MATCH($A532,'Cohort Summary'!$A$5:$A$14,0)))/INDEX('Cohort Summary'!$E$5:$E$14,MATCH($A532,'Cohort Summary'!$A$5:$A$14,0))</f>
        <v>0.55</v>
      </c>
      <c r="J532" s="42" t="n">
        <f aca="false">(E532-INDEX('Cohort Summary'!$F$5:$F$14,MATCH($A532,'Cohort Summary'!$A$5:$A$14,0)))/INDEX('Cohort Summary'!$G$5:$G$14,MATCH($A532,'Cohort Summary'!$A$5:$A$14,0))</f>
        <v>-0.682027649769586</v>
      </c>
      <c r="K532" s="42" t="n">
        <f aca="false">(F532-INDEX('Cohort Summary'!$H$5:$H$14,MATCH($A532,'Cohort Summary'!$A$5:$A$14,0)))/INDEX('Cohort Summary'!$I$5:$I$14,MATCH($A532,'Cohort Summary'!$A$5:$A$14,0))</f>
        <v>-0.787003610108303</v>
      </c>
      <c r="L532" s="42" t="n">
        <f aca="false">(G532-INDEX('Cohort Summary'!$J$5:$J$14,MATCH($A532,'Cohort Summary'!$A$5:$A$14,0)))/INDEX('Cohort Summary'!$K$5:$K$14,MATCH($A532,'Cohort Summary'!$A$5:$A$14,0))</f>
        <v>-1.28070175438596</v>
      </c>
      <c r="M532" s="42" t="n">
        <f aca="false">MAX(I532:K532)</f>
        <v>0.55</v>
      </c>
      <c r="N532" s="27" t="s">
        <v>197</v>
      </c>
      <c r="O532" s="27"/>
      <c r="P532" s="27" t="str">
        <f aca="false">A532&amp;"|"&amp;N532</f>
        <v>NURSE-03|normal</v>
      </c>
    </row>
    <row r="533" customFormat="false" ht="15" hidden="false" customHeight="true" outlineLevel="0" collapsed="false">
      <c r="A533" s="27" t="s">
        <v>78</v>
      </c>
      <c r="B533" s="41" t="n">
        <v>46303.3371527778</v>
      </c>
      <c r="C533" s="27" t="s">
        <v>200</v>
      </c>
      <c r="D533" s="27" t="n">
        <v>32.3</v>
      </c>
      <c r="E533" s="27" t="n">
        <v>17.8</v>
      </c>
      <c r="F533" s="27" t="n">
        <v>24.5</v>
      </c>
      <c r="G533" s="27" t="n">
        <v>33</v>
      </c>
      <c r="H533" s="27" t="s">
        <v>196</v>
      </c>
      <c r="I533" s="42" t="n">
        <f aca="false">(D533-INDEX('Cohort Summary'!$D$5:$D$14,MATCH($A533,'Cohort Summary'!$A$5:$A$14,0)))/INDEX('Cohort Summary'!$E$5:$E$14,MATCH($A533,'Cohort Summary'!$A$5:$A$14,0))</f>
        <v>-1.66428571428572</v>
      </c>
      <c r="J533" s="42" t="n">
        <f aca="false">(E533-INDEX('Cohort Summary'!$F$5:$F$14,MATCH($A533,'Cohort Summary'!$A$5:$A$14,0)))/INDEX('Cohort Summary'!$G$5:$G$14,MATCH($A533,'Cohort Summary'!$A$5:$A$14,0))</f>
        <v>-0.221198156682028</v>
      </c>
      <c r="K533" s="42" t="n">
        <f aca="false">(F533-INDEX('Cohort Summary'!$H$5:$H$14,MATCH($A533,'Cohort Summary'!$A$5:$A$14,0)))/INDEX('Cohort Summary'!$I$5:$I$14,MATCH($A533,'Cohort Summary'!$A$5:$A$14,0))</f>
        <v>-1.14801444043321</v>
      </c>
      <c r="L533" s="42" t="n">
        <f aca="false">(G533-INDEX('Cohort Summary'!$J$5:$J$14,MATCH($A533,'Cohort Summary'!$A$5:$A$14,0)))/INDEX('Cohort Summary'!$K$5:$K$14,MATCH($A533,'Cohort Summary'!$A$5:$A$14,0))</f>
        <v>-0.57894736842105</v>
      </c>
      <c r="M533" s="42" t="n">
        <f aca="false">MAX(I533:K533)</f>
        <v>-0.221198156682028</v>
      </c>
      <c r="N533" s="27" t="s">
        <v>197</v>
      </c>
      <c r="O533" s="27"/>
      <c r="P533" s="27" t="str">
        <f aca="false">A533&amp;"|"&amp;N533</f>
        <v>NURSE-03|normal</v>
      </c>
    </row>
    <row r="534" customFormat="false" ht="15" hidden="false" customHeight="true" outlineLevel="0" collapsed="false">
      <c r="A534" s="27" t="s">
        <v>78</v>
      </c>
      <c r="B534" s="41" t="n">
        <v>46303.3375</v>
      </c>
      <c r="C534" s="27" t="s">
        <v>200</v>
      </c>
      <c r="D534" s="27" t="n">
        <v>37.3</v>
      </c>
      <c r="E534" s="27" t="n">
        <v>21.3</v>
      </c>
      <c r="F534" s="27" t="n">
        <v>29.8</v>
      </c>
      <c r="G534" s="27" t="n">
        <v>32.5</v>
      </c>
      <c r="H534" s="27" t="s">
        <v>196</v>
      </c>
      <c r="I534" s="42" t="n">
        <f aca="false">(D534-INDEX('Cohort Summary'!$D$5:$D$14,MATCH($A534,'Cohort Summary'!$A$5:$A$14,0)))/INDEX('Cohort Summary'!$E$5:$E$14,MATCH($A534,'Cohort Summary'!$A$5:$A$14,0))</f>
        <v>0.12142857142857</v>
      </c>
      <c r="J534" s="42" t="n">
        <f aca="false">(E534-INDEX('Cohort Summary'!$F$5:$F$14,MATCH($A534,'Cohort Summary'!$A$5:$A$14,0)))/INDEX('Cohort Summary'!$G$5:$G$14,MATCH($A534,'Cohort Summary'!$A$5:$A$14,0))</f>
        <v>1.39170506912442</v>
      </c>
      <c r="K534" s="42" t="n">
        <f aca="false">(F534-INDEX('Cohort Summary'!$H$5:$H$14,MATCH($A534,'Cohort Summary'!$A$5:$A$14,0)))/INDEX('Cohort Summary'!$I$5:$I$14,MATCH($A534,'Cohort Summary'!$A$5:$A$14,0))</f>
        <v>0.765342960288809</v>
      </c>
      <c r="L534" s="42" t="n">
        <f aca="false">(G534-INDEX('Cohort Summary'!$J$5:$J$14,MATCH($A534,'Cohort Summary'!$A$5:$A$14,0)))/INDEX('Cohort Summary'!$K$5:$K$14,MATCH($A534,'Cohort Summary'!$A$5:$A$14,0))</f>
        <v>-1.45614035087719</v>
      </c>
      <c r="M534" s="42" t="n">
        <f aca="false">MAX(I534:K534)</f>
        <v>1.39170506912442</v>
      </c>
      <c r="N534" s="27" t="s">
        <v>197</v>
      </c>
      <c r="O534" s="27"/>
      <c r="P534" s="27" t="str">
        <f aca="false">A534&amp;"|"&amp;N534</f>
        <v>NURSE-03|normal</v>
      </c>
    </row>
    <row r="535" customFormat="false" ht="15" hidden="false" customHeight="true" outlineLevel="0" collapsed="false">
      <c r="A535" s="27" t="s">
        <v>78</v>
      </c>
      <c r="B535" s="41" t="n">
        <v>46303.3378472222</v>
      </c>
      <c r="C535" s="27" t="s">
        <v>200</v>
      </c>
      <c r="D535" s="27" t="n">
        <v>40.3</v>
      </c>
      <c r="E535" s="27" t="n">
        <v>20.2</v>
      </c>
      <c r="F535" s="27" t="n">
        <v>26.3</v>
      </c>
      <c r="G535" s="27" t="n">
        <v>32.7</v>
      </c>
      <c r="H535" s="27" t="s">
        <v>199</v>
      </c>
      <c r="I535" s="42" t="n">
        <f aca="false">(D535-INDEX('Cohort Summary'!$D$5:$D$14,MATCH($A535,'Cohort Summary'!$A$5:$A$14,0)))/INDEX('Cohort Summary'!$E$5:$E$14,MATCH($A535,'Cohort Summary'!$A$5:$A$14,0))</f>
        <v>1.19285714285714</v>
      </c>
      <c r="J535" s="42" t="n">
        <f aca="false">(E535-INDEX('Cohort Summary'!$F$5:$F$14,MATCH($A535,'Cohort Summary'!$A$5:$A$14,0)))/INDEX('Cohort Summary'!$G$5:$G$14,MATCH($A535,'Cohort Summary'!$A$5:$A$14,0))</f>
        <v>0.88479262672811</v>
      </c>
      <c r="K535" s="42" t="n">
        <f aca="false">(F535-INDEX('Cohort Summary'!$H$5:$H$14,MATCH($A535,'Cohort Summary'!$A$5:$A$14,0)))/INDEX('Cohort Summary'!$I$5:$I$14,MATCH($A535,'Cohort Summary'!$A$5:$A$14,0))</f>
        <v>-0.498194945848375</v>
      </c>
      <c r="L535" s="42" t="n">
        <f aca="false">(G535-INDEX('Cohort Summary'!$J$5:$J$14,MATCH($A535,'Cohort Summary'!$A$5:$A$14,0)))/INDEX('Cohort Summary'!$K$5:$K$14,MATCH($A535,'Cohort Summary'!$A$5:$A$14,0))</f>
        <v>-1.10526315789473</v>
      </c>
      <c r="M535" s="42" t="n">
        <f aca="false">MAX(I535:K535)</f>
        <v>1.19285714285714</v>
      </c>
      <c r="N535" s="27" t="s">
        <v>197</v>
      </c>
      <c r="O535" s="27"/>
      <c r="P535" s="27" t="str">
        <f aca="false">A535&amp;"|"&amp;N535</f>
        <v>NURSE-03|normal</v>
      </c>
    </row>
    <row r="536" customFormat="false" ht="15" hidden="false" customHeight="true" outlineLevel="0" collapsed="false">
      <c r="A536" s="27" t="s">
        <v>78</v>
      </c>
      <c r="B536" s="41" t="n">
        <v>46303.3381944444</v>
      </c>
      <c r="C536" s="27" t="s">
        <v>200</v>
      </c>
      <c r="D536" s="27" t="n">
        <v>35.2</v>
      </c>
      <c r="E536" s="27" t="n">
        <v>17.6</v>
      </c>
      <c r="F536" s="27" t="n">
        <v>28.5</v>
      </c>
      <c r="G536" s="27" t="n">
        <v>33</v>
      </c>
      <c r="H536" s="27" t="s">
        <v>199</v>
      </c>
      <c r="I536" s="42" t="n">
        <f aca="false">(D536-INDEX('Cohort Summary'!$D$5:$D$14,MATCH($A536,'Cohort Summary'!$A$5:$A$14,0)))/INDEX('Cohort Summary'!$E$5:$E$14,MATCH($A536,'Cohort Summary'!$A$5:$A$14,0))</f>
        <v>-0.628571428571428</v>
      </c>
      <c r="J536" s="42" t="n">
        <f aca="false">(E536-INDEX('Cohort Summary'!$F$5:$F$14,MATCH($A536,'Cohort Summary'!$A$5:$A$14,0)))/INDEX('Cohort Summary'!$G$5:$G$14,MATCH($A536,'Cohort Summary'!$A$5:$A$14,0))</f>
        <v>-0.313364055299539</v>
      </c>
      <c r="K536" s="42" t="n">
        <f aca="false">(F536-INDEX('Cohort Summary'!$H$5:$H$14,MATCH($A536,'Cohort Summary'!$A$5:$A$14,0)))/INDEX('Cohort Summary'!$I$5:$I$14,MATCH($A536,'Cohort Summary'!$A$5:$A$14,0))</f>
        <v>0.296028880866426</v>
      </c>
      <c r="L536" s="42" t="n">
        <f aca="false">(G536-INDEX('Cohort Summary'!$J$5:$J$14,MATCH($A536,'Cohort Summary'!$A$5:$A$14,0)))/INDEX('Cohort Summary'!$K$5:$K$14,MATCH($A536,'Cohort Summary'!$A$5:$A$14,0))</f>
        <v>-0.57894736842105</v>
      </c>
      <c r="M536" s="42" t="n">
        <f aca="false">MAX(I536:K536)</f>
        <v>0.296028880866426</v>
      </c>
      <c r="N536" s="27" t="s">
        <v>197</v>
      </c>
      <c r="O536" s="27"/>
      <c r="P536" s="27" t="str">
        <f aca="false">A536&amp;"|"&amp;N536</f>
        <v>NURSE-03|normal</v>
      </c>
    </row>
    <row r="537" customFormat="false" ht="15" hidden="false" customHeight="true" outlineLevel="0" collapsed="false">
      <c r="A537" s="27" t="s">
        <v>78</v>
      </c>
      <c r="B537" s="41" t="n">
        <v>46303.3385416667</v>
      </c>
      <c r="C537" s="27" t="s">
        <v>200</v>
      </c>
      <c r="D537" s="27" t="n">
        <v>34.4</v>
      </c>
      <c r="E537" s="27" t="n">
        <v>15.3</v>
      </c>
      <c r="F537" s="27" t="n">
        <v>28.7</v>
      </c>
      <c r="G537" s="27" t="n">
        <v>33.6</v>
      </c>
      <c r="H537" s="27" t="s">
        <v>196</v>
      </c>
      <c r="I537" s="42" t="n">
        <f aca="false">(D537-INDEX('Cohort Summary'!$D$5:$D$14,MATCH($A537,'Cohort Summary'!$A$5:$A$14,0)))/INDEX('Cohort Summary'!$E$5:$E$14,MATCH($A537,'Cohort Summary'!$A$5:$A$14,0))</f>
        <v>-0.914285714285715</v>
      </c>
      <c r="J537" s="42" t="n">
        <f aca="false">(E537-INDEX('Cohort Summary'!$F$5:$F$14,MATCH($A537,'Cohort Summary'!$A$5:$A$14,0)))/INDEX('Cohort Summary'!$G$5:$G$14,MATCH($A537,'Cohort Summary'!$A$5:$A$14,0))</f>
        <v>-1.37327188940092</v>
      </c>
      <c r="K537" s="42" t="n">
        <f aca="false">(F537-INDEX('Cohort Summary'!$H$5:$H$14,MATCH($A537,'Cohort Summary'!$A$5:$A$14,0)))/INDEX('Cohort Summary'!$I$5:$I$14,MATCH($A537,'Cohort Summary'!$A$5:$A$14,0))</f>
        <v>0.368231046931408</v>
      </c>
      <c r="L537" s="42" t="n">
        <f aca="false">(G537-INDEX('Cohort Summary'!$J$5:$J$14,MATCH($A537,'Cohort Summary'!$A$5:$A$14,0)))/INDEX('Cohort Summary'!$K$5:$K$14,MATCH($A537,'Cohort Summary'!$A$5:$A$14,0))</f>
        <v>0.473684210526321</v>
      </c>
      <c r="M537" s="42" t="n">
        <f aca="false">MAX(I537:K537)</f>
        <v>0.368231046931408</v>
      </c>
      <c r="N537" s="27" t="s">
        <v>197</v>
      </c>
      <c r="O537" s="27"/>
      <c r="P537" s="27" t="str">
        <f aca="false">A537&amp;"|"&amp;N537</f>
        <v>NURSE-03|normal</v>
      </c>
    </row>
    <row r="538" customFormat="false" ht="15" hidden="false" customHeight="true" outlineLevel="0" collapsed="false">
      <c r="A538" s="27" t="s">
        <v>78</v>
      </c>
      <c r="B538" s="41" t="n">
        <v>46303.3388888889</v>
      </c>
      <c r="C538" s="27" t="s">
        <v>200</v>
      </c>
      <c r="D538" s="27" t="n">
        <v>36</v>
      </c>
      <c r="E538" s="27" t="n">
        <v>15.4</v>
      </c>
      <c r="F538" s="27" t="n">
        <v>25.2</v>
      </c>
      <c r="G538" s="27" t="n">
        <v>33.1</v>
      </c>
      <c r="H538" s="27" t="s">
        <v>196</v>
      </c>
      <c r="I538" s="42" t="n">
        <f aca="false">(D538-INDEX('Cohort Summary'!$D$5:$D$14,MATCH($A538,'Cohort Summary'!$A$5:$A$14,0)))/INDEX('Cohort Summary'!$E$5:$E$14,MATCH($A538,'Cohort Summary'!$A$5:$A$14,0))</f>
        <v>-0.342857142857143</v>
      </c>
      <c r="J538" s="42" t="n">
        <f aca="false">(E538-INDEX('Cohort Summary'!$F$5:$F$14,MATCH($A538,'Cohort Summary'!$A$5:$A$14,0)))/INDEX('Cohort Summary'!$G$5:$G$14,MATCH($A538,'Cohort Summary'!$A$5:$A$14,0))</f>
        <v>-1.32718894009217</v>
      </c>
      <c r="K538" s="42" t="n">
        <f aca="false">(F538-INDEX('Cohort Summary'!$H$5:$H$14,MATCH($A538,'Cohort Summary'!$A$5:$A$14,0)))/INDEX('Cohort Summary'!$I$5:$I$14,MATCH($A538,'Cohort Summary'!$A$5:$A$14,0))</f>
        <v>-0.895306859205776</v>
      </c>
      <c r="L538" s="42" t="n">
        <f aca="false">(G538-INDEX('Cohort Summary'!$J$5:$J$14,MATCH($A538,'Cohort Summary'!$A$5:$A$14,0)))/INDEX('Cohort Summary'!$K$5:$K$14,MATCH($A538,'Cohort Summary'!$A$5:$A$14,0))</f>
        <v>-0.403508771929819</v>
      </c>
      <c r="M538" s="42" t="n">
        <f aca="false">MAX(I538:K538)</f>
        <v>-0.342857142857143</v>
      </c>
      <c r="N538" s="27" t="s">
        <v>197</v>
      </c>
      <c r="O538" s="27"/>
      <c r="P538" s="27" t="str">
        <f aca="false">A538&amp;"|"&amp;N538</f>
        <v>NURSE-03|normal</v>
      </c>
    </row>
    <row r="539" customFormat="false" ht="15" hidden="false" customHeight="true" outlineLevel="0" collapsed="false">
      <c r="A539" s="27" t="s">
        <v>78</v>
      </c>
      <c r="B539" s="41" t="n">
        <v>46303.3392361111</v>
      </c>
      <c r="C539" s="27" t="s">
        <v>200</v>
      </c>
      <c r="D539" s="27" t="n">
        <v>33.6</v>
      </c>
      <c r="E539" s="27" t="n">
        <v>17.1</v>
      </c>
      <c r="F539" s="27" t="n">
        <v>28.8</v>
      </c>
      <c r="G539" s="27" t="n">
        <v>32.5</v>
      </c>
      <c r="H539" s="27" t="s">
        <v>196</v>
      </c>
      <c r="I539" s="42" t="n">
        <f aca="false">(D539-INDEX('Cohort Summary'!$D$5:$D$14,MATCH($A539,'Cohort Summary'!$A$5:$A$14,0)))/INDEX('Cohort Summary'!$E$5:$E$14,MATCH($A539,'Cohort Summary'!$A$5:$A$14,0))</f>
        <v>-1.2</v>
      </c>
      <c r="J539" s="42" t="n">
        <f aca="false">(E539-INDEX('Cohort Summary'!$F$5:$F$14,MATCH($A539,'Cohort Summary'!$A$5:$A$14,0)))/INDEX('Cohort Summary'!$G$5:$G$14,MATCH($A539,'Cohort Summary'!$A$5:$A$14,0))</f>
        <v>-0.543778801843318</v>
      </c>
      <c r="K539" s="42" t="n">
        <f aca="false">(F539-INDEX('Cohort Summary'!$H$5:$H$14,MATCH($A539,'Cohort Summary'!$A$5:$A$14,0)))/INDEX('Cohort Summary'!$I$5:$I$14,MATCH($A539,'Cohort Summary'!$A$5:$A$14,0))</f>
        <v>0.404332129963899</v>
      </c>
      <c r="L539" s="42" t="n">
        <f aca="false">(G539-INDEX('Cohort Summary'!$J$5:$J$14,MATCH($A539,'Cohort Summary'!$A$5:$A$14,0)))/INDEX('Cohort Summary'!$K$5:$K$14,MATCH($A539,'Cohort Summary'!$A$5:$A$14,0))</f>
        <v>-1.45614035087719</v>
      </c>
      <c r="M539" s="42" t="n">
        <f aca="false">MAX(I539:K539)</f>
        <v>0.404332129963899</v>
      </c>
      <c r="N539" s="27" t="s">
        <v>197</v>
      </c>
      <c r="O539" s="27"/>
      <c r="P539" s="27" t="str">
        <f aca="false">A539&amp;"|"&amp;N539</f>
        <v>NURSE-03|normal</v>
      </c>
    </row>
    <row r="540" customFormat="false" ht="15" hidden="false" customHeight="true" outlineLevel="0" collapsed="false">
      <c r="A540" s="27" t="s">
        <v>78</v>
      </c>
      <c r="B540" s="41" t="n">
        <v>46303.3395833333</v>
      </c>
      <c r="C540" s="27" t="s">
        <v>200</v>
      </c>
      <c r="D540" s="27" t="n">
        <v>34.3</v>
      </c>
      <c r="E540" s="27" t="n">
        <v>16</v>
      </c>
      <c r="F540" s="27" t="n">
        <v>29.4</v>
      </c>
      <c r="G540" s="27" t="n">
        <v>33.1</v>
      </c>
      <c r="H540" s="27" t="s">
        <v>198</v>
      </c>
      <c r="I540" s="42" t="n">
        <f aca="false">(D540-INDEX('Cohort Summary'!$D$5:$D$14,MATCH($A540,'Cohort Summary'!$A$5:$A$14,0)))/INDEX('Cohort Summary'!$E$5:$E$14,MATCH($A540,'Cohort Summary'!$A$5:$A$14,0))</f>
        <v>-0.950000000000001</v>
      </c>
      <c r="J540" s="42" t="n">
        <f aca="false">(E540-INDEX('Cohort Summary'!$F$5:$F$14,MATCH($A540,'Cohort Summary'!$A$5:$A$14,0)))/INDEX('Cohort Summary'!$G$5:$G$14,MATCH($A540,'Cohort Summary'!$A$5:$A$14,0))</f>
        <v>-1.05069124423963</v>
      </c>
      <c r="K540" s="42" t="n">
        <f aca="false">(F540-INDEX('Cohort Summary'!$H$5:$H$14,MATCH($A540,'Cohort Summary'!$A$5:$A$14,0)))/INDEX('Cohort Summary'!$I$5:$I$14,MATCH($A540,'Cohort Summary'!$A$5:$A$14,0))</f>
        <v>0.620938628158844</v>
      </c>
      <c r="L540" s="42" t="n">
        <f aca="false">(G540-INDEX('Cohort Summary'!$J$5:$J$14,MATCH($A540,'Cohort Summary'!$A$5:$A$14,0)))/INDEX('Cohort Summary'!$K$5:$K$14,MATCH($A540,'Cohort Summary'!$A$5:$A$14,0))</f>
        <v>-0.403508771929819</v>
      </c>
      <c r="M540" s="42" t="n">
        <f aca="false">MAX(I540:K540)</f>
        <v>0.620938628158844</v>
      </c>
      <c r="N540" s="27" t="s">
        <v>197</v>
      </c>
      <c r="O540" s="27"/>
      <c r="P540" s="27" t="str">
        <f aca="false">A540&amp;"|"&amp;N540</f>
        <v>NURSE-03|normal</v>
      </c>
    </row>
    <row r="541" customFormat="false" ht="15" hidden="false" customHeight="true" outlineLevel="0" collapsed="false">
      <c r="A541" s="27" t="s">
        <v>78</v>
      </c>
      <c r="B541" s="41" t="n">
        <v>46303.3399305556</v>
      </c>
      <c r="C541" s="27" t="s">
        <v>200</v>
      </c>
      <c r="D541" s="27" t="n">
        <v>40.5</v>
      </c>
      <c r="E541" s="27" t="n">
        <v>18.4</v>
      </c>
      <c r="F541" s="27" t="n">
        <v>25.2</v>
      </c>
      <c r="G541" s="27" t="n">
        <v>33</v>
      </c>
      <c r="H541" s="27" t="s">
        <v>198</v>
      </c>
      <c r="I541" s="42" t="n">
        <f aca="false">(D541-INDEX('Cohort Summary'!$D$5:$D$14,MATCH($A541,'Cohort Summary'!$A$5:$A$14,0)))/INDEX('Cohort Summary'!$E$5:$E$14,MATCH($A541,'Cohort Summary'!$A$5:$A$14,0))</f>
        <v>1.26428571428571</v>
      </c>
      <c r="J541" s="42" t="n">
        <f aca="false">(E541-INDEX('Cohort Summary'!$F$5:$F$14,MATCH($A541,'Cohort Summary'!$A$5:$A$14,0)))/INDEX('Cohort Summary'!$G$5:$G$14,MATCH($A541,'Cohort Summary'!$A$5:$A$14,0))</f>
        <v>0.0552995391705057</v>
      </c>
      <c r="K541" s="42" t="n">
        <f aca="false">(F541-INDEX('Cohort Summary'!$H$5:$H$14,MATCH($A541,'Cohort Summary'!$A$5:$A$14,0)))/INDEX('Cohort Summary'!$I$5:$I$14,MATCH($A541,'Cohort Summary'!$A$5:$A$14,0))</f>
        <v>-0.895306859205776</v>
      </c>
      <c r="L541" s="42" t="n">
        <f aca="false">(G541-INDEX('Cohort Summary'!$J$5:$J$14,MATCH($A541,'Cohort Summary'!$A$5:$A$14,0)))/INDEX('Cohort Summary'!$K$5:$K$14,MATCH($A541,'Cohort Summary'!$A$5:$A$14,0))</f>
        <v>-0.57894736842105</v>
      </c>
      <c r="M541" s="42" t="n">
        <f aca="false">MAX(I541:K541)</f>
        <v>1.26428571428571</v>
      </c>
      <c r="N541" s="27" t="s">
        <v>197</v>
      </c>
      <c r="O541" s="27"/>
      <c r="P541" s="27" t="str">
        <f aca="false">A541&amp;"|"&amp;N541</f>
        <v>NURSE-03|normal</v>
      </c>
    </row>
    <row r="542" customFormat="false" ht="15" hidden="false" customHeight="true" outlineLevel="0" collapsed="false">
      <c r="A542" s="27" t="s">
        <v>78</v>
      </c>
      <c r="B542" s="41" t="n">
        <v>46303.3402777778</v>
      </c>
      <c r="C542" s="27" t="s">
        <v>200</v>
      </c>
      <c r="D542" s="27" t="n">
        <v>40.4</v>
      </c>
      <c r="E542" s="27" t="n">
        <v>21</v>
      </c>
      <c r="F542" s="27" t="n">
        <v>30.9</v>
      </c>
      <c r="G542" s="27" t="n">
        <v>33.2</v>
      </c>
      <c r="H542" s="27" t="s">
        <v>199</v>
      </c>
      <c r="I542" s="42" t="n">
        <f aca="false">(D542-INDEX('Cohort Summary'!$D$5:$D$14,MATCH($A542,'Cohort Summary'!$A$5:$A$14,0)))/INDEX('Cohort Summary'!$E$5:$E$14,MATCH($A542,'Cohort Summary'!$A$5:$A$14,0))</f>
        <v>1.22857142857143</v>
      </c>
      <c r="J542" s="42" t="n">
        <f aca="false">(E542-INDEX('Cohort Summary'!$F$5:$F$14,MATCH($A542,'Cohort Summary'!$A$5:$A$14,0)))/INDEX('Cohort Summary'!$G$5:$G$14,MATCH($A542,'Cohort Summary'!$A$5:$A$14,0))</f>
        <v>1.25345622119816</v>
      </c>
      <c r="K542" s="42" t="n">
        <f aca="false">(F542-INDEX('Cohort Summary'!$H$5:$H$14,MATCH($A542,'Cohort Summary'!$A$5:$A$14,0)))/INDEX('Cohort Summary'!$I$5:$I$14,MATCH($A542,'Cohort Summary'!$A$5:$A$14,0))</f>
        <v>1.16245487364621</v>
      </c>
      <c r="L542" s="42" t="n">
        <f aca="false">(G542-INDEX('Cohort Summary'!$J$5:$J$14,MATCH($A542,'Cohort Summary'!$A$5:$A$14,0)))/INDEX('Cohort Summary'!$K$5:$K$14,MATCH($A542,'Cohort Summary'!$A$5:$A$14,0))</f>
        <v>-0.228070175438589</v>
      </c>
      <c r="M542" s="42" t="n">
        <f aca="false">MAX(I542:K542)</f>
        <v>1.25345622119816</v>
      </c>
      <c r="N542" s="27" t="s">
        <v>197</v>
      </c>
      <c r="O542" s="27"/>
      <c r="P542" s="27" t="str">
        <f aca="false">A542&amp;"|"&amp;N542</f>
        <v>NURSE-03|normal</v>
      </c>
    </row>
    <row r="543" customFormat="false" ht="15" hidden="false" customHeight="true" outlineLevel="0" collapsed="false">
      <c r="A543" s="27" t="s">
        <v>78</v>
      </c>
      <c r="B543" s="41" t="n">
        <v>46303.340625</v>
      </c>
      <c r="C543" s="27" t="s">
        <v>200</v>
      </c>
      <c r="D543" s="27" t="n">
        <v>32.7</v>
      </c>
      <c r="E543" s="27" t="n">
        <v>15.4</v>
      </c>
      <c r="F543" s="27" t="n">
        <v>30.1</v>
      </c>
      <c r="G543" s="27" t="n">
        <v>34.1</v>
      </c>
      <c r="H543" s="27" t="s">
        <v>198</v>
      </c>
      <c r="I543" s="42" t="n">
        <f aca="false">(D543-INDEX('Cohort Summary'!$D$5:$D$14,MATCH($A543,'Cohort Summary'!$A$5:$A$14,0)))/INDEX('Cohort Summary'!$E$5:$E$14,MATCH($A543,'Cohort Summary'!$A$5:$A$14,0))</f>
        <v>-1.52142857142857</v>
      </c>
      <c r="J543" s="42" t="n">
        <f aca="false">(E543-INDEX('Cohort Summary'!$F$5:$F$14,MATCH($A543,'Cohort Summary'!$A$5:$A$14,0)))/INDEX('Cohort Summary'!$G$5:$G$14,MATCH($A543,'Cohort Summary'!$A$5:$A$14,0))</f>
        <v>-1.32718894009217</v>
      </c>
      <c r="K543" s="42" t="n">
        <f aca="false">(F543-INDEX('Cohort Summary'!$H$5:$H$14,MATCH($A543,'Cohort Summary'!$A$5:$A$14,0)))/INDEX('Cohort Summary'!$I$5:$I$14,MATCH($A543,'Cohort Summary'!$A$5:$A$14,0))</f>
        <v>0.873646209386282</v>
      </c>
      <c r="L543" s="42" t="n">
        <f aca="false">(G543-INDEX('Cohort Summary'!$J$5:$J$14,MATCH($A543,'Cohort Summary'!$A$5:$A$14,0)))/INDEX('Cohort Summary'!$K$5:$K$14,MATCH($A543,'Cohort Summary'!$A$5:$A$14,0))</f>
        <v>1.35087719298246</v>
      </c>
      <c r="M543" s="42" t="n">
        <f aca="false">MAX(I543:K543)</f>
        <v>0.873646209386282</v>
      </c>
      <c r="N543" s="27" t="s">
        <v>197</v>
      </c>
      <c r="O543" s="27"/>
      <c r="P543" s="27" t="str">
        <f aca="false">A543&amp;"|"&amp;N543</f>
        <v>NURSE-03|normal</v>
      </c>
    </row>
    <row r="544" customFormat="false" ht="15" hidden="false" customHeight="true" outlineLevel="0" collapsed="false">
      <c r="A544" s="27" t="s">
        <v>78</v>
      </c>
      <c r="B544" s="41" t="n">
        <v>46303.3409722222</v>
      </c>
      <c r="C544" s="27" t="s">
        <v>200</v>
      </c>
      <c r="D544" s="27" t="n">
        <v>36.4</v>
      </c>
      <c r="E544" s="27" t="n">
        <v>19.7</v>
      </c>
      <c r="F544" s="27" t="n">
        <v>31.3</v>
      </c>
      <c r="G544" s="27" t="n">
        <v>34.1</v>
      </c>
      <c r="H544" s="27" t="s">
        <v>198</v>
      </c>
      <c r="I544" s="42" t="n">
        <f aca="false">(D544-INDEX('Cohort Summary'!$D$5:$D$14,MATCH($A544,'Cohort Summary'!$A$5:$A$14,0)))/INDEX('Cohort Summary'!$E$5:$E$14,MATCH($A544,'Cohort Summary'!$A$5:$A$14,0))</f>
        <v>-0.200000000000001</v>
      </c>
      <c r="J544" s="42" t="n">
        <f aca="false">(E544-INDEX('Cohort Summary'!$F$5:$F$14,MATCH($A544,'Cohort Summary'!$A$5:$A$14,0)))/INDEX('Cohort Summary'!$G$5:$G$14,MATCH($A544,'Cohort Summary'!$A$5:$A$14,0))</f>
        <v>0.654377880184331</v>
      </c>
      <c r="K544" s="42" t="n">
        <f aca="false">(F544-INDEX('Cohort Summary'!$H$5:$H$14,MATCH($A544,'Cohort Summary'!$A$5:$A$14,0)))/INDEX('Cohort Summary'!$I$5:$I$14,MATCH($A544,'Cohort Summary'!$A$5:$A$14,0))</f>
        <v>1.30685920577617</v>
      </c>
      <c r="L544" s="42" t="n">
        <f aca="false">(G544-INDEX('Cohort Summary'!$J$5:$J$14,MATCH($A544,'Cohort Summary'!$A$5:$A$14,0)))/INDEX('Cohort Summary'!$K$5:$K$14,MATCH($A544,'Cohort Summary'!$A$5:$A$14,0))</f>
        <v>1.35087719298246</v>
      </c>
      <c r="M544" s="42" t="n">
        <f aca="false">MAX(I544:K544)</f>
        <v>1.30685920577617</v>
      </c>
      <c r="N544" s="27" t="s">
        <v>197</v>
      </c>
      <c r="O544" s="27"/>
      <c r="P544" s="27" t="str">
        <f aca="false">A544&amp;"|"&amp;N544</f>
        <v>NURSE-03|normal</v>
      </c>
    </row>
    <row r="545" customFormat="false" ht="15" hidden="false" customHeight="true" outlineLevel="0" collapsed="false">
      <c r="A545" s="27" t="s">
        <v>78</v>
      </c>
      <c r="B545" s="41" t="n">
        <v>46303.3413194444</v>
      </c>
      <c r="C545" s="27" t="s">
        <v>200</v>
      </c>
      <c r="D545" s="27" t="n">
        <v>35.8</v>
      </c>
      <c r="E545" s="27" t="n">
        <v>15</v>
      </c>
      <c r="F545" s="27" t="n">
        <v>31</v>
      </c>
      <c r="G545" s="27" t="n">
        <v>33.7</v>
      </c>
      <c r="H545" s="27" t="s">
        <v>196</v>
      </c>
      <c r="I545" s="42" t="n">
        <f aca="false">(D545-INDEX('Cohort Summary'!$D$5:$D$14,MATCH($A545,'Cohort Summary'!$A$5:$A$14,0)))/INDEX('Cohort Summary'!$E$5:$E$14,MATCH($A545,'Cohort Summary'!$A$5:$A$14,0))</f>
        <v>-0.414285714285716</v>
      </c>
      <c r="J545" s="42" t="n">
        <f aca="false">(E545-INDEX('Cohort Summary'!$F$5:$F$14,MATCH($A545,'Cohort Summary'!$A$5:$A$14,0)))/INDEX('Cohort Summary'!$G$5:$G$14,MATCH($A545,'Cohort Summary'!$A$5:$A$14,0))</f>
        <v>-1.51152073732719</v>
      </c>
      <c r="K545" s="42" t="n">
        <f aca="false">(F545-INDEX('Cohort Summary'!$H$5:$H$14,MATCH($A545,'Cohort Summary'!$A$5:$A$14,0)))/INDEX('Cohort Summary'!$I$5:$I$14,MATCH($A545,'Cohort Summary'!$A$5:$A$14,0))</f>
        <v>1.1985559566787</v>
      </c>
      <c r="L545" s="42" t="n">
        <f aca="false">(G545-INDEX('Cohort Summary'!$J$5:$J$14,MATCH($A545,'Cohort Summary'!$A$5:$A$14,0)))/INDEX('Cohort Summary'!$K$5:$K$14,MATCH($A545,'Cohort Summary'!$A$5:$A$14,0))</f>
        <v>0.649122807017552</v>
      </c>
      <c r="M545" s="42" t="n">
        <f aca="false">MAX(I545:K545)</f>
        <v>1.1985559566787</v>
      </c>
      <c r="N545" s="27" t="s">
        <v>197</v>
      </c>
      <c r="O545" s="27"/>
      <c r="P545" s="27" t="str">
        <f aca="false">A545&amp;"|"&amp;N545</f>
        <v>NURSE-03|normal</v>
      </c>
    </row>
    <row r="546" customFormat="false" ht="15" hidden="false" customHeight="true" outlineLevel="0" collapsed="false">
      <c r="A546" s="27" t="s">
        <v>78</v>
      </c>
      <c r="B546" s="41" t="n">
        <v>46303.3416666667</v>
      </c>
      <c r="C546" s="27" t="s">
        <v>200</v>
      </c>
      <c r="D546" s="27" t="n">
        <v>34</v>
      </c>
      <c r="E546" s="27" t="n">
        <v>15.6</v>
      </c>
      <c r="F546" s="27" t="n">
        <v>26.2</v>
      </c>
      <c r="G546" s="27" t="n">
        <v>33.2</v>
      </c>
      <c r="H546" s="27" t="s">
        <v>196</v>
      </c>
      <c r="I546" s="42" t="n">
        <f aca="false">(D546-INDEX('Cohort Summary'!$D$5:$D$14,MATCH($A546,'Cohort Summary'!$A$5:$A$14,0)))/INDEX('Cohort Summary'!$E$5:$E$14,MATCH($A546,'Cohort Summary'!$A$5:$A$14,0))</f>
        <v>-1.05714285714286</v>
      </c>
      <c r="J546" s="42" t="n">
        <f aca="false">(E546-INDEX('Cohort Summary'!$F$5:$F$14,MATCH($A546,'Cohort Summary'!$A$5:$A$14,0)))/INDEX('Cohort Summary'!$G$5:$G$14,MATCH($A546,'Cohort Summary'!$A$5:$A$14,0))</f>
        <v>-1.23502304147466</v>
      </c>
      <c r="K546" s="42" t="n">
        <f aca="false">(F546-INDEX('Cohort Summary'!$H$5:$H$14,MATCH($A546,'Cohort Summary'!$A$5:$A$14,0)))/INDEX('Cohort Summary'!$I$5:$I$14,MATCH($A546,'Cohort Summary'!$A$5:$A$14,0))</f>
        <v>-0.534296028880867</v>
      </c>
      <c r="L546" s="42" t="n">
        <f aca="false">(G546-INDEX('Cohort Summary'!$J$5:$J$14,MATCH($A546,'Cohort Summary'!$A$5:$A$14,0)))/INDEX('Cohort Summary'!$K$5:$K$14,MATCH($A546,'Cohort Summary'!$A$5:$A$14,0))</f>
        <v>-0.228070175438589</v>
      </c>
      <c r="M546" s="42" t="n">
        <f aca="false">MAX(I546:K546)</f>
        <v>-0.534296028880867</v>
      </c>
      <c r="N546" s="27" t="s">
        <v>197</v>
      </c>
      <c r="O546" s="27"/>
      <c r="P546" s="27" t="str">
        <f aca="false">A546&amp;"|"&amp;N546</f>
        <v>NURSE-03|normal</v>
      </c>
    </row>
    <row r="547" customFormat="false" ht="15" hidden="false" customHeight="true" outlineLevel="0" collapsed="false">
      <c r="A547" s="27" t="s">
        <v>78</v>
      </c>
      <c r="B547" s="41" t="n">
        <v>46303.3420138889</v>
      </c>
      <c r="C547" s="27" t="s">
        <v>200</v>
      </c>
      <c r="D547" s="27" t="n">
        <v>41.1</v>
      </c>
      <c r="E547" s="27" t="n">
        <v>21.1</v>
      </c>
      <c r="F547" s="27" t="n">
        <v>32.7</v>
      </c>
      <c r="G547" s="27" t="n">
        <v>34.2</v>
      </c>
      <c r="H547" s="27" t="s">
        <v>196</v>
      </c>
      <c r="I547" s="42" t="n">
        <f aca="false">(D547-INDEX('Cohort Summary'!$D$5:$D$14,MATCH($A547,'Cohort Summary'!$A$5:$A$14,0)))/INDEX('Cohort Summary'!$E$5:$E$14,MATCH($A547,'Cohort Summary'!$A$5:$A$14,0))</f>
        <v>1.47857142857143</v>
      </c>
      <c r="J547" s="42" t="n">
        <f aca="false">(E547-INDEX('Cohort Summary'!$F$5:$F$14,MATCH($A547,'Cohort Summary'!$A$5:$A$14,0)))/INDEX('Cohort Summary'!$G$5:$G$14,MATCH($A547,'Cohort Summary'!$A$5:$A$14,0))</f>
        <v>1.29953917050691</v>
      </c>
      <c r="K547" s="42" t="n">
        <f aca="false">(F547-INDEX('Cohort Summary'!$H$5:$H$14,MATCH($A547,'Cohort Summary'!$A$5:$A$14,0)))/INDEX('Cohort Summary'!$I$5:$I$14,MATCH($A547,'Cohort Summary'!$A$5:$A$14,0))</f>
        <v>1.81227436823105</v>
      </c>
      <c r="L547" s="42" t="n">
        <f aca="false">(G547-INDEX('Cohort Summary'!$J$5:$J$14,MATCH($A547,'Cohort Summary'!$A$5:$A$14,0)))/INDEX('Cohort Summary'!$K$5:$K$14,MATCH($A547,'Cohort Summary'!$A$5:$A$14,0))</f>
        <v>1.52631578947369</v>
      </c>
      <c r="M547" s="42" t="n">
        <f aca="false">MAX(I547:K547)</f>
        <v>1.81227436823105</v>
      </c>
      <c r="N547" s="27" t="s">
        <v>197</v>
      </c>
      <c r="O547" s="27"/>
      <c r="P547" s="27" t="str">
        <f aca="false">A547&amp;"|"&amp;N547</f>
        <v>NURSE-03|normal</v>
      </c>
    </row>
    <row r="548" customFormat="false" ht="15" hidden="false" customHeight="true" outlineLevel="0" collapsed="false">
      <c r="A548" s="27" t="s">
        <v>78</v>
      </c>
      <c r="B548" s="41" t="n">
        <v>46303.3423611111</v>
      </c>
      <c r="C548" s="27" t="s">
        <v>200</v>
      </c>
      <c r="D548" s="27" t="n">
        <v>32.8</v>
      </c>
      <c r="E548" s="27" t="n">
        <v>20.7</v>
      </c>
      <c r="F548" s="27" t="n">
        <v>30.2</v>
      </c>
      <c r="G548" s="27" t="n">
        <v>33</v>
      </c>
      <c r="H548" s="27" t="s">
        <v>196</v>
      </c>
      <c r="I548" s="42" t="n">
        <f aca="false">(D548-INDEX('Cohort Summary'!$D$5:$D$14,MATCH($A548,'Cohort Summary'!$A$5:$A$14,0)))/INDEX('Cohort Summary'!$E$5:$E$14,MATCH($A548,'Cohort Summary'!$A$5:$A$14,0))</f>
        <v>-1.48571428571429</v>
      </c>
      <c r="J548" s="42" t="n">
        <f aca="false">(E548-INDEX('Cohort Summary'!$F$5:$F$14,MATCH($A548,'Cohort Summary'!$A$5:$A$14,0)))/INDEX('Cohort Summary'!$G$5:$G$14,MATCH($A548,'Cohort Summary'!$A$5:$A$14,0))</f>
        <v>1.11520737327189</v>
      </c>
      <c r="K548" s="42" t="n">
        <f aca="false">(F548-INDEX('Cohort Summary'!$H$5:$H$14,MATCH($A548,'Cohort Summary'!$A$5:$A$14,0)))/INDEX('Cohort Summary'!$I$5:$I$14,MATCH($A548,'Cohort Summary'!$A$5:$A$14,0))</f>
        <v>0.909747292418772</v>
      </c>
      <c r="L548" s="42" t="n">
        <f aca="false">(G548-INDEX('Cohort Summary'!$J$5:$J$14,MATCH($A548,'Cohort Summary'!$A$5:$A$14,0)))/INDEX('Cohort Summary'!$K$5:$K$14,MATCH($A548,'Cohort Summary'!$A$5:$A$14,0))</f>
        <v>-0.57894736842105</v>
      </c>
      <c r="M548" s="42" t="n">
        <f aca="false">MAX(I548:K548)</f>
        <v>1.11520737327189</v>
      </c>
      <c r="N548" s="27" t="s">
        <v>197</v>
      </c>
      <c r="O548" s="27"/>
      <c r="P548" s="27" t="str">
        <f aca="false">A548&amp;"|"&amp;N548</f>
        <v>NURSE-03|normal</v>
      </c>
    </row>
    <row r="549" customFormat="false" ht="15" hidden="false" customHeight="true" outlineLevel="0" collapsed="false">
      <c r="A549" s="27" t="s">
        <v>78</v>
      </c>
      <c r="B549" s="41" t="n">
        <v>46303.3427083333</v>
      </c>
      <c r="C549" s="27" t="s">
        <v>200</v>
      </c>
      <c r="D549" s="27" t="n">
        <v>35</v>
      </c>
      <c r="E549" s="27" t="n">
        <v>19</v>
      </c>
      <c r="F549" s="27" t="n">
        <v>32.5</v>
      </c>
      <c r="G549" s="27" t="n">
        <v>33.3</v>
      </c>
      <c r="H549" s="27" t="s">
        <v>196</v>
      </c>
      <c r="I549" s="42" t="n">
        <f aca="false">(D549-INDEX('Cohort Summary'!$D$5:$D$14,MATCH($A549,'Cohort Summary'!$A$5:$A$14,0)))/INDEX('Cohort Summary'!$E$5:$E$14,MATCH($A549,'Cohort Summary'!$A$5:$A$14,0))</f>
        <v>-0.7</v>
      </c>
      <c r="J549" s="42" t="n">
        <f aca="false">(E549-INDEX('Cohort Summary'!$F$5:$F$14,MATCH($A549,'Cohort Summary'!$A$5:$A$14,0)))/INDEX('Cohort Summary'!$G$5:$G$14,MATCH($A549,'Cohort Summary'!$A$5:$A$14,0))</f>
        <v>0.331797235023041</v>
      </c>
      <c r="K549" s="42" t="n">
        <f aca="false">(F549-INDEX('Cohort Summary'!$H$5:$H$14,MATCH($A549,'Cohort Summary'!$A$5:$A$14,0)))/INDEX('Cohort Summary'!$I$5:$I$14,MATCH($A549,'Cohort Summary'!$A$5:$A$14,0))</f>
        <v>1.74007220216607</v>
      </c>
      <c r="L549" s="42" t="n">
        <f aca="false">(G549-INDEX('Cohort Summary'!$J$5:$J$14,MATCH($A549,'Cohort Summary'!$A$5:$A$14,0)))/INDEX('Cohort Summary'!$K$5:$K$14,MATCH($A549,'Cohort Summary'!$A$5:$A$14,0))</f>
        <v>-0.0526315789473704</v>
      </c>
      <c r="M549" s="42" t="n">
        <f aca="false">MAX(I549:K549)</f>
        <v>1.74007220216607</v>
      </c>
      <c r="N549" s="27" t="s">
        <v>197</v>
      </c>
      <c r="O549" s="27"/>
      <c r="P549" s="27" t="str">
        <f aca="false">A549&amp;"|"&amp;N549</f>
        <v>NURSE-03|normal</v>
      </c>
    </row>
    <row r="550" customFormat="false" ht="15" hidden="false" customHeight="true" outlineLevel="0" collapsed="false">
      <c r="A550" s="27" t="s">
        <v>78</v>
      </c>
      <c r="B550" s="41" t="n">
        <v>46303.3430555556</v>
      </c>
      <c r="C550" s="27" t="s">
        <v>200</v>
      </c>
      <c r="D550" s="27" t="n">
        <v>33.4</v>
      </c>
      <c r="E550" s="27" t="n">
        <v>21.1</v>
      </c>
      <c r="F550" s="27" t="n">
        <v>28.3</v>
      </c>
      <c r="G550" s="27" t="n">
        <v>33.6</v>
      </c>
      <c r="H550" s="27" t="s">
        <v>198</v>
      </c>
      <c r="I550" s="42" t="n">
        <f aca="false">(D550-INDEX('Cohort Summary'!$D$5:$D$14,MATCH($A550,'Cohort Summary'!$A$5:$A$14,0)))/INDEX('Cohort Summary'!$E$5:$E$14,MATCH($A550,'Cohort Summary'!$A$5:$A$14,0))</f>
        <v>-1.27142857142857</v>
      </c>
      <c r="J550" s="42" t="n">
        <f aca="false">(E550-INDEX('Cohort Summary'!$F$5:$F$14,MATCH($A550,'Cohort Summary'!$A$5:$A$14,0)))/INDEX('Cohort Summary'!$G$5:$G$14,MATCH($A550,'Cohort Summary'!$A$5:$A$14,0))</f>
        <v>1.29953917050691</v>
      </c>
      <c r="K550" s="42" t="n">
        <f aca="false">(F550-INDEX('Cohort Summary'!$H$5:$H$14,MATCH($A550,'Cohort Summary'!$A$5:$A$14,0)))/INDEX('Cohort Summary'!$I$5:$I$14,MATCH($A550,'Cohort Summary'!$A$5:$A$14,0))</f>
        <v>0.223826714801444</v>
      </c>
      <c r="L550" s="42" t="n">
        <f aca="false">(G550-INDEX('Cohort Summary'!$J$5:$J$14,MATCH($A550,'Cohort Summary'!$A$5:$A$14,0)))/INDEX('Cohort Summary'!$K$5:$K$14,MATCH($A550,'Cohort Summary'!$A$5:$A$14,0))</f>
        <v>0.473684210526321</v>
      </c>
      <c r="M550" s="42" t="n">
        <f aca="false">MAX(I550:K550)</f>
        <v>1.29953917050691</v>
      </c>
      <c r="N550" s="27" t="s">
        <v>197</v>
      </c>
      <c r="O550" s="27"/>
      <c r="P550" s="27" t="str">
        <f aca="false">A550&amp;"|"&amp;N550</f>
        <v>NURSE-03|normal</v>
      </c>
    </row>
    <row r="551" customFormat="false" ht="15" hidden="false" customHeight="true" outlineLevel="0" collapsed="false">
      <c r="A551" s="27" t="s">
        <v>78</v>
      </c>
      <c r="B551" s="41" t="n">
        <v>46303.3434027778</v>
      </c>
      <c r="C551" s="27" t="s">
        <v>200</v>
      </c>
      <c r="D551" s="27" t="n">
        <v>34.2</v>
      </c>
      <c r="E551" s="27" t="n">
        <v>20.2</v>
      </c>
      <c r="F551" s="27" t="n">
        <v>29.9</v>
      </c>
      <c r="G551" s="27" t="n">
        <v>32.6</v>
      </c>
      <c r="H551" s="27" t="s">
        <v>196</v>
      </c>
      <c r="I551" s="42" t="n">
        <f aca="false">(D551-INDEX('Cohort Summary'!$D$5:$D$14,MATCH($A551,'Cohort Summary'!$A$5:$A$14,0)))/INDEX('Cohort Summary'!$E$5:$E$14,MATCH($A551,'Cohort Summary'!$A$5:$A$14,0))</f>
        <v>-0.985714285714285</v>
      </c>
      <c r="J551" s="42" t="n">
        <f aca="false">(E551-INDEX('Cohort Summary'!$F$5:$F$14,MATCH($A551,'Cohort Summary'!$A$5:$A$14,0)))/INDEX('Cohort Summary'!$G$5:$G$14,MATCH($A551,'Cohort Summary'!$A$5:$A$14,0))</f>
        <v>0.88479262672811</v>
      </c>
      <c r="K551" s="42" t="n">
        <f aca="false">(F551-INDEX('Cohort Summary'!$H$5:$H$14,MATCH($A551,'Cohort Summary'!$A$5:$A$14,0)))/INDEX('Cohort Summary'!$I$5:$I$14,MATCH($A551,'Cohort Summary'!$A$5:$A$14,0))</f>
        <v>0.801444043321299</v>
      </c>
      <c r="L551" s="42" t="n">
        <f aca="false">(G551-INDEX('Cohort Summary'!$J$5:$J$14,MATCH($A551,'Cohort Summary'!$A$5:$A$14,0)))/INDEX('Cohort Summary'!$K$5:$K$14,MATCH($A551,'Cohort Summary'!$A$5:$A$14,0))</f>
        <v>-1.28070175438596</v>
      </c>
      <c r="M551" s="42" t="n">
        <f aca="false">MAX(I551:K551)</f>
        <v>0.88479262672811</v>
      </c>
      <c r="N551" s="27" t="s">
        <v>197</v>
      </c>
      <c r="O551" s="27"/>
      <c r="P551" s="27" t="str">
        <f aca="false">A551&amp;"|"&amp;N551</f>
        <v>NURSE-03|normal</v>
      </c>
    </row>
    <row r="552" customFormat="false" ht="15" hidden="false" customHeight="true" outlineLevel="0" collapsed="false">
      <c r="A552" s="27" t="s">
        <v>78</v>
      </c>
      <c r="B552" s="41" t="n">
        <v>46303.34375</v>
      </c>
      <c r="C552" s="27" t="s">
        <v>200</v>
      </c>
      <c r="D552" s="27" t="n">
        <v>35.7</v>
      </c>
      <c r="E552" s="27" t="n">
        <v>19.1</v>
      </c>
      <c r="F552" s="27" t="n">
        <v>27.2</v>
      </c>
      <c r="G552" s="27" t="n">
        <v>33.4</v>
      </c>
      <c r="H552" s="27" t="s">
        <v>196</v>
      </c>
      <c r="I552" s="42" t="n">
        <f aca="false">(D552-INDEX('Cohort Summary'!$D$5:$D$14,MATCH($A552,'Cohort Summary'!$A$5:$A$14,0)))/INDEX('Cohort Summary'!$E$5:$E$14,MATCH($A552,'Cohort Summary'!$A$5:$A$14,0))</f>
        <v>-0.449999999999999</v>
      </c>
      <c r="J552" s="42" t="n">
        <f aca="false">(E552-INDEX('Cohort Summary'!$F$5:$F$14,MATCH($A552,'Cohort Summary'!$A$5:$A$14,0)))/INDEX('Cohort Summary'!$G$5:$G$14,MATCH($A552,'Cohort Summary'!$A$5:$A$14,0))</f>
        <v>0.377880184331797</v>
      </c>
      <c r="K552" s="42" t="n">
        <f aca="false">(F552-INDEX('Cohort Summary'!$H$5:$H$14,MATCH($A552,'Cohort Summary'!$A$5:$A$14,0)))/INDEX('Cohort Summary'!$I$5:$I$14,MATCH($A552,'Cohort Summary'!$A$5:$A$14,0))</f>
        <v>-0.173285198555957</v>
      </c>
      <c r="L552" s="42" t="n">
        <f aca="false">(G552-INDEX('Cohort Summary'!$J$5:$J$14,MATCH($A552,'Cohort Summary'!$A$5:$A$14,0)))/INDEX('Cohort Summary'!$K$5:$K$14,MATCH($A552,'Cohort Summary'!$A$5:$A$14,0))</f>
        <v>0.12280701754386</v>
      </c>
      <c r="M552" s="42" t="n">
        <f aca="false">MAX(I552:K552)</f>
        <v>0.377880184331797</v>
      </c>
      <c r="N552" s="27" t="s">
        <v>197</v>
      </c>
      <c r="O552" s="27"/>
      <c r="P552" s="27" t="str">
        <f aca="false">A552&amp;"|"&amp;N552</f>
        <v>NURSE-03|normal</v>
      </c>
    </row>
    <row r="553" customFormat="false" ht="15" hidden="false" customHeight="true" outlineLevel="0" collapsed="false">
      <c r="A553" s="27" t="s">
        <v>78</v>
      </c>
      <c r="B553" s="41" t="n">
        <v>46303.3440972222</v>
      </c>
      <c r="C553" s="27" t="s">
        <v>200</v>
      </c>
      <c r="D553" s="27" t="n">
        <v>36.4</v>
      </c>
      <c r="E553" s="27" t="n">
        <v>16.8</v>
      </c>
      <c r="F553" s="27" t="n">
        <v>25.3</v>
      </c>
      <c r="G553" s="27" t="n">
        <v>34.2</v>
      </c>
      <c r="H553" s="27" t="s">
        <v>198</v>
      </c>
      <c r="I553" s="42" t="n">
        <f aca="false">(D553-INDEX('Cohort Summary'!$D$5:$D$14,MATCH($A553,'Cohort Summary'!$A$5:$A$14,0)))/INDEX('Cohort Summary'!$E$5:$E$14,MATCH($A553,'Cohort Summary'!$A$5:$A$14,0))</f>
        <v>-0.200000000000001</v>
      </c>
      <c r="J553" s="42" t="n">
        <f aca="false">(E553-INDEX('Cohort Summary'!$F$5:$F$14,MATCH($A553,'Cohort Summary'!$A$5:$A$14,0)))/INDEX('Cohort Summary'!$G$5:$G$14,MATCH($A553,'Cohort Summary'!$A$5:$A$14,0))</f>
        <v>-0.682027649769586</v>
      </c>
      <c r="K553" s="42" t="n">
        <f aca="false">(F553-INDEX('Cohort Summary'!$H$5:$H$14,MATCH($A553,'Cohort Summary'!$A$5:$A$14,0)))/INDEX('Cohort Summary'!$I$5:$I$14,MATCH($A553,'Cohort Summary'!$A$5:$A$14,0))</f>
        <v>-0.859205776173285</v>
      </c>
      <c r="L553" s="42" t="n">
        <f aca="false">(G553-INDEX('Cohort Summary'!$J$5:$J$14,MATCH($A553,'Cohort Summary'!$A$5:$A$14,0)))/INDEX('Cohort Summary'!$K$5:$K$14,MATCH($A553,'Cohort Summary'!$A$5:$A$14,0))</f>
        <v>1.52631578947369</v>
      </c>
      <c r="M553" s="42" t="n">
        <f aca="false">MAX(I553:K553)</f>
        <v>-0.200000000000001</v>
      </c>
      <c r="N553" s="27" t="s">
        <v>197</v>
      </c>
      <c r="O553" s="27"/>
      <c r="P553" s="27" t="str">
        <f aca="false">A553&amp;"|"&amp;N553</f>
        <v>NURSE-03|normal</v>
      </c>
    </row>
    <row r="554" customFormat="false" ht="15" hidden="false" customHeight="true" outlineLevel="0" collapsed="false">
      <c r="A554" s="27" t="s">
        <v>78</v>
      </c>
      <c r="B554" s="41" t="n">
        <v>46303.3444444445</v>
      </c>
      <c r="C554" s="27" t="s">
        <v>200</v>
      </c>
      <c r="D554" s="27" t="n">
        <v>37.5</v>
      </c>
      <c r="E554" s="27" t="n">
        <v>15.8</v>
      </c>
      <c r="F554" s="27" t="n">
        <v>31.6</v>
      </c>
      <c r="G554" s="27" t="n">
        <v>32.8</v>
      </c>
      <c r="H554" s="27" t="s">
        <v>198</v>
      </c>
      <c r="I554" s="42" t="n">
        <f aca="false">(D554-INDEX('Cohort Summary'!$D$5:$D$14,MATCH($A554,'Cohort Summary'!$A$5:$A$14,0)))/INDEX('Cohort Summary'!$E$5:$E$14,MATCH($A554,'Cohort Summary'!$A$5:$A$14,0))</f>
        <v>0.192857142857143</v>
      </c>
      <c r="J554" s="42" t="n">
        <f aca="false">(E554-INDEX('Cohort Summary'!$F$5:$F$14,MATCH($A554,'Cohort Summary'!$A$5:$A$14,0)))/INDEX('Cohort Summary'!$G$5:$G$14,MATCH($A554,'Cohort Summary'!$A$5:$A$14,0))</f>
        <v>-1.14285714285714</v>
      </c>
      <c r="K554" s="42" t="n">
        <f aca="false">(F554-INDEX('Cohort Summary'!$H$5:$H$14,MATCH($A554,'Cohort Summary'!$A$5:$A$14,0)))/INDEX('Cohort Summary'!$I$5:$I$14,MATCH($A554,'Cohort Summary'!$A$5:$A$14,0))</f>
        <v>1.41516245487365</v>
      </c>
      <c r="L554" s="42" t="n">
        <f aca="false">(G554-INDEX('Cohort Summary'!$J$5:$J$14,MATCH($A554,'Cohort Summary'!$A$5:$A$14,0)))/INDEX('Cohort Summary'!$K$5:$K$14,MATCH($A554,'Cohort Summary'!$A$5:$A$14,0))</f>
        <v>-0.929824561403511</v>
      </c>
      <c r="M554" s="42" t="n">
        <f aca="false">MAX(I554:K554)</f>
        <v>1.41516245487365</v>
      </c>
      <c r="N554" s="27" t="s">
        <v>197</v>
      </c>
      <c r="O554" s="27"/>
      <c r="P554" s="27" t="str">
        <f aca="false">A554&amp;"|"&amp;N554</f>
        <v>NURSE-03|normal</v>
      </c>
    </row>
    <row r="555" customFormat="false" ht="15" hidden="false" customHeight="true" outlineLevel="0" collapsed="false">
      <c r="A555" s="27" t="s">
        <v>78</v>
      </c>
      <c r="B555" s="41" t="n">
        <v>46303.3447916667</v>
      </c>
      <c r="C555" s="27" t="s">
        <v>200</v>
      </c>
      <c r="D555" s="27" t="n">
        <v>33.9</v>
      </c>
      <c r="E555" s="27" t="n">
        <v>19.7</v>
      </c>
      <c r="F555" s="27" t="n">
        <v>30.1</v>
      </c>
      <c r="G555" s="27" t="n">
        <v>32.8</v>
      </c>
      <c r="H555" s="27" t="s">
        <v>199</v>
      </c>
      <c r="I555" s="42" t="n">
        <f aca="false">(D555-INDEX('Cohort Summary'!$D$5:$D$14,MATCH($A555,'Cohort Summary'!$A$5:$A$14,0)))/INDEX('Cohort Summary'!$E$5:$E$14,MATCH($A555,'Cohort Summary'!$A$5:$A$14,0))</f>
        <v>-1.09285714285714</v>
      </c>
      <c r="J555" s="42" t="n">
        <f aca="false">(E555-INDEX('Cohort Summary'!$F$5:$F$14,MATCH($A555,'Cohort Summary'!$A$5:$A$14,0)))/INDEX('Cohort Summary'!$G$5:$G$14,MATCH($A555,'Cohort Summary'!$A$5:$A$14,0))</f>
        <v>0.654377880184331</v>
      </c>
      <c r="K555" s="42" t="n">
        <f aca="false">(F555-INDEX('Cohort Summary'!$H$5:$H$14,MATCH($A555,'Cohort Summary'!$A$5:$A$14,0)))/INDEX('Cohort Summary'!$I$5:$I$14,MATCH($A555,'Cohort Summary'!$A$5:$A$14,0))</f>
        <v>0.873646209386282</v>
      </c>
      <c r="L555" s="42" t="n">
        <f aca="false">(G555-INDEX('Cohort Summary'!$J$5:$J$14,MATCH($A555,'Cohort Summary'!$A$5:$A$14,0)))/INDEX('Cohort Summary'!$K$5:$K$14,MATCH($A555,'Cohort Summary'!$A$5:$A$14,0))</f>
        <v>-0.929824561403511</v>
      </c>
      <c r="M555" s="42" t="n">
        <f aca="false">MAX(I555:K555)</f>
        <v>0.873646209386282</v>
      </c>
      <c r="N555" s="27" t="s">
        <v>197</v>
      </c>
      <c r="O555" s="27"/>
      <c r="P555" s="27" t="str">
        <f aca="false">A555&amp;"|"&amp;N555</f>
        <v>NURSE-03|normal</v>
      </c>
    </row>
    <row r="556" customFormat="false" ht="15" hidden="false" customHeight="true" outlineLevel="0" collapsed="false">
      <c r="A556" s="27" t="s">
        <v>78</v>
      </c>
      <c r="B556" s="41" t="n">
        <v>46303.3451388889</v>
      </c>
      <c r="C556" s="27" t="s">
        <v>200</v>
      </c>
      <c r="D556" s="27" t="n">
        <v>34.3</v>
      </c>
      <c r="E556" s="27" t="n">
        <v>19</v>
      </c>
      <c r="F556" s="27" t="n">
        <v>24.1</v>
      </c>
      <c r="G556" s="27" t="n">
        <v>33.3</v>
      </c>
      <c r="H556" s="27" t="s">
        <v>196</v>
      </c>
      <c r="I556" s="42" t="n">
        <f aca="false">(D556-INDEX('Cohort Summary'!$D$5:$D$14,MATCH($A556,'Cohort Summary'!$A$5:$A$14,0)))/INDEX('Cohort Summary'!$E$5:$E$14,MATCH($A556,'Cohort Summary'!$A$5:$A$14,0))</f>
        <v>-0.950000000000001</v>
      </c>
      <c r="J556" s="42" t="n">
        <f aca="false">(E556-INDEX('Cohort Summary'!$F$5:$F$14,MATCH($A556,'Cohort Summary'!$A$5:$A$14,0)))/INDEX('Cohort Summary'!$G$5:$G$14,MATCH($A556,'Cohort Summary'!$A$5:$A$14,0))</f>
        <v>0.331797235023041</v>
      </c>
      <c r="K556" s="42" t="n">
        <f aca="false">(F556-INDEX('Cohort Summary'!$H$5:$H$14,MATCH($A556,'Cohort Summary'!$A$5:$A$14,0)))/INDEX('Cohort Summary'!$I$5:$I$14,MATCH($A556,'Cohort Summary'!$A$5:$A$14,0))</f>
        <v>-1.29241877256318</v>
      </c>
      <c r="L556" s="42" t="n">
        <f aca="false">(G556-INDEX('Cohort Summary'!$J$5:$J$14,MATCH($A556,'Cohort Summary'!$A$5:$A$14,0)))/INDEX('Cohort Summary'!$K$5:$K$14,MATCH($A556,'Cohort Summary'!$A$5:$A$14,0))</f>
        <v>-0.0526315789473704</v>
      </c>
      <c r="M556" s="42" t="n">
        <f aca="false">MAX(I556:K556)</f>
        <v>0.331797235023041</v>
      </c>
      <c r="N556" s="27" t="s">
        <v>197</v>
      </c>
      <c r="O556" s="27"/>
      <c r="P556" s="27" t="str">
        <f aca="false">A556&amp;"|"&amp;N556</f>
        <v>NURSE-03|normal</v>
      </c>
    </row>
    <row r="557" customFormat="false" ht="15" hidden="false" customHeight="true" outlineLevel="0" collapsed="false">
      <c r="A557" s="27" t="s">
        <v>78</v>
      </c>
      <c r="B557" s="41" t="n">
        <v>46303.3454861111</v>
      </c>
      <c r="C557" s="27" t="s">
        <v>200</v>
      </c>
      <c r="D557" s="27" t="n">
        <v>37.7</v>
      </c>
      <c r="E557" s="27" t="n">
        <v>21</v>
      </c>
      <c r="F557" s="27" t="n">
        <v>29.8</v>
      </c>
      <c r="G557" s="27" t="n">
        <v>33.9</v>
      </c>
      <c r="H557" s="27" t="s">
        <v>198</v>
      </c>
      <c r="I557" s="42" t="n">
        <f aca="false">(D557-INDEX('Cohort Summary'!$D$5:$D$14,MATCH($A557,'Cohort Summary'!$A$5:$A$14,0)))/INDEX('Cohort Summary'!$E$5:$E$14,MATCH($A557,'Cohort Summary'!$A$5:$A$14,0))</f>
        <v>0.264285714285715</v>
      </c>
      <c r="J557" s="42" t="n">
        <f aca="false">(E557-INDEX('Cohort Summary'!$F$5:$F$14,MATCH($A557,'Cohort Summary'!$A$5:$A$14,0)))/INDEX('Cohort Summary'!$G$5:$G$14,MATCH($A557,'Cohort Summary'!$A$5:$A$14,0))</f>
        <v>1.25345622119816</v>
      </c>
      <c r="K557" s="42" t="n">
        <f aca="false">(F557-INDEX('Cohort Summary'!$H$5:$H$14,MATCH($A557,'Cohort Summary'!$A$5:$A$14,0)))/INDEX('Cohort Summary'!$I$5:$I$14,MATCH($A557,'Cohort Summary'!$A$5:$A$14,0))</f>
        <v>0.765342960288809</v>
      </c>
      <c r="L557" s="42" t="n">
        <f aca="false">(G557-INDEX('Cohort Summary'!$J$5:$J$14,MATCH($A557,'Cohort Summary'!$A$5:$A$14,0)))/INDEX('Cohort Summary'!$K$5:$K$14,MATCH($A557,'Cohort Summary'!$A$5:$A$14,0))</f>
        <v>1</v>
      </c>
      <c r="M557" s="42" t="n">
        <f aca="false">MAX(I557:K557)</f>
        <v>1.25345622119816</v>
      </c>
      <c r="N557" s="27" t="s">
        <v>197</v>
      </c>
      <c r="O557" s="27"/>
      <c r="P557" s="27" t="str">
        <f aca="false">A557&amp;"|"&amp;N557</f>
        <v>NURSE-03|normal</v>
      </c>
    </row>
    <row r="558" customFormat="false" ht="15" hidden="false" customHeight="true" outlineLevel="0" collapsed="false">
      <c r="A558" s="27" t="s">
        <v>78</v>
      </c>
      <c r="B558" s="41" t="n">
        <v>46303.3458333333</v>
      </c>
      <c r="C558" s="27" t="s">
        <v>200</v>
      </c>
      <c r="D558" s="27" t="n">
        <v>40.6</v>
      </c>
      <c r="E558" s="27" t="n">
        <v>18.9</v>
      </c>
      <c r="F558" s="27" t="n">
        <v>30.1</v>
      </c>
      <c r="G558" s="27" t="n">
        <v>33.8</v>
      </c>
      <c r="H558" s="27" t="s">
        <v>198</v>
      </c>
      <c r="I558" s="42" t="n">
        <f aca="false">(D558-INDEX('Cohort Summary'!$D$5:$D$14,MATCH($A558,'Cohort Summary'!$A$5:$A$14,0)))/INDEX('Cohort Summary'!$E$5:$E$14,MATCH($A558,'Cohort Summary'!$A$5:$A$14,0))</f>
        <v>1.3</v>
      </c>
      <c r="J558" s="42" t="n">
        <f aca="false">(E558-INDEX('Cohort Summary'!$F$5:$F$14,MATCH($A558,'Cohort Summary'!$A$5:$A$14,0)))/INDEX('Cohort Summary'!$G$5:$G$14,MATCH($A558,'Cohort Summary'!$A$5:$A$14,0))</f>
        <v>0.285714285714285</v>
      </c>
      <c r="K558" s="42" t="n">
        <f aca="false">(F558-INDEX('Cohort Summary'!$H$5:$H$14,MATCH($A558,'Cohort Summary'!$A$5:$A$14,0)))/INDEX('Cohort Summary'!$I$5:$I$14,MATCH($A558,'Cohort Summary'!$A$5:$A$14,0))</f>
        <v>0.873646209386282</v>
      </c>
      <c r="L558" s="42" t="n">
        <f aca="false">(G558-INDEX('Cohort Summary'!$J$5:$J$14,MATCH($A558,'Cohort Summary'!$A$5:$A$14,0)))/INDEX('Cohort Summary'!$K$5:$K$14,MATCH($A558,'Cohort Summary'!$A$5:$A$14,0))</f>
        <v>0.82456140350877</v>
      </c>
      <c r="M558" s="42" t="n">
        <f aca="false">MAX(I558:K558)</f>
        <v>1.3</v>
      </c>
      <c r="N558" s="27" t="s">
        <v>197</v>
      </c>
      <c r="O558" s="27"/>
      <c r="P558" s="27" t="str">
        <f aca="false">A558&amp;"|"&amp;N558</f>
        <v>NURSE-03|normal</v>
      </c>
    </row>
    <row r="559" customFormat="false" ht="15" hidden="false" customHeight="true" outlineLevel="0" collapsed="false">
      <c r="A559" s="27" t="s">
        <v>78</v>
      </c>
      <c r="B559" s="41" t="n">
        <v>46303.3461805556</v>
      </c>
      <c r="C559" s="27" t="s">
        <v>200</v>
      </c>
      <c r="D559" s="27" t="n">
        <v>38.3</v>
      </c>
      <c r="E559" s="27" t="n">
        <v>21.7</v>
      </c>
      <c r="F559" s="27" t="n">
        <v>28.2</v>
      </c>
      <c r="G559" s="27" t="n">
        <v>33.2</v>
      </c>
      <c r="H559" s="27" t="s">
        <v>196</v>
      </c>
      <c r="I559" s="42" t="n">
        <f aca="false">(D559-INDEX('Cohort Summary'!$D$5:$D$14,MATCH($A559,'Cohort Summary'!$A$5:$A$14,0)))/INDEX('Cohort Summary'!$E$5:$E$14,MATCH($A559,'Cohort Summary'!$A$5:$A$14,0))</f>
        <v>0.478571428571427</v>
      </c>
      <c r="J559" s="42" t="n">
        <f aca="false">(E559-INDEX('Cohort Summary'!$F$5:$F$14,MATCH($A559,'Cohort Summary'!$A$5:$A$14,0)))/INDEX('Cohort Summary'!$G$5:$G$14,MATCH($A559,'Cohort Summary'!$A$5:$A$14,0))</f>
        <v>1.57603686635945</v>
      </c>
      <c r="K559" s="42" t="n">
        <f aca="false">(F559-INDEX('Cohort Summary'!$H$5:$H$14,MATCH($A559,'Cohort Summary'!$A$5:$A$14,0)))/INDEX('Cohort Summary'!$I$5:$I$14,MATCH($A559,'Cohort Summary'!$A$5:$A$14,0))</f>
        <v>0.187725631768953</v>
      </c>
      <c r="L559" s="42" t="n">
        <f aca="false">(G559-INDEX('Cohort Summary'!$J$5:$J$14,MATCH($A559,'Cohort Summary'!$A$5:$A$14,0)))/INDEX('Cohort Summary'!$K$5:$K$14,MATCH($A559,'Cohort Summary'!$A$5:$A$14,0))</f>
        <v>-0.228070175438589</v>
      </c>
      <c r="M559" s="42" t="n">
        <f aca="false">MAX(I559:K559)</f>
        <v>1.57603686635945</v>
      </c>
      <c r="N559" s="27" t="s">
        <v>197</v>
      </c>
      <c r="O559" s="27"/>
      <c r="P559" s="27" t="str">
        <f aca="false">A559&amp;"|"&amp;N559</f>
        <v>NURSE-03|normal</v>
      </c>
    </row>
    <row r="560" customFormat="false" ht="15" hidden="false" customHeight="true" outlineLevel="0" collapsed="false">
      <c r="A560" s="27" t="s">
        <v>78</v>
      </c>
      <c r="B560" s="41" t="n">
        <v>46303.3465277778</v>
      </c>
      <c r="C560" s="27" t="s">
        <v>200</v>
      </c>
      <c r="D560" s="27" t="n">
        <v>35.9</v>
      </c>
      <c r="E560" s="27" t="n">
        <v>16.2</v>
      </c>
      <c r="F560" s="27" t="n">
        <v>32.6</v>
      </c>
      <c r="G560" s="27" t="n">
        <v>33.4</v>
      </c>
      <c r="H560" s="27" t="s">
        <v>198</v>
      </c>
      <c r="I560" s="42" t="n">
        <f aca="false">(D560-INDEX('Cohort Summary'!$D$5:$D$14,MATCH($A560,'Cohort Summary'!$A$5:$A$14,0)))/INDEX('Cohort Summary'!$E$5:$E$14,MATCH($A560,'Cohort Summary'!$A$5:$A$14,0))</f>
        <v>-0.378571428571429</v>
      </c>
      <c r="J560" s="42" t="n">
        <f aca="false">(E560-INDEX('Cohort Summary'!$F$5:$F$14,MATCH($A560,'Cohort Summary'!$A$5:$A$14,0)))/INDEX('Cohort Summary'!$G$5:$G$14,MATCH($A560,'Cohort Summary'!$A$5:$A$14,0))</f>
        <v>-0.958525345622121</v>
      </c>
      <c r="K560" s="42" t="n">
        <f aca="false">(F560-INDEX('Cohort Summary'!$H$5:$H$14,MATCH($A560,'Cohort Summary'!$A$5:$A$14,0)))/INDEX('Cohort Summary'!$I$5:$I$14,MATCH($A560,'Cohort Summary'!$A$5:$A$14,0))</f>
        <v>1.77617328519856</v>
      </c>
      <c r="L560" s="42" t="n">
        <f aca="false">(G560-INDEX('Cohort Summary'!$J$5:$J$14,MATCH($A560,'Cohort Summary'!$A$5:$A$14,0)))/INDEX('Cohort Summary'!$K$5:$K$14,MATCH($A560,'Cohort Summary'!$A$5:$A$14,0))</f>
        <v>0.12280701754386</v>
      </c>
      <c r="M560" s="42" t="n">
        <f aca="false">MAX(I560:K560)</f>
        <v>1.77617328519856</v>
      </c>
      <c r="N560" s="27" t="s">
        <v>197</v>
      </c>
      <c r="O560" s="27"/>
      <c r="P560" s="27" t="str">
        <f aca="false">A560&amp;"|"&amp;N560</f>
        <v>NURSE-03|normal</v>
      </c>
    </row>
    <row r="561" customFormat="false" ht="15" hidden="false" customHeight="true" outlineLevel="0" collapsed="false">
      <c r="A561" s="27" t="s">
        <v>78</v>
      </c>
      <c r="B561" s="41" t="n">
        <v>46303.346875</v>
      </c>
      <c r="C561" s="27" t="s">
        <v>200</v>
      </c>
      <c r="D561" s="27" t="n">
        <v>33.4</v>
      </c>
      <c r="E561" s="27" t="n">
        <v>20.4</v>
      </c>
      <c r="F561" s="27" t="n">
        <v>23.6</v>
      </c>
      <c r="G561" s="27" t="n">
        <v>32.8</v>
      </c>
      <c r="H561" s="27" t="s">
        <v>199</v>
      </c>
      <c r="I561" s="42" t="n">
        <f aca="false">(D561-INDEX('Cohort Summary'!$D$5:$D$14,MATCH($A561,'Cohort Summary'!$A$5:$A$14,0)))/INDEX('Cohort Summary'!$E$5:$E$14,MATCH($A561,'Cohort Summary'!$A$5:$A$14,0))</f>
        <v>-1.27142857142857</v>
      </c>
      <c r="J561" s="42" t="n">
        <f aca="false">(E561-INDEX('Cohort Summary'!$F$5:$F$14,MATCH($A561,'Cohort Summary'!$A$5:$A$14,0)))/INDEX('Cohort Summary'!$G$5:$G$14,MATCH($A561,'Cohort Summary'!$A$5:$A$14,0))</f>
        <v>0.976958525345621</v>
      </c>
      <c r="K561" s="42" t="n">
        <f aca="false">(F561-INDEX('Cohort Summary'!$H$5:$H$14,MATCH($A561,'Cohort Summary'!$A$5:$A$14,0)))/INDEX('Cohort Summary'!$I$5:$I$14,MATCH($A561,'Cohort Summary'!$A$5:$A$14,0))</f>
        <v>-1.47292418772563</v>
      </c>
      <c r="L561" s="42" t="n">
        <f aca="false">(G561-INDEX('Cohort Summary'!$J$5:$J$14,MATCH($A561,'Cohort Summary'!$A$5:$A$14,0)))/INDEX('Cohort Summary'!$K$5:$K$14,MATCH($A561,'Cohort Summary'!$A$5:$A$14,0))</f>
        <v>-0.929824561403511</v>
      </c>
      <c r="M561" s="42" t="n">
        <f aca="false">MAX(I561:K561)</f>
        <v>0.976958525345621</v>
      </c>
      <c r="N561" s="27" t="s">
        <v>197</v>
      </c>
      <c r="O561" s="27"/>
      <c r="P561" s="27" t="str">
        <f aca="false">A561&amp;"|"&amp;N561</f>
        <v>NURSE-03|normal</v>
      </c>
    </row>
    <row r="562" customFormat="false" ht="15" hidden="false" customHeight="true" outlineLevel="0" collapsed="false">
      <c r="A562" s="27" t="s">
        <v>78</v>
      </c>
      <c r="B562" s="41" t="n">
        <v>46303.3472222222</v>
      </c>
      <c r="C562" s="27" t="s">
        <v>200</v>
      </c>
      <c r="D562" s="27" t="n">
        <v>32.4</v>
      </c>
      <c r="E562" s="27" t="n">
        <v>19.9</v>
      </c>
      <c r="F562" s="27" t="n">
        <v>32.6</v>
      </c>
      <c r="G562" s="27" t="n">
        <v>33.2</v>
      </c>
      <c r="H562" s="27" t="s">
        <v>198</v>
      </c>
      <c r="I562" s="42" t="n">
        <f aca="false">(D562-INDEX('Cohort Summary'!$D$5:$D$14,MATCH($A562,'Cohort Summary'!$A$5:$A$14,0)))/INDEX('Cohort Summary'!$E$5:$E$14,MATCH($A562,'Cohort Summary'!$A$5:$A$14,0))</f>
        <v>-1.62857142857143</v>
      </c>
      <c r="J562" s="42" t="n">
        <f aca="false">(E562-INDEX('Cohort Summary'!$F$5:$F$14,MATCH($A562,'Cohort Summary'!$A$5:$A$14,0)))/INDEX('Cohort Summary'!$G$5:$G$14,MATCH($A562,'Cohort Summary'!$A$5:$A$14,0))</f>
        <v>0.746543778801842</v>
      </c>
      <c r="K562" s="42" t="n">
        <f aca="false">(F562-INDEX('Cohort Summary'!$H$5:$H$14,MATCH($A562,'Cohort Summary'!$A$5:$A$14,0)))/INDEX('Cohort Summary'!$I$5:$I$14,MATCH($A562,'Cohort Summary'!$A$5:$A$14,0))</f>
        <v>1.77617328519856</v>
      </c>
      <c r="L562" s="42" t="n">
        <f aca="false">(G562-INDEX('Cohort Summary'!$J$5:$J$14,MATCH($A562,'Cohort Summary'!$A$5:$A$14,0)))/INDEX('Cohort Summary'!$K$5:$K$14,MATCH($A562,'Cohort Summary'!$A$5:$A$14,0))</f>
        <v>-0.228070175438589</v>
      </c>
      <c r="M562" s="42" t="n">
        <f aca="false">MAX(I562:K562)</f>
        <v>1.77617328519856</v>
      </c>
      <c r="N562" s="27" t="s">
        <v>197</v>
      </c>
      <c r="O562" s="27"/>
      <c r="P562" s="27" t="str">
        <f aca="false">A562&amp;"|"&amp;N562</f>
        <v>NURSE-03|normal</v>
      </c>
    </row>
    <row r="563" customFormat="false" ht="15" hidden="false" customHeight="true" outlineLevel="0" collapsed="false">
      <c r="A563" s="27" t="s">
        <v>78</v>
      </c>
      <c r="B563" s="41" t="n">
        <v>46303.3475694444</v>
      </c>
      <c r="C563" s="27" t="s">
        <v>200</v>
      </c>
      <c r="D563" s="27" t="n">
        <v>39.1</v>
      </c>
      <c r="E563" s="27" t="n">
        <v>18</v>
      </c>
      <c r="F563" s="27" t="n">
        <v>31.9</v>
      </c>
      <c r="G563" s="27" t="n">
        <v>33.5</v>
      </c>
      <c r="H563" s="27" t="s">
        <v>198</v>
      </c>
      <c r="I563" s="42" t="n">
        <f aca="false">(D563-INDEX('Cohort Summary'!$D$5:$D$14,MATCH($A563,'Cohort Summary'!$A$5:$A$14,0)))/INDEX('Cohort Summary'!$E$5:$E$14,MATCH($A563,'Cohort Summary'!$A$5:$A$14,0))</f>
        <v>0.764285714285715</v>
      </c>
      <c r="J563" s="42" t="n">
        <f aca="false">(E563-INDEX('Cohort Summary'!$F$5:$F$14,MATCH($A563,'Cohort Summary'!$A$5:$A$14,0)))/INDEX('Cohort Summary'!$G$5:$G$14,MATCH($A563,'Cohort Summary'!$A$5:$A$14,0))</f>
        <v>-0.129032258064517</v>
      </c>
      <c r="K563" s="42" t="n">
        <f aca="false">(F563-INDEX('Cohort Summary'!$H$5:$H$14,MATCH($A563,'Cohort Summary'!$A$5:$A$14,0)))/INDEX('Cohort Summary'!$I$5:$I$14,MATCH($A563,'Cohort Summary'!$A$5:$A$14,0))</f>
        <v>1.52346570397112</v>
      </c>
      <c r="L563" s="42" t="n">
        <f aca="false">(G563-INDEX('Cohort Summary'!$J$5:$J$14,MATCH($A563,'Cohort Summary'!$A$5:$A$14,0)))/INDEX('Cohort Summary'!$K$5:$K$14,MATCH($A563,'Cohort Summary'!$A$5:$A$14,0))</f>
        <v>0.298245614035091</v>
      </c>
      <c r="M563" s="42" t="n">
        <f aca="false">MAX(I563:K563)</f>
        <v>1.52346570397112</v>
      </c>
      <c r="N563" s="27" t="s">
        <v>197</v>
      </c>
      <c r="O563" s="27"/>
      <c r="P563" s="27" t="str">
        <f aca="false">A563&amp;"|"&amp;N563</f>
        <v>NURSE-03|normal</v>
      </c>
    </row>
    <row r="564" customFormat="false" ht="15" hidden="false" customHeight="true" outlineLevel="0" collapsed="false">
      <c r="A564" s="27" t="s">
        <v>78</v>
      </c>
      <c r="B564" s="41" t="n">
        <v>46303.3479166667</v>
      </c>
      <c r="C564" s="27" t="s">
        <v>200</v>
      </c>
      <c r="D564" s="27" t="n">
        <v>37.6</v>
      </c>
      <c r="E564" s="27" t="n">
        <v>21.4</v>
      </c>
      <c r="F564" s="27" t="n">
        <v>31.7</v>
      </c>
      <c r="G564" s="27" t="n">
        <v>32.6</v>
      </c>
      <c r="H564" s="27" t="s">
        <v>196</v>
      </c>
      <c r="I564" s="42" t="n">
        <f aca="false">(D564-INDEX('Cohort Summary'!$D$5:$D$14,MATCH($A564,'Cohort Summary'!$A$5:$A$14,0)))/INDEX('Cohort Summary'!$E$5:$E$14,MATCH($A564,'Cohort Summary'!$A$5:$A$14,0))</f>
        <v>0.228571428571429</v>
      </c>
      <c r="J564" s="42" t="n">
        <f aca="false">(E564-INDEX('Cohort Summary'!$F$5:$F$14,MATCH($A564,'Cohort Summary'!$A$5:$A$14,0)))/INDEX('Cohort Summary'!$G$5:$G$14,MATCH($A564,'Cohort Summary'!$A$5:$A$14,0))</f>
        <v>1.43778801843318</v>
      </c>
      <c r="K564" s="42" t="n">
        <f aca="false">(F564-INDEX('Cohort Summary'!$H$5:$H$14,MATCH($A564,'Cohort Summary'!$A$5:$A$14,0)))/INDEX('Cohort Summary'!$I$5:$I$14,MATCH($A564,'Cohort Summary'!$A$5:$A$14,0))</f>
        <v>1.45126353790614</v>
      </c>
      <c r="L564" s="42" t="n">
        <f aca="false">(G564-INDEX('Cohort Summary'!$J$5:$J$14,MATCH($A564,'Cohort Summary'!$A$5:$A$14,0)))/INDEX('Cohort Summary'!$K$5:$K$14,MATCH($A564,'Cohort Summary'!$A$5:$A$14,0))</f>
        <v>-1.28070175438596</v>
      </c>
      <c r="M564" s="42" t="n">
        <f aca="false">MAX(I564:K564)</f>
        <v>1.45126353790614</v>
      </c>
      <c r="N564" s="27" t="s">
        <v>197</v>
      </c>
      <c r="O564" s="27"/>
      <c r="P564" s="27" t="str">
        <f aca="false">A564&amp;"|"&amp;N564</f>
        <v>NURSE-03|normal</v>
      </c>
    </row>
    <row r="565" customFormat="false" ht="15" hidden="false" customHeight="true" outlineLevel="0" collapsed="false">
      <c r="A565" s="27" t="s">
        <v>78</v>
      </c>
      <c r="B565" s="41" t="n">
        <v>46303.3482638889</v>
      </c>
      <c r="C565" s="27" t="s">
        <v>200</v>
      </c>
      <c r="D565" s="27" t="n">
        <v>40.4</v>
      </c>
      <c r="E565" s="27" t="n">
        <v>20.6</v>
      </c>
      <c r="F565" s="27" t="n">
        <v>30.4</v>
      </c>
      <c r="G565" s="27" t="n">
        <v>32.3</v>
      </c>
      <c r="H565" s="27" t="s">
        <v>199</v>
      </c>
      <c r="I565" s="42" t="n">
        <f aca="false">(D565-INDEX('Cohort Summary'!$D$5:$D$14,MATCH($A565,'Cohort Summary'!$A$5:$A$14,0)))/INDEX('Cohort Summary'!$E$5:$E$14,MATCH($A565,'Cohort Summary'!$A$5:$A$14,0))</f>
        <v>1.22857142857143</v>
      </c>
      <c r="J565" s="42" t="n">
        <f aca="false">(E565-INDEX('Cohort Summary'!$F$5:$F$14,MATCH($A565,'Cohort Summary'!$A$5:$A$14,0)))/INDEX('Cohort Summary'!$G$5:$G$14,MATCH($A565,'Cohort Summary'!$A$5:$A$14,0))</f>
        <v>1.06912442396313</v>
      </c>
      <c r="K565" s="42" t="n">
        <f aca="false">(F565-INDEX('Cohort Summary'!$H$5:$H$14,MATCH($A565,'Cohort Summary'!$A$5:$A$14,0)))/INDEX('Cohort Summary'!$I$5:$I$14,MATCH($A565,'Cohort Summary'!$A$5:$A$14,0))</f>
        <v>0.981949458483754</v>
      </c>
      <c r="L565" s="42" t="n">
        <f aca="false">(G565-INDEX('Cohort Summary'!$J$5:$J$14,MATCH($A565,'Cohort Summary'!$A$5:$A$14,0)))/INDEX('Cohort Summary'!$K$5:$K$14,MATCH($A565,'Cohort Summary'!$A$5:$A$14,0))</f>
        <v>-1.80701754385965</v>
      </c>
      <c r="M565" s="42" t="n">
        <f aca="false">MAX(I565:K565)</f>
        <v>1.22857142857143</v>
      </c>
      <c r="N565" s="27" t="s">
        <v>197</v>
      </c>
      <c r="O565" s="27"/>
      <c r="P565" s="27" t="str">
        <f aca="false">A565&amp;"|"&amp;N565</f>
        <v>NURSE-03|normal</v>
      </c>
    </row>
    <row r="566" customFormat="false" ht="15" hidden="false" customHeight="true" outlineLevel="0" collapsed="false">
      <c r="A566" s="27" t="s">
        <v>78</v>
      </c>
      <c r="B566" s="41" t="n">
        <v>46303.3486111111</v>
      </c>
      <c r="C566" s="27" t="s">
        <v>200</v>
      </c>
      <c r="D566" s="27" t="n">
        <v>33.2</v>
      </c>
      <c r="E566" s="27" t="n">
        <v>17.6</v>
      </c>
      <c r="F566" s="27" t="n">
        <v>30.4</v>
      </c>
      <c r="G566" s="27" t="n">
        <v>34.2</v>
      </c>
      <c r="H566" s="27" t="s">
        <v>196</v>
      </c>
      <c r="I566" s="42" t="n">
        <f aca="false">(D566-INDEX('Cohort Summary'!$D$5:$D$14,MATCH($A566,'Cohort Summary'!$A$5:$A$14,0)))/INDEX('Cohort Summary'!$E$5:$E$14,MATCH($A566,'Cohort Summary'!$A$5:$A$14,0))</f>
        <v>-1.34285714285714</v>
      </c>
      <c r="J566" s="42" t="n">
        <f aca="false">(E566-INDEX('Cohort Summary'!$F$5:$F$14,MATCH($A566,'Cohort Summary'!$A$5:$A$14,0)))/INDEX('Cohort Summary'!$G$5:$G$14,MATCH($A566,'Cohort Summary'!$A$5:$A$14,0))</f>
        <v>-0.313364055299539</v>
      </c>
      <c r="K566" s="42" t="n">
        <f aca="false">(F566-INDEX('Cohort Summary'!$H$5:$H$14,MATCH($A566,'Cohort Summary'!$A$5:$A$14,0)))/INDEX('Cohort Summary'!$I$5:$I$14,MATCH($A566,'Cohort Summary'!$A$5:$A$14,0))</f>
        <v>0.981949458483754</v>
      </c>
      <c r="L566" s="42" t="n">
        <f aca="false">(G566-INDEX('Cohort Summary'!$J$5:$J$14,MATCH($A566,'Cohort Summary'!$A$5:$A$14,0)))/INDEX('Cohort Summary'!$K$5:$K$14,MATCH($A566,'Cohort Summary'!$A$5:$A$14,0))</f>
        <v>1.52631578947369</v>
      </c>
      <c r="M566" s="42" t="n">
        <f aca="false">MAX(I566:K566)</f>
        <v>0.981949458483754</v>
      </c>
      <c r="N566" s="27" t="s">
        <v>197</v>
      </c>
      <c r="O566" s="27"/>
      <c r="P566" s="27" t="str">
        <f aca="false">A566&amp;"|"&amp;N566</f>
        <v>NURSE-03|normal</v>
      </c>
    </row>
    <row r="567" customFormat="false" ht="15" hidden="false" customHeight="true" outlineLevel="0" collapsed="false">
      <c r="A567" s="27" t="s">
        <v>78</v>
      </c>
      <c r="B567" s="41" t="n">
        <v>46303.3489583333</v>
      </c>
      <c r="C567" s="27" t="s">
        <v>200</v>
      </c>
      <c r="D567" s="27" t="n">
        <v>36.9</v>
      </c>
      <c r="E567" s="27" t="n">
        <v>20.7</v>
      </c>
      <c r="F567" s="27" t="n">
        <v>26.5</v>
      </c>
      <c r="G567" s="27" t="n">
        <v>33</v>
      </c>
      <c r="H567" s="27" t="s">
        <v>199</v>
      </c>
      <c r="I567" s="42" t="n">
        <f aca="false">(D567-INDEX('Cohort Summary'!$D$5:$D$14,MATCH($A567,'Cohort Summary'!$A$5:$A$14,0)))/INDEX('Cohort Summary'!$E$5:$E$14,MATCH($A567,'Cohort Summary'!$A$5:$A$14,0))</f>
        <v>-0.0214285714285722</v>
      </c>
      <c r="J567" s="42" t="n">
        <f aca="false">(E567-INDEX('Cohort Summary'!$F$5:$F$14,MATCH($A567,'Cohort Summary'!$A$5:$A$14,0)))/INDEX('Cohort Summary'!$G$5:$G$14,MATCH($A567,'Cohort Summary'!$A$5:$A$14,0))</f>
        <v>1.11520737327189</v>
      </c>
      <c r="K567" s="42" t="n">
        <f aca="false">(F567-INDEX('Cohort Summary'!$H$5:$H$14,MATCH($A567,'Cohort Summary'!$A$5:$A$14,0)))/INDEX('Cohort Summary'!$I$5:$I$14,MATCH($A567,'Cohort Summary'!$A$5:$A$14,0))</f>
        <v>-0.425992779783393</v>
      </c>
      <c r="L567" s="42" t="n">
        <f aca="false">(G567-INDEX('Cohort Summary'!$J$5:$J$14,MATCH($A567,'Cohort Summary'!$A$5:$A$14,0)))/INDEX('Cohort Summary'!$K$5:$K$14,MATCH($A567,'Cohort Summary'!$A$5:$A$14,0))</f>
        <v>-0.57894736842105</v>
      </c>
      <c r="M567" s="42" t="n">
        <f aca="false">MAX(I567:K567)</f>
        <v>1.11520737327189</v>
      </c>
      <c r="N567" s="27" t="s">
        <v>197</v>
      </c>
      <c r="O567" s="27"/>
      <c r="P567" s="27" t="str">
        <f aca="false">A567&amp;"|"&amp;N567</f>
        <v>NURSE-03|normal</v>
      </c>
    </row>
    <row r="568" customFormat="false" ht="15" hidden="false" customHeight="true" outlineLevel="0" collapsed="false">
      <c r="A568" s="27" t="s">
        <v>78</v>
      </c>
      <c r="B568" s="41" t="n">
        <v>46303.3493055556</v>
      </c>
      <c r="C568" s="27" t="s">
        <v>200</v>
      </c>
      <c r="D568" s="27" t="n">
        <v>40</v>
      </c>
      <c r="E568" s="27" t="n">
        <v>15.8</v>
      </c>
      <c r="F568" s="27" t="n">
        <v>32.3</v>
      </c>
      <c r="G568" s="27" t="n">
        <v>33.7</v>
      </c>
      <c r="H568" s="27" t="s">
        <v>199</v>
      </c>
      <c r="I568" s="42" t="n">
        <f aca="false">(D568-INDEX('Cohort Summary'!$D$5:$D$14,MATCH($A568,'Cohort Summary'!$A$5:$A$14,0)))/INDEX('Cohort Summary'!$E$5:$E$14,MATCH($A568,'Cohort Summary'!$A$5:$A$14,0))</f>
        <v>1.08571428571429</v>
      </c>
      <c r="J568" s="42" t="n">
        <f aca="false">(E568-INDEX('Cohort Summary'!$F$5:$F$14,MATCH($A568,'Cohort Summary'!$A$5:$A$14,0)))/INDEX('Cohort Summary'!$G$5:$G$14,MATCH($A568,'Cohort Summary'!$A$5:$A$14,0))</f>
        <v>-1.14285714285714</v>
      </c>
      <c r="K568" s="42" t="n">
        <f aca="false">(F568-INDEX('Cohort Summary'!$H$5:$H$14,MATCH($A568,'Cohort Summary'!$A$5:$A$14,0)))/INDEX('Cohort Summary'!$I$5:$I$14,MATCH($A568,'Cohort Summary'!$A$5:$A$14,0))</f>
        <v>1.66787003610108</v>
      </c>
      <c r="L568" s="42" t="n">
        <f aca="false">(G568-INDEX('Cohort Summary'!$J$5:$J$14,MATCH($A568,'Cohort Summary'!$A$5:$A$14,0)))/INDEX('Cohort Summary'!$K$5:$K$14,MATCH($A568,'Cohort Summary'!$A$5:$A$14,0))</f>
        <v>0.649122807017552</v>
      </c>
      <c r="M568" s="42" t="n">
        <f aca="false">MAX(I568:K568)</f>
        <v>1.66787003610108</v>
      </c>
      <c r="N568" s="27" t="s">
        <v>197</v>
      </c>
      <c r="O568" s="27"/>
      <c r="P568" s="27" t="str">
        <f aca="false">A568&amp;"|"&amp;N568</f>
        <v>NURSE-03|normal</v>
      </c>
    </row>
    <row r="569" customFormat="false" ht="15" hidden="false" customHeight="true" outlineLevel="0" collapsed="false">
      <c r="A569" s="27" t="s">
        <v>78</v>
      </c>
      <c r="B569" s="41" t="n">
        <v>46303.3496527778</v>
      </c>
      <c r="C569" s="27" t="s">
        <v>200</v>
      </c>
      <c r="D569" s="27" t="n">
        <v>35.5</v>
      </c>
      <c r="E569" s="27" t="n">
        <v>19.9</v>
      </c>
      <c r="F569" s="27" t="n">
        <v>23.2</v>
      </c>
      <c r="G569" s="27" t="n">
        <v>34.3</v>
      </c>
      <c r="H569" s="27" t="s">
        <v>199</v>
      </c>
      <c r="I569" s="42" t="n">
        <f aca="false">(D569-INDEX('Cohort Summary'!$D$5:$D$14,MATCH($A569,'Cohort Summary'!$A$5:$A$14,0)))/INDEX('Cohort Summary'!$E$5:$E$14,MATCH($A569,'Cohort Summary'!$A$5:$A$14,0))</f>
        <v>-0.521428571428572</v>
      </c>
      <c r="J569" s="42" t="n">
        <f aca="false">(E569-INDEX('Cohort Summary'!$F$5:$F$14,MATCH($A569,'Cohort Summary'!$A$5:$A$14,0)))/INDEX('Cohort Summary'!$G$5:$G$14,MATCH($A569,'Cohort Summary'!$A$5:$A$14,0))</f>
        <v>0.746543778801842</v>
      </c>
      <c r="K569" s="42" t="n">
        <f aca="false">(F569-INDEX('Cohort Summary'!$H$5:$H$14,MATCH($A569,'Cohort Summary'!$A$5:$A$14,0)))/INDEX('Cohort Summary'!$I$5:$I$14,MATCH($A569,'Cohort Summary'!$A$5:$A$14,0))</f>
        <v>-1.6173285198556</v>
      </c>
      <c r="L569" s="42" t="n">
        <f aca="false">(G569-INDEX('Cohort Summary'!$J$5:$J$14,MATCH($A569,'Cohort Summary'!$A$5:$A$14,0)))/INDEX('Cohort Summary'!$K$5:$K$14,MATCH($A569,'Cohort Summary'!$A$5:$A$14,0))</f>
        <v>1.70175438596491</v>
      </c>
      <c r="M569" s="42" t="n">
        <f aca="false">MAX(I569:K569)</f>
        <v>0.746543778801842</v>
      </c>
      <c r="N569" s="27" t="s">
        <v>197</v>
      </c>
      <c r="O569" s="27"/>
      <c r="P569" s="27" t="str">
        <f aca="false">A569&amp;"|"&amp;N569</f>
        <v>NURSE-03|normal</v>
      </c>
    </row>
    <row r="570" customFormat="false" ht="15" hidden="false" customHeight="true" outlineLevel="0" collapsed="false">
      <c r="A570" s="27" t="s">
        <v>78</v>
      </c>
      <c r="B570" s="41" t="n">
        <v>46303.35</v>
      </c>
      <c r="C570" s="27" t="s">
        <v>200</v>
      </c>
      <c r="D570" s="27" t="n">
        <v>33.1</v>
      </c>
      <c r="E570" s="27" t="n">
        <v>15.1</v>
      </c>
      <c r="F570" s="27" t="n">
        <v>24.1</v>
      </c>
      <c r="G570" s="27" t="n">
        <v>33.9</v>
      </c>
      <c r="H570" s="27" t="s">
        <v>198</v>
      </c>
      <c r="I570" s="42" t="n">
        <f aca="false">(D570-INDEX('Cohort Summary'!$D$5:$D$14,MATCH($A570,'Cohort Summary'!$A$5:$A$14,0)))/INDEX('Cohort Summary'!$E$5:$E$14,MATCH($A570,'Cohort Summary'!$A$5:$A$14,0))</f>
        <v>-1.37857142857143</v>
      </c>
      <c r="J570" s="42" t="n">
        <f aca="false">(E570-INDEX('Cohort Summary'!$F$5:$F$14,MATCH($A570,'Cohort Summary'!$A$5:$A$14,0)))/INDEX('Cohort Summary'!$G$5:$G$14,MATCH($A570,'Cohort Summary'!$A$5:$A$14,0))</f>
        <v>-1.46543778801843</v>
      </c>
      <c r="K570" s="42" t="n">
        <f aca="false">(F570-INDEX('Cohort Summary'!$H$5:$H$14,MATCH($A570,'Cohort Summary'!$A$5:$A$14,0)))/INDEX('Cohort Summary'!$I$5:$I$14,MATCH($A570,'Cohort Summary'!$A$5:$A$14,0))</f>
        <v>-1.29241877256318</v>
      </c>
      <c r="L570" s="42" t="n">
        <f aca="false">(G570-INDEX('Cohort Summary'!$J$5:$J$14,MATCH($A570,'Cohort Summary'!$A$5:$A$14,0)))/INDEX('Cohort Summary'!$K$5:$K$14,MATCH($A570,'Cohort Summary'!$A$5:$A$14,0))</f>
        <v>1</v>
      </c>
      <c r="M570" s="42" t="n">
        <f aca="false">MAX(I570:K570)</f>
        <v>-1.29241877256318</v>
      </c>
      <c r="N570" s="27" t="s">
        <v>197</v>
      </c>
      <c r="O570" s="27"/>
      <c r="P570" s="27" t="str">
        <f aca="false">A570&amp;"|"&amp;N570</f>
        <v>NURSE-03|normal</v>
      </c>
    </row>
    <row r="571" customFormat="false" ht="15" hidden="false" customHeight="true" outlineLevel="0" collapsed="false">
      <c r="A571" s="27" t="s">
        <v>78</v>
      </c>
      <c r="B571" s="41" t="n">
        <v>46303.3503472222</v>
      </c>
      <c r="C571" s="27" t="s">
        <v>200</v>
      </c>
      <c r="D571" s="27" t="n">
        <v>33.5</v>
      </c>
      <c r="E571" s="27" t="n">
        <v>21.5</v>
      </c>
      <c r="F571" s="27" t="n">
        <v>31.7</v>
      </c>
      <c r="G571" s="27" t="n">
        <v>33.6</v>
      </c>
      <c r="H571" s="27" t="s">
        <v>198</v>
      </c>
      <c r="I571" s="42" t="n">
        <f aca="false">(D571-INDEX('Cohort Summary'!$D$5:$D$14,MATCH($A571,'Cohort Summary'!$A$5:$A$14,0)))/INDEX('Cohort Summary'!$E$5:$E$14,MATCH($A571,'Cohort Summary'!$A$5:$A$14,0))</f>
        <v>-1.23571428571429</v>
      </c>
      <c r="J571" s="42" t="n">
        <f aca="false">(E571-INDEX('Cohort Summary'!$F$5:$F$14,MATCH($A571,'Cohort Summary'!$A$5:$A$14,0)))/INDEX('Cohort Summary'!$G$5:$G$14,MATCH($A571,'Cohort Summary'!$A$5:$A$14,0))</f>
        <v>1.48387096774194</v>
      </c>
      <c r="K571" s="42" t="n">
        <f aca="false">(F571-INDEX('Cohort Summary'!$H$5:$H$14,MATCH($A571,'Cohort Summary'!$A$5:$A$14,0)))/INDEX('Cohort Summary'!$I$5:$I$14,MATCH($A571,'Cohort Summary'!$A$5:$A$14,0))</f>
        <v>1.45126353790614</v>
      </c>
      <c r="L571" s="42" t="n">
        <f aca="false">(G571-INDEX('Cohort Summary'!$J$5:$J$14,MATCH($A571,'Cohort Summary'!$A$5:$A$14,0)))/INDEX('Cohort Summary'!$K$5:$K$14,MATCH($A571,'Cohort Summary'!$A$5:$A$14,0))</f>
        <v>0.473684210526321</v>
      </c>
      <c r="M571" s="42" t="n">
        <f aca="false">MAX(I571:K571)</f>
        <v>1.48387096774194</v>
      </c>
      <c r="N571" s="27" t="s">
        <v>197</v>
      </c>
      <c r="O571" s="27"/>
      <c r="P571" s="27" t="str">
        <f aca="false">A571&amp;"|"&amp;N571</f>
        <v>NURSE-03|normal</v>
      </c>
    </row>
    <row r="572" customFormat="false" ht="15" hidden="false" customHeight="true" outlineLevel="0" collapsed="false">
      <c r="A572" s="27" t="s">
        <v>78</v>
      </c>
      <c r="B572" s="41" t="n">
        <v>46303.3506944445</v>
      </c>
      <c r="C572" s="27" t="s">
        <v>200</v>
      </c>
      <c r="D572" s="27" t="n">
        <v>37.9</v>
      </c>
      <c r="E572" s="27" t="n">
        <v>16.8</v>
      </c>
      <c r="F572" s="27" t="n">
        <v>33</v>
      </c>
      <c r="G572" s="27" t="n">
        <v>33.8</v>
      </c>
      <c r="H572" s="27" t="s">
        <v>199</v>
      </c>
      <c r="I572" s="42" t="n">
        <f aca="false">(D572-INDEX('Cohort Summary'!$D$5:$D$14,MATCH($A572,'Cohort Summary'!$A$5:$A$14,0)))/INDEX('Cohort Summary'!$E$5:$E$14,MATCH($A572,'Cohort Summary'!$A$5:$A$14,0))</f>
        <v>0.335714285714285</v>
      </c>
      <c r="J572" s="42" t="n">
        <f aca="false">(E572-INDEX('Cohort Summary'!$F$5:$F$14,MATCH($A572,'Cohort Summary'!$A$5:$A$14,0)))/INDEX('Cohort Summary'!$G$5:$G$14,MATCH($A572,'Cohort Summary'!$A$5:$A$14,0))</f>
        <v>-0.682027649769586</v>
      </c>
      <c r="K572" s="42" t="n">
        <f aca="false">(F572-INDEX('Cohort Summary'!$H$5:$H$14,MATCH($A572,'Cohort Summary'!$A$5:$A$14,0)))/INDEX('Cohort Summary'!$I$5:$I$14,MATCH($A572,'Cohort Summary'!$A$5:$A$14,0))</f>
        <v>1.92057761732852</v>
      </c>
      <c r="L572" s="42" t="n">
        <f aca="false">(G572-INDEX('Cohort Summary'!$J$5:$J$14,MATCH($A572,'Cohort Summary'!$A$5:$A$14,0)))/INDEX('Cohort Summary'!$K$5:$K$14,MATCH($A572,'Cohort Summary'!$A$5:$A$14,0))</f>
        <v>0.82456140350877</v>
      </c>
      <c r="M572" s="42" t="n">
        <f aca="false">MAX(I572:K572)</f>
        <v>1.92057761732852</v>
      </c>
      <c r="N572" s="27" t="s">
        <v>197</v>
      </c>
      <c r="O572" s="27"/>
      <c r="P572" s="27" t="str">
        <f aca="false">A572&amp;"|"&amp;N572</f>
        <v>NURSE-03|normal</v>
      </c>
    </row>
    <row r="573" customFormat="false" ht="15" hidden="false" customHeight="true" outlineLevel="0" collapsed="false">
      <c r="A573" s="27" t="s">
        <v>78</v>
      </c>
      <c r="B573" s="41" t="n">
        <v>46303.3510416667</v>
      </c>
      <c r="C573" s="27" t="s">
        <v>200</v>
      </c>
      <c r="D573" s="27" t="n">
        <v>41.5</v>
      </c>
      <c r="E573" s="27" t="n">
        <v>15.1</v>
      </c>
      <c r="F573" s="27" t="n">
        <v>26.4</v>
      </c>
      <c r="G573" s="27" t="n">
        <v>32.6</v>
      </c>
      <c r="H573" s="27" t="s">
        <v>196</v>
      </c>
      <c r="I573" s="42" t="n">
        <f aca="false">(D573-INDEX('Cohort Summary'!$D$5:$D$14,MATCH($A573,'Cohort Summary'!$A$5:$A$14,0)))/INDEX('Cohort Summary'!$E$5:$E$14,MATCH($A573,'Cohort Summary'!$A$5:$A$14,0))</f>
        <v>1.62142857142857</v>
      </c>
      <c r="J573" s="42" t="n">
        <f aca="false">(E573-INDEX('Cohort Summary'!$F$5:$F$14,MATCH($A573,'Cohort Summary'!$A$5:$A$14,0)))/INDEX('Cohort Summary'!$G$5:$G$14,MATCH($A573,'Cohort Summary'!$A$5:$A$14,0))</f>
        <v>-1.46543778801843</v>
      </c>
      <c r="K573" s="42" t="n">
        <f aca="false">(F573-INDEX('Cohort Summary'!$H$5:$H$14,MATCH($A573,'Cohort Summary'!$A$5:$A$14,0)))/INDEX('Cohort Summary'!$I$5:$I$14,MATCH($A573,'Cohort Summary'!$A$5:$A$14,0))</f>
        <v>-0.462093862815885</v>
      </c>
      <c r="L573" s="42" t="n">
        <f aca="false">(G573-INDEX('Cohort Summary'!$J$5:$J$14,MATCH($A573,'Cohort Summary'!$A$5:$A$14,0)))/INDEX('Cohort Summary'!$K$5:$K$14,MATCH($A573,'Cohort Summary'!$A$5:$A$14,0))</f>
        <v>-1.28070175438596</v>
      </c>
      <c r="M573" s="42" t="n">
        <f aca="false">MAX(I573:K573)</f>
        <v>1.62142857142857</v>
      </c>
      <c r="N573" s="27" t="s">
        <v>197</v>
      </c>
      <c r="O573" s="27"/>
      <c r="P573" s="27" t="str">
        <f aca="false">A573&amp;"|"&amp;N573</f>
        <v>NURSE-03|normal</v>
      </c>
    </row>
    <row r="574" customFormat="false" ht="15" hidden="false" customHeight="true" outlineLevel="0" collapsed="false">
      <c r="A574" s="27" t="s">
        <v>78</v>
      </c>
      <c r="B574" s="41" t="n">
        <v>46303.3513888889</v>
      </c>
      <c r="C574" s="27" t="s">
        <v>200</v>
      </c>
      <c r="D574" s="27" t="n">
        <v>36.8</v>
      </c>
      <c r="E574" s="27" t="n">
        <v>15.2</v>
      </c>
      <c r="F574" s="27" t="n">
        <v>31.4</v>
      </c>
      <c r="G574" s="27" t="n">
        <v>33.9</v>
      </c>
      <c r="H574" s="27" t="s">
        <v>196</v>
      </c>
      <c r="I574" s="42" t="n">
        <f aca="false">(D574-INDEX('Cohort Summary'!$D$5:$D$14,MATCH($A574,'Cohort Summary'!$A$5:$A$14,0)))/INDEX('Cohort Summary'!$E$5:$E$14,MATCH($A574,'Cohort Summary'!$A$5:$A$14,0))</f>
        <v>-0.0571428571428585</v>
      </c>
      <c r="J574" s="42" t="n">
        <f aca="false">(E574-INDEX('Cohort Summary'!$F$5:$F$14,MATCH($A574,'Cohort Summary'!$A$5:$A$14,0)))/INDEX('Cohort Summary'!$G$5:$G$14,MATCH($A574,'Cohort Summary'!$A$5:$A$14,0))</f>
        <v>-1.41935483870968</v>
      </c>
      <c r="K574" s="42" t="n">
        <f aca="false">(F574-INDEX('Cohort Summary'!$H$5:$H$14,MATCH($A574,'Cohort Summary'!$A$5:$A$14,0)))/INDEX('Cohort Summary'!$I$5:$I$14,MATCH($A574,'Cohort Summary'!$A$5:$A$14,0))</f>
        <v>1.34296028880866</v>
      </c>
      <c r="L574" s="42" t="n">
        <f aca="false">(G574-INDEX('Cohort Summary'!$J$5:$J$14,MATCH($A574,'Cohort Summary'!$A$5:$A$14,0)))/INDEX('Cohort Summary'!$K$5:$K$14,MATCH($A574,'Cohort Summary'!$A$5:$A$14,0))</f>
        <v>1</v>
      </c>
      <c r="M574" s="42" t="n">
        <f aca="false">MAX(I574:K574)</f>
        <v>1.34296028880866</v>
      </c>
      <c r="N574" s="27" t="s">
        <v>197</v>
      </c>
      <c r="O574" s="27"/>
      <c r="P574" s="27" t="str">
        <f aca="false">A574&amp;"|"&amp;N574</f>
        <v>NURSE-03|normal</v>
      </c>
    </row>
    <row r="575" customFormat="false" ht="15" hidden="false" customHeight="true" outlineLevel="0" collapsed="false">
      <c r="A575" s="27" t="s">
        <v>78</v>
      </c>
      <c r="B575" s="41" t="n">
        <v>46303.3517361111</v>
      </c>
      <c r="C575" s="27" t="s">
        <v>200</v>
      </c>
      <c r="D575" s="27" t="n">
        <v>40.2</v>
      </c>
      <c r="E575" s="27" t="n">
        <v>19.8</v>
      </c>
      <c r="F575" s="27" t="n">
        <v>26.9</v>
      </c>
      <c r="G575" s="27" t="n">
        <v>34.8</v>
      </c>
      <c r="H575" s="27" t="s">
        <v>198</v>
      </c>
      <c r="I575" s="42" t="n">
        <f aca="false">(D575-INDEX('Cohort Summary'!$D$5:$D$14,MATCH($A575,'Cohort Summary'!$A$5:$A$14,0)))/INDEX('Cohort Summary'!$E$5:$E$14,MATCH($A575,'Cohort Summary'!$A$5:$A$14,0))</f>
        <v>1.15714285714286</v>
      </c>
      <c r="J575" s="42" t="n">
        <f aca="false">(E575-INDEX('Cohort Summary'!$F$5:$F$14,MATCH($A575,'Cohort Summary'!$A$5:$A$14,0)))/INDEX('Cohort Summary'!$G$5:$G$14,MATCH($A575,'Cohort Summary'!$A$5:$A$14,0))</f>
        <v>0.700460829493087</v>
      </c>
      <c r="K575" s="42" t="n">
        <f aca="false">(F575-INDEX('Cohort Summary'!$H$5:$H$14,MATCH($A575,'Cohort Summary'!$A$5:$A$14,0)))/INDEX('Cohort Summary'!$I$5:$I$14,MATCH($A575,'Cohort Summary'!$A$5:$A$14,0))</f>
        <v>-0.28158844765343</v>
      </c>
      <c r="L575" s="42" t="n">
        <f aca="false">(G575-INDEX('Cohort Summary'!$J$5:$J$14,MATCH($A575,'Cohort Summary'!$A$5:$A$14,0)))/INDEX('Cohort Summary'!$K$5:$K$14,MATCH($A575,'Cohort Summary'!$A$5:$A$14,0))</f>
        <v>2.57894736842105</v>
      </c>
      <c r="M575" s="42" t="n">
        <f aca="false">MAX(I575:K575)</f>
        <v>1.15714285714286</v>
      </c>
      <c r="N575" s="27" t="s">
        <v>201</v>
      </c>
      <c r="O575" s="27" t="s">
        <v>228</v>
      </c>
      <c r="P575" s="27" t="str">
        <f aca="false">A575&amp;"|"&amp;N575</f>
        <v>NURSE-03|caution</v>
      </c>
    </row>
    <row r="576" customFormat="false" ht="15" hidden="false" customHeight="true" outlineLevel="0" collapsed="false">
      <c r="A576" s="27" t="s">
        <v>78</v>
      </c>
      <c r="B576" s="41" t="n">
        <v>46303.3520833333</v>
      </c>
      <c r="C576" s="27" t="s">
        <v>200</v>
      </c>
      <c r="D576" s="27" t="n">
        <v>38.9</v>
      </c>
      <c r="E576" s="27" t="n">
        <v>18.1</v>
      </c>
      <c r="F576" s="27" t="n">
        <v>25.3</v>
      </c>
      <c r="G576" s="27" t="n">
        <v>35.7</v>
      </c>
      <c r="H576" s="27" t="s">
        <v>196</v>
      </c>
      <c r="I576" s="42" t="n">
        <f aca="false">(D576-INDEX('Cohort Summary'!$D$5:$D$14,MATCH($A576,'Cohort Summary'!$A$5:$A$14,0)))/INDEX('Cohort Summary'!$E$5:$E$14,MATCH($A576,'Cohort Summary'!$A$5:$A$14,0))</f>
        <v>0.692857142857142</v>
      </c>
      <c r="J576" s="42" t="n">
        <f aca="false">(E576-INDEX('Cohort Summary'!$F$5:$F$14,MATCH($A576,'Cohort Summary'!$A$5:$A$14,0)))/INDEX('Cohort Summary'!$G$5:$G$14,MATCH($A576,'Cohort Summary'!$A$5:$A$14,0))</f>
        <v>-0.0829493087557603</v>
      </c>
      <c r="K576" s="42" t="n">
        <f aca="false">(F576-INDEX('Cohort Summary'!$H$5:$H$14,MATCH($A576,'Cohort Summary'!$A$5:$A$14,0)))/INDEX('Cohort Summary'!$I$5:$I$14,MATCH($A576,'Cohort Summary'!$A$5:$A$14,0))</f>
        <v>-0.859205776173285</v>
      </c>
      <c r="L576" s="42" t="n">
        <f aca="false">(G576-INDEX('Cohort Summary'!$J$5:$J$14,MATCH($A576,'Cohort Summary'!$A$5:$A$14,0)))/INDEX('Cohort Summary'!$K$5:$K$14,MATCH($A576,'Cohort Summary'!$A$5:$A$14,0))</f>
        <v>4.15789473684211</v>
      </c>
      <c r="M576" s="42" t="n">
        <f aca="false">MAX(I576:K576)</f>
        <v>0.692857142857142</v>
      </c>
      <c r="N576" s="27" t="s">
        <v>201</v>
      </c>
      <c r="O576" s="27" t="s">
        <v>229</v>
      </c>
      <c r="P576" s="27" t="str">
        <f aca="false">A576&amp;"|"&amp;N576</f>
        <v>NURSE-03|caution</v>
      </c>
    </row>
    <row r="577" customFormat="false" ht="15" hidden="false" customHeight="true" outlineLevel="0" collapsed="false">
      <c r="A577" s="27" t="s">
        <v>78</v>
      </c>
      <c r="B577" s="41" t="n">
        <v>46303.3524305556</v>
      </c>
      <c r="C577" s="27" t="s">
        <v>200</v>
      </c>
      <c r="D577" s="27" t="n">
        <v>32.8</v>
      </c>
      <c r="E577" s="27" t="n">
        <v>17.3</v>
      </c>
      <c r="F577" s="27" t="n">
        <v>25.2</v>
      </c>
      <c r="G577" s="27" t="n">
        <v>35.6</v>
      </c>
      <c r="H577" s="27" t="s">
        <v>196</v>
      </c>
      <c r="I577" s="42" t="n">
        <f aca="false">(D577-INDEX('Cohort Summary'!$D$5:$D$14,MATCH($A577,'Cohort Summary'!$A$5:$A$14,0)))/INDEX('Cohort Summary'!$E$5:$E$14,MATCH($A577,'Cohort Summary'!$A$5:$A$14,0))</f>
        <v>-1.48571428571429</v>
      </c>
      <c r="J577" s="42" t="n">
        <f aca="false">(E577-INDEX('Cohort Summary'!$F$5:$F$14,MATCH($A577,'Cohort Summary'!$A$5:$A$14,0)))/INDEX('Cohort Summary'!$G$5:$G$14,MATCH($A577,'Cohort Summary'!$A$5:$A$14,0))</f>
        <v>-0.451612903225807</v>
      </c>
      <c r="K577" s="42" t="n">
        <f aca="false">(F577-INDEX('Cohort Summary'!$H$5:$H$14,MATCH($A577,'Cohort Summary'!$A$5:$A$14,0)))/INDEX('Cohort Summary'!$I$5:$I$14,MATCH($A577,'Cohort Summary'!$A$5:$A$14,0))</f>
        <v>-0.895306859205776</v>
      </c>
      <c r="L577" s="42" t="n">
        <f aca="false">(G577-INDEX('Cohort Summary'!$J$5:$J$14,MATCH($A577,'Cohort Summary'!$A$5:$A$14,0)))/INDEX('Cohort Summary'!$K$5:$K$14,MATCH($A577,'Cohort Summary'!$A$5:$A$14,0))</f>
        <v>3.98245614035088</v>
      </c>
      <c r="M577" s="42" t="n">
        <f aca="false">MAX(I577:K577)</f>
        <v>-0.451612903225807</v>
      </c>
      <c r="N577" s="27" t="s">
        <v>201</v>
      </c>
      <c r="O577" s="27" t="s">
        <v>230</v>
      </c>
      <c r="P577" s="27" t="str">
        <f aca="false">A577&amp;"|"&amp;N577</f>
        <v>NURSE-03|caution</v>
      </c>
    </row>
    <row r="578" customFormat="false" ht="15" hidden="false" customHeight="true" outlineLevel="0" collapsed="false">
      <c r="A578" s="27" t="s">
        <v>78</v>
      </c>
      <c r="B578" s="41" t="n">
        <v>46303.3527777778</v>
      </c>
      <c r="C578" s="27" t="s">
        <v>200</v>
      </c>
      <c r="D578" s="27" t="n">
        <v>38.2</v>
      </c>
      <c r="E578" s="27" t="n">
        <v>16.5</v>
      </c>
      <c r="F578" s="27" t="n">
        <v>31.2</v>
      </c>
      <c r="G578" s="27" t="n">
        <v>35.3</v>
      </c>
      <c r="H578" s="27" t="s">
        <v>199</v>
      </c>
      <c r="I578" s="42" t="n">
        <f aca="false">(D578-INDEX('Cohort Summary'!$D$5:$D$14,MATCH($A578,'Cohort Summary'!$A$5:$A$14,0)))/INDEX('Cohort Summary'!$E$5:$E$14,MATCH($A578,'Cohort Summary'!$A$5:$A$14,0))</f>
        <v>0.442857142857144</v>
      </c>
      <c r="J578" s="42" t="n">
        <f aca="false">(E578-INDEX('Cohort Summary'!$F$5:$F$14,MATCH($A578,'Cohort Summary'!$A$5:$A$14,0)))/INDEX('Cohort Summary'!$G$5:$G$14,MATCH($A578,'Cohort Summary'!$A$5:$A$14,0))</f>
        <v>-0.820276497695853</v>
      </c>
      <c r="K578" s="42" t="n">
        <f aca="false">(F578-INDEX('Cohort Summary'!$H$5:$H$14,MATCH($A578,'Cohort Summary'!$A$5:$A$14,0)))/INDEX('Cohort Summary'!$I$5:$I$14,MATCH($A578,'Cohort Summary'!$A$5:$A$14,0))</f>
        <v>1.27075812274368</v>
      </c>
      <c r="L578" s="42" t="n">
        <f aca="false">(G578-INDEX('Cohort Summary'!$J$5:$J$14,MATCH($A578,'Cohort Summary'!$A$5:$A$14,0)))/INDEX('Cohort Summary'!$K$5:$K$14,MATCH($A578,'Cohort Summary'!$A$5:$A$14,0))</f>
        <v>3.45614035087719</v>
      </c>
      <c r="M578" s="42" t="n">
        <f aca="false">MAX(I578:K578)</f>
        <v>1.27075812274368</v>
      </c>
      <c r="N578" s="27" t="s">
        <v>201</v>
      </c>
      <c r="O578" s="27" t="s">
        <v>226</v>
      </c>
      <c r="P578" s="27" t="str">
        <f aca="false">A578&amp;"|"&amp;N578</f>
        <v>NURSE-03|caution</v>
      </c>
    </row>
    <row r="579" customFormat="false" ht="15" hidden="false" customHeight="true" outlineLevel="0" collapsed="false">
      <c r="A579" s="27" t="s">
        <v>78</v>
      </c>
      <c r="B579" s="41" t="n">
        <v>46303.353125</v>
      </c>
      <c r="C579" s="27" t="s">
        <v>200</v>
      </c>
      <c r="D579" s="27" t="n">
        <v>37.8</v>
      </c>
      <c r="E579" s="27" t="n">
        <v>17.7</v>
      </c>
      <c r="F579" s="27" t="n">
        <v>26.5</v>
      </c>
      <c r="G579" s="27" t="n">
        <v>32.3</v>
      </c>
      <c r="H579" s="27" t="s">
        <v>196</v>
      </c>
      <c r="I579" s="42" t="n">
        <f aca="false">(D579-INDEX('Cohort Summary'!$D$5:$D$14,MATCH($A579,'Cohort Summary'!$A$5:$A$14,0)))/INDEX('Cohort Summary'!$E$5:$E$14,MATCH($A579,'Cohort Summary'!$A$5:$A$14,0))</f>
        <v>0.299999999999999</v>
      </c>
      <c r="J579" s="42" t="n">
        <f aca="false">(E579-INDEX('Cohort Summary'!$F$5:$F$14,MATCH($A579,'Cohort Summary'!$A$5:$A$14,0)))/INDEX('Cohort Summary'!$G$5:$G$14,MATCH($A579,'Cohort Summary'!$A$5:$A$14,0))</f>
        <v>-0.267281105990784</v>
      </c>
      <c r="K579" s="42" t="n">
        <f aca="false">(F579-INDEX('Cohort Summary'!$H$5:$H$14,MATCH($A579,'Cohort Summary'!$A$5:$A$14,0)))/INDEX('Cohort Summary'!$I$5:$I$14,MATCH($A579,'Cohort Summary'!$A$5:$A$14,0))</f>
        <v>-0.425992779783393</v>
      </c>
      <c r="L579" s="42" t="n">
        <f aca="false">(G579-INDEX('Cohort Summary'!$J$5:$J$14,MATCH($A579,'Cohort Summary'!$A$5:$A$14,0)))/INDEX('Cohort Summary'!$K$5:$K$14,MATCH($A579,'Cohort Summary'!$A$5:$A$14,0))</f>
        <v>-1.80701754385965</v>
      </c>
      <c r="M579" s="42" t="n">
        <f aca="false">MAX(I579:K579)</f>
        <v>0.299999999999999</v>
      </c>
      <c r="N579" s="27" t="s">
        <v>197</v>
      </c>
      <c r="O579" s="27"/>
      <c r="P579" s="27" t="str">
        <f aca="false">A579&amp;"|"&amp;N579</f>
        <v>NURSE-03|normal</v>
      </c>
    </row>
    <row r="580" customFormat="false" ht="15" hidden="false" customHeight="true" outlineLevel="0" collapsed="false">
      <c r="A580" s="27" t="s">
        <v>78</v>
      </c>
      <c r="B580" s="41" t="n">
        <v>46303.3534722222</v>
      </c>
      <c r="C580" s="27" t="s">
        <v>200</v>
      </c>
      <c r="D580" s="27" t="n">
        <v>36.8</v>
      </c>
      <c r="E580" s="27" t="n">
        <v>16.6</v>
      </c>
      <c r="F580" s="27" t="n">
        <v>25.5</v>
      </c>
      <c r="G580" s="27" t="n">
        <v>34.1</v>
      </c>
      <c r="H580" s="27" t="s">
        <v>196</v>
      </c>
      <c r="I580" s="42" t="n">
        <f aca="false">(D580-INDEX('Cohort Summary'!$D$5:$D$14,MATCH($A580,'Cohort Summary'!$A$5:$A$14,0)))/INDEX('Cohort Summary'!$E$5:$E$14,MATCH($A580,'Cohort Summary'!$A$5:$A$14,0))</f>
        <v>-0.0571428571428585</v>
      </c>
      <c r="J580" s="42" t="n">
        <f aca="false">(E580-INDEX('Cohort Summary'!$F$5:$F$14,MATCH($A580,'Cohort Summary'!$A$5:$A$14,0)))/INDEX('Cohort Summary'!$G$5:$G$14,MATCH($A580,'Cohort Summary'!$A$5:$A$14,0))</f>
        <v>-0.774193548387097</v>
      </c>
      <c r="K580" s="42" t="n">
        <f aca="false">(F580-INDEX('Cohort Summary'!$H$5:$H$14,MATCH($A580,'Cohort Summary'!$A$5:$A$14,0)))/INDEX('Cohort Summary'!$I$5:$I$14,MATCH($A580,'Cohort Summary'!$A$5:$A$14,0))</f>
        <v>-0.787003610108303</v>
      </c>
      <c r="L580" s="42" t="n">
        <f aca="false">(G580-INDEX('Cohort Summary'!$J$5:$J$14,MATCH($A580,'Cohort Summary'!$A$5:$A$14,0)))/INDEX('Cohort Summary'!$K$5:$K$14,MATCH($A580,'Cohort Summary'!$A$5:$A$14,0))</f>
        <v>1.35087719298246</v>
      </c>
      <c r="M580" s="42" t="n">
        <f aca="false">MAX(I580:K580)</f>
        <v>-0.0571428571428585</v>
      </c>
      <c r="N580" s="27" t="s">
        <v>197</v>
      </c>
      <c r="O580" s="27"/>
      <c r="P580" s="27" t="str">
        <f aca="false">A580&amp;"|"&amp;N580</f>
        <v>NURSE-03|normal</v>
      </c>
    </row>
    <row r="581" customFormat="false" ht="15" hidden="false" customHeight="true" outlineLevel="0" collapsed="false">
      <c r="A581" s="27" t="s">
        <v>78</v>
      </c>
      <c r="B581" s="41" t="n">
        <v>46303.3538194444</v>
      </c>
      <c r="C581" s="27" t="s">
        <v>200</v>
      </c>
      <c r="D581" s="27" t="n">
        <v>32.5</v>
      </c>
      <c r="E581" s="27" t="n">
        <v>16</v>
      </c>
      <c r="F581" s="27" t="n">
        <v>29.7</v>
      </c>
      <c r="G581" s="27" t="n">
        <v>32.8</v>
      </c>
      <c r="H581" s="27" t="s">
        <v>199</v>
      </c>
      <c r="I581" s="42" t="n">
        <f aca="false">(D581-INDEX('Cohort Summary'!$D$5:$D$14,MATCH($A581,'Cohort Summary'!$A$5:$A$14,0)))/INDEX('Cohort Summary'!$E$5:$E$14,MATCH($A581,'Cohort Summary'!$A$5:$A$14,0))</f>
        <v>-1.59285714285714</v>
      </c>
      <c r="J581" s="42" t="n">
        <f aca="false">(E581-INDEX('Cohort Summary'!$F$5:$F$14,MATCH($A581,'Cohort Summary'!$A$5:$A$14,0)))/INDEX('Cohort Summary'!$G$5:$G$14,MATCH($A581,'Cohort Summary'!$A$5:$A$14,0))</f>
        <v>-1.05069124423963</v>
      </c>
      <c r="K581" s="42" t="n">
        <f aca="false">(F581-INDEX('Cohort Summary'!$H$5:$H$14,MATCH($A581,'Cohort Summary'!$A$5:$A$14,0)))/INDEX('Cohort Summary'!$I$5:$I$14,MATCH($A581,'Cohort Summary'!$A$5:$A$14,0))</f>
        <v>0.729241877256318</v>
      </c>
      <c r="L581" s="42" t="n">
        <f aca="false">(G581-INDEX('Cohort Summary'!$J$5:$J$14,MATCH($A581,'Cohort Summary'!$A$5:$A$14,0)))/INDEX('Cohort Summary'!$K$5:$K$14,MATCH($A581,'Cohort Summary'!$A$5:$A$14,0))</f>
        <v>-0.929824561403511</v>
      </c>
      <c r="M581" s="42" t="n">
        <f aca="false">MAX(I581:K581)</f>
        <v>0.729241877256318</v>
      </c>
      <c r="N581" s="27" t="s">
        <v>197</v>
      </c>
      <c r="O581" s="27"/>
      <c r="P581" s="27" t="str">
        <f aca="false">A581&amp;"|"&amp;N581</f>
        <v>NURSE-03|normal</v>
      </c>
    </row>
    <row r="582" customFormat="false" ht="15" hidden="false" customHeight="true" outlineLevel="0" collapsed="false">
      <c r="A582" s="27" t="s">
        <v>78</v>
      </c>
      <c r="B582" s="41" t="n">
        <v>46303.3541666667</v>
      </c>
      <c r="C582" s="27" t="s">
        <v>200</v>
      </c>
      <c r="D582" s="27" t="n">
        <v>32.6</v>
      </c>
      <c r="E582" s="27" t="n">
        <v>21.9</v>
      </c>
      <c r="F582" s="27" t="n">
        <v>26.6</v>
      </c>
      <c r="G582" s="27" t="n">
        <v>33.4</v>
      </c>
      <c r="H582" s="27" t="s">
        <v>196</v>
      </c>
      <c r="I582" s="42" t="n">
        <f aca="false">(D582-INDEX('Cohort Summary'!$D$5:$D$14,MATCH($A582,'Cohort Summary'!$A$5:$A$14,0)))/INDEX('Cohort Summary'!$E$5:$E$14,MATCH($A582,'Cohort Summary'!$A$5:$A$14,0))</f>
        <v>-1.55714285714286</v>
      </c>
      <c r="J582" s="42" t="n">
        <f aca="false">(E582-INDEX('Cohort Summary'!$F$5:$F$14,MATCH($A582,'Cohort Summary'!$A$5:$A$14,0)))/INDEX('Cohort Summary'!$G$5:$G$14,MATCH($A582,'Cohort Summary'!$A$5:$A$14,0))</f>
        <v>1.66820276497696</v>
      </c>
      <c r="K582" s="42" t="n">
        <f aca="false">(F582-INDEX('Cohort Summary'!$H$5:$H$14,MATCH($A582,'Cohort Summary'!$A$5:$A$14,0)))/INDEX('Cohort Summary'!$I$5:$I$14,MATCH($A582,'Cohort Summary'!$A$5:$A$14,0))</f>
        <v>-0.389891696750902</v>
      </c>
      <c r="L582" s="42" t="n">
        <f aca="false">(G582-INDEX('Cohort Summary'!$J$5:$J$14,MATCH($A582,'Cohort Summary'!$A$5:$A$14,0)))/INDEX('Cohort Summary'!$K$5:$K$14,MATCH($A582,'Cohort Summary'!$A$5:$A$14,0))</f>
        <v>0.12280701754386</v>
      </c>
      <c r="M582" s="42" t="n">
        <f aca="false">MAX(I582:K582)</f>
        <v>1.66820276497696</v>
      </c>
      <c r="N582" s="27" t="s">
        <v>197</v>
      </c>
      <c r="O582" s="27"/>
      <c r="P582" s="27" t="str">
        <f aca="false">A582&amp;"|"&amp;N582</f>
        <v>NURSE-03|normal</v>
      </c>
    </row>
    <row r="583" customFormat="false" ht="15" hidden="false" customHeight="true" outlineLevel="0" collapsed="false">
      <c r="A583" s="27" t="s">
        <v>78</v>
      </c>
      <c r="B583" s="41" t="n">
        <v>46303.3545138889</v>
      </c>
      <c r="C583" s="27" t="s">
        <v>200</v>
      </c>
      <c r="D583" s="27" t="n">
        <v>41.6</v>
      </c>
      <c r="E583" s="27" t="n">
        <v>21.9</v>
      </c>
      <c r="F583" s="27" t="n">
        <v>23.3</v>
      </c>
      <c r="G583" s="27" t="n">
        <v>33.4</v>
      </c>
      <c r="H583" s="27" t="s">
        <v>198</v>
      </c>
      <c r="I583" s="42" t="n">
        <f aca="false">(D583-INDEX('Cohort Summary'!$D$5:$D$14,MATCH($A583,'Cohort Summary'!$A$5:$A$14,0)))/INDEX('Cohort Summary'!$E$5:$E$14,MATCH($A583,'Cohort Summary'!$A$5:$A$14,0))</f>
        <v>1.65714285714286</v>
      </c>
      <c r="J583" s="42" t="n">
        <f aca="false">(E583-INDEX('Cohort Summary'!$F$5:$F$14,MATCH($A583,'Cohort Summary'!$A$5:$A$14,0)))/INDEX('Cohort Summary'!$G$5:$G$14,MATCH($A583,'Cohort Summary'!$A$5:$A$14,0))</f>
        <v>1.66820276497696</v>
      </c>
      <c r="K583" s="42" t="n">
        <f aca="false">(F583-INDEX('Cohort Summary'!$H$5:$H$14,MATCH($A583,'Cohort Summary'!$A$5:$A$14,0)))/INDEX('Cohort Summary'!$I$5:$I$14,MATCH($A583,'Cohort Summary'!$A$5:$A$14,0))</f>
        <v>-1.5812274368231</v>
      </c>
      <c r="L583" s="42" t="n">
        <f aca="false">(G583-INDEX('Cohort Summary'!$J$5:$J$14,MATCH($A583,'Cohort Summary'!$A$5:$A$14,0)))/INDEX('Cohort Summary'!$K$5:$K$14,MATCH($A583,'Cohort Summary'!$A$5:$A$14,0))</f>
        <v>0.12280701754386</v>
      </c>
      <c r="M583" s="42" t="n">
        <f aca="false">MAX(I583:K583)</f>
        <v>1.66820276497696</v>
      </c>
      <c r="N583" s="27" t="s">
        <v>197</v>
      </c>
      <c r="O583" s="27"/>
      <c r="P583" s="27" t="str">
        <f aca="false">A583&amp;"|"&amp;N583</f>
        <v>NURSE-03|normal</v>
      </c>
    </row>
    <row r="584" customFormat="false" ht="15" hidden="false" customHeight="true" outlineLevel="0" collapsed="false">
      <c r="A584" s="27" t="s">
        <v>78</v>
      </c>
      <c r="B584" s="41" t="n">
        <v>46303.3548611111</v>
      </c>
      <c r="C584" s="27" t="s">
        <v>200</v>
      </c>
      <c r="D584" s="27" t="n">
        <v>40.7</v>
      </c>
      <c r="E584" s="27" t="n">
        <v>20.4</v>
      </c>
      <c r="F584" s="27" t="n">
        <v>29.3</v>
      </c>
      <c r="G584" s="27" t="n">
        <v>33.6</v>
      </c>
      <c r="H584" s="27" t="s">
        <v>199</v>
      </c>
      <c r="I584" s="42" t="n">
        <f aca="false">(D584-INDEX('Cohort Summary'!$D$5:$D$14,MATCH($A584,'Cohort Summary'!$A$5:$A$14,0)))/INDEX('Cohort Summary'!$E$5:$E$14,MATCH($A584,'Cohort Summary'!$A$5:$A$14,0))</f>
        <v>1.33571428571429</v>
      </c>
      <c r="J584" s="42" t="n">
        <f aca="false">(E584-INDEX('Cohort Summary'!$F$5:$F$14,MATCH($A584,'Cohort Summary'!$A$5:$A$14,0)))/INDEX('Cohort Summary'!$G$5:$G$14,MATCH($A584,'Cohort Summary'!$A$5:$A$14,0))</f>
        <v>0.976958525345621</v>
      </c>
      <c r="K584" s="42" t="n">
        <f aca="false">(F584-INDEX('Cohort Summary'!$H$5:$H$14,MATCH($A584,'Cohort Summary'!$A$5:$A$14,0)))/INDEX('Cohort Summary'!$I$5:$I$14,MATCH($A584,'Cohort Summary'!$A$5:$A$14,0))</f>
        <v>0.584837545126354</v>
      </c>
      <c r="L584" s="42" t="n">
        <f aca="false">(G584-INDEX('Cohort Summary'!$J$5:$J$14,MATCH($A584,'Cohort Summary'!$A$5:$A$14,0)))/INDEX('Cohort Summary'!$K$5:$K$14,MATCH($A584,'Cohort Summary'!$A$5:$A$14,0))</f>
        <v>0.473684210526321</v>
      </c>
      <c r="M584" s="42" t="n">
        <f aca="false">MAX(I584:K584)</f>
        <v>1.33571428571429</v>
      </c>
      <c r="N584" s="27" t="s">
        <v>197</v>
      </c>
      <c r="O584" s="27"/>
      <c r="P584" s="27" t="str">
        <f aca="false">A584&amp;"|"&amp;N584</f>
        <v>NURSE-03|normal</v>
      </c>
    </row>
    <row r="585" customFormat="false" ht="15" hidden="false" customHeight="true" outlineLevel="0" collapsed="false">
      <c r="A585" s="27" t="s">
        <v>78</v>
      </c>
      <c r="B585" s="41" t="n">
        <v>46303.3552083333</v>
      </c>
      <c r="C585" s="27" t="s">
        <v>200</v>
      </c>
      <c r="D585" s="27" t="n">
        <v>39.9</v>
      </c>
      <c r="E585" s="27" t="n">
        <v>20.6</v>
      </c>
      <c r="F585" s="27" t="n">
        <v>25.4</v>
      </c>
      <c r="G585" s="27" t="n">
        <v>33.9</v>
      </c>
      <c r="H585" s="27" t="s">
        <v>198</v>
      </c>
      <c r="I585" s="42" t="n">
        <f aca="false">(D585-INDEX('Cohort Summary'!$D$5:$D$14,MATCH($A585,'Cohort Summary'!$A$5:$A$14,0)))/INDEX('Cohort Summary'!$E$5:$E$14,MATCH($A585,'Cohort Summary'!$A$5:$A$14,0))</f>
        <v>1.05</v>
      </c>
      <c r="J585" s="42" t="n">
        <f aca="false">(E585-INDEX('Cohort Summary'!$F$5:$F$14,MATCH($A585,'Cohort Summary'!$A$5:$A$14,0)))/INDEX('Cohort Summary'!$G$5:$G$14,MATCH($A585,'Cohort Summary'!$A$5:$A$14,0))</f>
        <v>1.06912442396313</v>
      </c>
      <c r="K585" s="42" t="n">
        <f aca="false">(F585-INDEX('Cohort Summary'!$H$5:$H$14,MATCH($A585,'Cohort Summary'!$A$5:$A$14,0)))/INDEX('Cohort Summary'!$I$5:$I$14,MATCH($A585,'Cohort Summary'!$A$5:$A$14,0))</f>
        <v>-0.823104693140795</v>
      </c>
      <c r="L585" s="42" t="n">
        <f aca="false">(G585-INDEX('Cohort Summary'!$J$5:$J$14,MATCH($A585,'Cohort Summary'!$A$5:$A$14,0)))/INDEX('Cohort Summary'!$K$5:$K$14,MATCH($A585,'Cohort Summary'!$A$5:$A$14,0))</f>
        <v>1</v>
      </c>
      <c r="M585" s="42" t="n">
        <f aca="false">MAX(I585:K585)</f>
        <v>1.06912442396313</v>
      </c>
      <c r="N585" s="27" t="s">
        <v>197</v>
      </c>
      <c r="O585" s="27"/>
      <c r="P585" s="27" t="str">
        <f aca="false">A585&amp;"|"&amp;N585</f>
        <v>NURSE-03|normal</v>
      </c>
    </row>
    <row r="586" customFormat="false" ht="15" hidden="false" customHeight="true" outlineLevel="0" collapsed="false">
      <c r="A586" s="27" t="s">
        <v>78</v>
      </c>
      <c r="B586" s="41" t="n">
        <v>46303.3555555556</v>
      </c>
      <c r="C586" s="27" t="s">
        <v>200</v>
      </c>
      <c r="D586" s="27" t="n">
        <v>38.8</v>
      </c>
      <c r="E586" s="27" t="n">
        <v>17.1</v>
      </c>
      <c r="F586" s="27" t="n">
        <v>30.6</v>
      </c>
      <c r="G586" s="27" t="n">
        <v>33.8</v>
      </c>
      <c r="H586" s="27" t="s">
        <v>196</v>
      </c>
      <c r="I586" s="42" t="n">
        <f aca="false">(D586-INDEX('Cohort Summary'!$D$5:$D$14,MATCH($A586,'Cohort Summary'!$A$5:$A$14,0)))/INDEX('Cohort Summary'!$E$5:$E$14,MATCH($A586,'Cohort Summary'!$A$5:$A$14,0))</f>
        <v>0.657142857142856</v>
      </c>
      <c r="J586" s="42" t="n">
        <f aca="false">(E586-INDEX('Cohort Summary'!$F$5:$F$14,MATCH($A586,'Cohort Summary'!$A$5:$A$14,0)))/INDEX('Cohort Summary'!$G$5:$G$14,MATCH($A586,'Cohort Summary'!$A$5:$A$14,0))</f>
        <v>-0.543778801843318</v>
      </c>
      <c r="K586" s="42" t="n">
        <f aca="false">(F586-INDEX('Cohort Summary'!$H$5:$H$14,MATCH($A586,'Cohort Summary'!$A$5:$A$14,0)))/INDEX('Cohort Summary'!$I$5:$I$14,MATCH($A586,'Cohort Summary'!$A$5:$A$14,0))</f>
        <v>1.05415162454874</v>
      </c>
      <c r="L586" s="42" t="n">
        <f aca="false">(G586-INDEX('Cohort Summary'!$J$5:$J$14,MATCH($A586,'Cohort Summary'!$A$5:$A$14,0)))/INDEX('Cohort Summary'!$K$5:$K$14,MATCH($A586,'Cohort Summary'!$A$5:$A$14,0))</f>
        <v>0.82456140350877</v>
      </c>
      <c r="M586" s="42" t="n">
        <f aca="false">MAX(I586:K586)</f>
        <v>1.05415162454874</v>
      </c>
      <c r="N586" s="27" t="s">
        <v>197</v>
      </c>
      <c r="O586" s="27"/>
      <c r="P586" s="27" t="str">
        <f aca="false">A586&amp;"|"&amp;N586</f>
        <v>NURSE-03|normal</v>
      </c>
    </row>
    <row r="587" customFormat="false" ht="15" hidden="false" customHeight="true" outlineLevel="0" collapsed="false">
      <c r="A587" s="27" t="s">
        <v>78</v>
      </c>
      <c r="B587" s="41" t="n">
        <v>46303.3559027778</v>
      </c>
      <c r="C587" s="27" t="s">
        <v>200</v>
      </c>
      <c r="D587" s="27" t="n">
        <v>40.5</v>
      </c>
      <c r="E587" s="27" t="n">
        <v>16.7</v>
      </c>
      <c r="F587" s="27" t="n">
        <v>31.7</v>
      </c>
      <c r="G587" s="27" t="n">
        <v>33.7</v>
      </c>
      <c r="H587" s="27" t="s">
        <v>199</v>
      </c>
      <c r="I587" s="42" t="n">
        <f aca="false">(D587-INDEX('Cohort Summary'!$D$5:$D$14,MATCH($A587,'Cohort Summary'!$A$5:$A$14,0)))/INDEX('Cohort Summary'!$E$5:$E$14,MATCH($A587,'Cohort Summary'!$A$5:$A$14,0))</f>
        <v>1.26428571428571</v>
      </c>
      <c r="J587" s="42" t="n">
        <f aca="false">(E587-INDEX('Cohort Summary'!$F$5:$F$14,MATCH($A587,'Cohort Summary'!$A$5:$A$14,0)))/INDEX('Cohort Summary'!$G$5:$G$14,MATCH($A587,'Cohort Summary'!$A$5:$A$14,0))</f>
        <v>-0.728110599078342</v>
      </c>
      <c r="K587" s="42" t="n">
        <f aca="false">(F587-INDEX('Cohort Summary'!$H$5:$H$14,MATCH($A587,'Cohort Summary'!$A$5:$A$14,0)))/INDEX('Cohort Summary'!$I$5:$I$14,MATCH($A587,'Cohort Summary'!$A$5:$A$14,0))</f>
        <v>1.45126353790614</v>
      </c>
      <c r="L587" s="42" t="n">
        <f aca="false">(G587-INDEX('Cohort Summary'!$J$5:$J$14,MATCH($A587,'Cohort Summary'!$A$5:$A$14,0)))/INDEX('Cohort Summary'!$K$5:$K$14,MATCH($A587,'Cohort Summary'!$A$5:$A$14,0))</f>
        <v>0.649122807017552</v>
      </c>
      <c r="M587" s="42" t="n">
        <f aca="false">MAX(I587:K587)</f>
        <v>1.45126353790614</v>
      </c>
      <c r="N587" s="27" t="s">
        <v>197</v>
      </c>
      <c r="O587" s="27"/>
      <c r="P587" s="27" t="str">
        <f aca="false">A587&amp;"|"&amp;N587</f>
        <v>NURSE-03|normal</v>
      </c>
    </row>
    <row r="588" customFormat="false" ht="15" hidden="false" customHeight="true" outlineLevel="0" collapsed="false">
      <c r="A588" s="27" t="s">
        <v>78</v>
      </c>
      <c r="B588" s="41" t="n">
        <v>46303.35625</v>
      </c>
      <c r="C588" s="27" t="s">
        <v>200</v>
      </c>
      <c r="D588" s="27" t="n">
        <v>32.6</v>
      </c>
      <c r="E588" s="27" t="n">
        <v>17.4</v>
      </c>
      <c r="F588" s="27" t="n">
        <v>26.2</v>
      </c>
      <c r="G588" s="27" t="n">
        <v>34.3</v>
      </c>
      <c r="H588" s="27" t="s">
        <v>199</v>
      </c>
      <c r="I588" s="42" t="n">
        <f aca="false">(D588-INDEX('Cohort Summary'!$D$5:$D$14,MATCH($A588,'Cohort Summary'!$A$5:$A$14,0)))/INDEX('Cohort Summary'!$E$5:$E$14,MATCH($A588,'Cohort Summary'!$A$5:$A$14,0))</f>
        <v>-1.55714285714286</v>
      </c>
      <c r="J588" s="42" t="n">
        <f aca="false">(E588-INDEX('Cohort Summary'!$F$5:$F$14,MATCH($A588,'Cohort Summary'!$A$5:$A$14,0)))/INDEX('Cohort Summary'!$G$5:$G$14,MATCH($A588,'Cohort Summary'!$A$5:$A$14,0))</f>
        <v>-0.405529953917052</v>
      </c>
      <c r="K588" s="42" t="n">
        <f aca="false">(F588-INDEX('Cohort Summary'!$H$5:$H$14,MATCH($A588,'Cohort Summary'!$A$5:$A$14,0)))/INDEX('Cohort Summary'!$I$5:$I$14,MATCH($A588,'Cohort Summary'!$A$5:$A$14,0))</f>
        <v>-0.534296028880867</v>
      </c>
      <c r="L588" s="42" t="n">
        <f aca="false">(G588-INDEX('Cohort Summary'!$J$5:$J$14,MATCH($A588,'Cohort Summary'!$A$5:$A$14,0)))/INDEX('Cohort Summary'!$K$5:$K$14,MATCH($A588,'Cohort Summary'!$A$5:$A$14,0))</f>
        <v>1.70175438596491</v>
      </c>
      <c r="M588" s="42" t="n">
        <f aca="false">MAX(I588:K588)</f>
        <v>-0.405529953917052</v>
      </c>
      <c r="N588" s="27" t="s">
        <v>197</v>
      </c>
      <c r="O588" s="27"/>
      <c r="P588" s="27" t="str">
        <f aca="false">A588&amp;"|"&amp;N588</f>
        <v>NURSE-03|normal</v>
      </c>
    </row>
    <row r="589" customFormat="false" ht="15" hidden="false" customHeight="true" outlineLevel="0" collapsed="false">
      <c r="A589" s="27" t="s">
        <v>78</v>
      </c>
      <c r="B589" s="41" t="n">
        <v>46303.3565972222</v>
      </c>
      <c r="C589" s="27" t="s">
        <v>200</v>
      </c>
      <c r="D589" s="27" t="n">
        <v>37</v>
      </c>
      <c r="E589" s="27" t="n">
        <v>21.3</v>
      </c>
      <c r="F589" s="27" t="n">
        <v>31.1</v>
      </c>
      <c r="G589" s="27" t="n">
        <v>34.3</v>
      </c>
      <c r="H589" s="27" t="s">
        <v>198</v>
      </c>
      <c r="I589" s="42" t="n">
        <f aca="false">(D589-INDEX('Cohort Summary'!$D$5:$D$14,MATCH($A589,'Cohort Summary'!$A$5:$A$14,0)))/INDEX('Cohort Summary'!$E$5:$E$14,MATCH($A589,'Cohort Summary'!$A$5:$A$14,0))</f>
        <v>0.014285714285714</v>
      </c>
      <c r="J589" s="42" t="n">
        <f aca="false">(E589-INDEX('Cohort Summary'!$F$5:$F$14,MATCH($A589,'Cohort Summary'!$A$5:$A$14,0)))/INDEX('Cohort Summary'!$G$5:$G$14,MATCH($A589,'Cohort Summary'!$A$5:$A$14,0))</f>
        <v>1.39170506912442</v>
      </c>
      <c r="K589" s="42" t="n">
        <f aca="false">(F589-INDEX('Cohort Summary'!$H$5:$H$14,MATCH($A589,'Cohort Summary'!$A$5:$A$14,0)))/INDEX('Cohort Summary'!$I$5:$I$14,MATCH($A589,'Cohort Summary'!$A$5:$A$14,0))</f>
        <v>1.23465703971119</v>
      </c>
      <c r="L589" s="42" t="n">
        <f aca="false">(G589-INDEX('Cohort Summary'!$J$5:$J$14,MATCH($A589,'Cohort Summary'!$A$5:$A$14,0)))/INDEX('Cohort Summary'!$K$5:$K$14,MATCH($A589,'Cohort Summary'!$A$5:$A$14,0))</f>
        <v>1.70175438596491</v>
      </c>
      <c r="M589" s="42" t="n">
        <f aca="false">MAX(I589:K589)</f>
        <v>1.39170506912442</v>
      </c>
      <c r="N589" s="27" t="s">
        <v>197</v>
      </c>
      <c r="O589" s="27"/>
      <c r="P589" s="27" t="str">
        <f aca="false">A589&amp;"|"&amp;N589</f>
        <v>NURSE-03|normal</v>
      </c>
    </row>
    <row r="590" customFormat="false" ht="15" hidden="false" customHeight="true" outlineLevel="0" collapsed="false">
      <c r="A590" s="27" t="s">
        <v>78</v>
      </c>
      <c r="B590" s="41" t="n">
        <v>46303.3569444444</v>
      </c>
      <c r="C590" s="27" t="s">
        <v>200</v>
      </c>
      <c r="D590" s="27" t="n">
        <v>33.4</v>
      </c>
      <c r="E590" s="27" t="n">
        <v>15.1</v>
      </c>
      <c r="F590" s="27" t="n">
        <v>31.7</v>
      </c>
      <c r="G590" s="27" t="n">
        <v>33.2</v>
      </c>
      <c r="H590" s="27" t="s">
        <v>199</v>
      </c>
      <c r="I590" s="42" t="n">
        <f aca="false">(D590-INDEX('Cohort Summary'!$D$5:$D$14,MATCH($A590,'Cohort Summary'!$A$5:$A$14,0)))/INDEX('Cohort Summary'!$E$5:$E$14,MATCH($A590,'Cohort Summary'!$A$5:$A$14,0))</f>
        <v>-1.27142857142857</v>
      </c>
      <c r="J590" s="42" t="n">
        <f aca="false">(E590-INDEX('Cohort Summary'!$F$5:$F$14,MATCH($A590,'Cohort Summary'!$A$5:$A$14,0)))/INDEX('Cohort Summary'!$G$5:$G$14,MATCH($A590,'Cohort Summary'!$A$5:$A$14,0))</f>
        <v>-1.46543778801843</v>
      </c>
      <c r="K590" s="42" t="n">
        <f aca="false">(F590-INDEX('Cohort Summary'!$H$5:$H$14,MATCH($A590,'Cohort Summary'!$A$5:$A$14,0)))/INDEX('Cohort Summary'!$I$5:$I$14,MATCH($A590,'Cohort Summary'!$A$5:$A$14,0))</f>
        <v>1.45126353790614</v>
      </c>
      <c r="L590" s="42" t="n">
        <f aca="false">(G590-INDEX('Cohort Summary'!$J$5:$J$14,MATCH($A590,'Cohort Summary'!$A$5:$A$14,0)))/INDEX('Cohort Summary'!$K$5:$K$14,MATCH($A590,'Cohort Summary'!$A$5:$A$14,0))</f>
        <v>-0.228070175438589</v>
      </c>
      <c r="M590" s="42" t="n">
        <f aca="false">MAX(I590:K590)</f>
        <v>1.45126353790614</v>
      </c>
      <c r="N590" s="27" t="s">
        <v>197</v>
      </c>
      <c r="O590" s="27"/>
      <c r="P590" s="27" t="str">
        <f aca="false">A590&amp;"|"&amp;N590</f>
        <v>NURSE-03|normal</v>
      </c>
    </row>
    <row r="591" customFormat="false" ht="15" hidden="false" customHeight="true" outlineLevel="0" collapsed="false">
      <c r="A591" s="27" t="s">
        <v>78</v>
      </c>
      <c r="B591" s="41" t="n">
        <v>46303.3572916667</v>
      </c>
      <c r="C591" s="27" t="s">
        <v>200</v>
      </c>
      <c r="D591" s="27" t="n">
        <v>36</v>
      </c>
      <c r="E591" s="27" t="n">
        <v>20.4</v>
      </c>
      <c r="F591" s="27" t="n">
        <v>32.3</v>
      </c>
      <c r="G591" s="27" t="n">
        <v>33.5</v>
      </c>
      <c r="H591" s="27" t="s">
        <v>198</v>
      </c>
      <c r="I591" s="42" t="n">
        <f aca="false">(D591-INDEX('Cohort Summary'!$D$5:$D$14,MATCH($A591,'Cohort Summary'!$A$5:$A$14,0)))/INDEX('Cohort Summary'!$E$5:$E$14,MATCH($A591,'Cohort Summary'!$A$5:$A$14,0))</f>
        <v>-0.342857142857143</v>
      </c>
      <c r="J591" s="42" t="n">
        <f aca="false">(E591-INDEX('Cohort Summary'!$F$5:$F$14,MATCH($A591,'Cohort Summary'!$A$5:$A$14,0)))/INDEX('Cohort Summary'!$G$5:$G$14,MATCH($A591,'Cohort Summary'!$A$5:$A$14,0))</f>
        <v>0.976958525345621</v>
      </c>
      <c r="K591" s="42" t="n">
        <f aca="false">(F591-INDEX('Cohort Summary'!$H$5:$H$14,MATCH($A591,'Cohort Summary'!$A$5:$A$14,0)))/INDEX('Cohort Summary'!$I$5:$I$14,MATCH($A591,'Cohort Summary'!$A$5:$A$14,0))</f>
        <v>1.66787003610108</v>
      </c>
      <c r="L591" s="42" t="n">
        <f aca="false">(G591-INDEX('Cohort Summary'!$J$5:$J$14,MATCH($A591,'Cohort Summary'!$A$5:$A$14,0)))/INDEX('Cohort Summary'!$K$5:$K$14,MATCH($A591,'Cohort Summary'!$A$5:$A$14,0))</f>
        <v>0.298245614035091</v>
      </c>
      <c r="M591" s="42" t="n">
        <f aca="false">MAX(I591:K591)</f>
        <v>1.66787003610108</v>
      </c>
      <c r="N591" s="27" t="s">
        <v>197</v>
      </c>
      <c r="O591" s="27"/>
      <c r="P591" s="27" t="str">
        <f aca="false">A591&amp;"|"&amp;N591</f>
        <v>NURSE-03|normal</v>
      </c>
    </row>
    <row r="592" customFormat="false" ht="15" hidden="false" customHeight="true" outlineLevel="0" collapsed="false">
      <c r="A592" s="27" t="s">
        <v>78</v>
      </c>
      <c r="B592" s="41" t="n">
        <v>46303.3576388889</v>
      </c>
      <c r="C592" s="27" t="s">
        <v>200</v>
      </c>
      <c r="D592" s="27" t="n">
        <v>35</v>
      </c>
      <c r="E592" s="27" t="n">
        <v>17.2</v>
      </c>
      <c r="F592" s="27" t="n">
        <v>30.3</v>
      </c>
      <c r="G592" s="27" t="n">
        <v>33.4</v>
      </c>
      <c r="H592" s="27" t="s">
        <v>199</v>
      </c>
      <c r="I592" s="42" t="n">
        <f aca="false">(D592-INDEX('Cohort Summary'!$D$5:$D$14,MATCH($A592,'Cohort Summary'!$A$5:$A$14,0)))/INDEX('Cohort Summary'!$E$5:$E$14,MATCH($A592,'Cohort Summary'!$A$5:$A$14,0))</f>
        <v>-0.7</v>
      </c>
      <c r="J592" s="42" t="n">
        <f aca="false">(E592-INDEX('Cohort Summary'!$F$5:$F$14,MATCH($A592,'Cohort Summary'!$A$5:$A$14,0)))/INDEX('Cohort Summary'!$G$5:$G$14,MATCH($A592,'Cohort Summary'!$A$5:$A$14,0))</f>
        <v>-0.497695852534563</v>
      </c>
      <c r="K592" s="42" t="n">
        <f aca="false">(F592-INDEX('Cohort Summary'!$H$5:$H$14,MATCH($A592,'Cohort Summary'!$A$5:$A$14,0)))/INDEX('Cohort Summary'!$I$5:$I$14,MATCH($A592,'Cohort Summary'!$A$5:$A$14,0))</f>
        <v>0.945848375451264</v>
      </c>
      <c r="L592" s="42" t="n">
        <f aca="false">(G592-INDEX('Cohort Summary'!$J$5:$J$14,MATCH($A592,'Cohort Summary'!$A$5:$A$14,0)))/INDEX('Cohort Summary'!$K$5:$K$14,MATCH($A592,'Cohort Summary'!$A$5:$A$14,0))</f>
        <v>0.12280701754386</v>
      </c>
      <c r="M592" s="42" t="n">
        <f aca="false">MAX(I592:K592)</f>
        <v>0.945848375451264</v>
      </c>
      <c r="N592" s="27" t="s">
        <v>197</v>
      </c>
      <c r="O592" s="27"/>
      <c r="P592" s="27" t="str">
        <f aca="false">A592&amp;"|"&amp;N592</f>
        <v>NURSE-03|normal</v>
      </c>
    </row>
    <row r="593" customFormat="false" ht="15" hidden="false" customHeight="true" outlineLevel="0" collapsed="false">
      <c r="A593" s="27" t="s">
        <v>78</v>
      </c>
      <c r="B593" s="41" t="n">
        <v>46303.3579861111</v>
      </c>
      <c r="C593" s="27" t="s">
        <v>200</v>
      </c>
      <c r="D593" s="27" t="n">
        <v>32.7</v>
      </c>
      <c r="E593" s="27" t="n">
        <v>16.3</v>
      </c>
      <c r="F593" s="27" t="n">
        <v>32.2</v>
      </c>
      <c r="G593" s="27" t="n">
        <v>33.5</v>
      </c>
      <c r="H593" s="27" t="s">
        <v>199</v>
      </c>
      <c r="I593" s="42" t="n">
        <f aca="false">(D593-INDEX('Cohort Summary'!$D$5:$D$14,MATCH($A593,'Cohort Summary'!$A$5:$A$14,0)))/INDEX('Cohort Summary'!$E$5:$E$14,MATCH($A593,'Cohort Summary'!$A$5:$A$14,0))</f>
        <v>-1.52142857142857</v>
      </c>
      <c r="J593" s="42" t="n">
        <f aca="false">(E593-INDEX('Cohort Summary'!$F$5:$F$14,MATCH($A593,'Cohort Summary'!$A$5:$A$14,0)))/INDEX('Cohort Summary'!$G$5:$G$14,MATCH($A593,'Cohort Summary'!$A$5:$A$14,0))</f>
        <v>-0.912442396313364</v>
      </c>
      <c r="K593" s="42" t="n">
        <f aca="false">(F593-INDEX('Cohort Summary'!$H$5:$H$14,MATCH($A593,'Cohort Summary'!$A$5:$A$14,0)))/INDEX('Cohort Summary'!$I$5:$I$14,MATCH($A593,'Cohort Summary'!$A$5:$A$14,0))</f>
        <v>1.63176895306859</v>
      </c>
      <c r="L593" s="42" t="n">
        <f aca="false">(G593-INDEX('Cohort Summary'!$J$5:$J$14,MATCH($A593,'Cohort Summary'!$A$5:$A$14,0)))/INDEX('Cohort Summary'!$K$5:$K$14,MATCH($A593,'Cohort Summary'!$A$5:$A$14,0))</f>
        <v>0.298245614035091</v>
      </c>
      <c r="M593" s="42" t="n">
        <f aca="false">MAX(I593:K593)</f>
        <v>1.63176895306859</v>
      </c>
      <c r="N593" s="27" t="s">
        <v>197</v>
      </c>
      <c r="O593" s="27"/>
      <c r="P593" s="27" t="str">
        <f aca="false">A593&amp;"|"&amp;N593</f>
        <v>NURSE-03|normal</v>
      </c>
    </row>
    <row r="594" customFormat="false" ht="15" hidden="false" customHeight="true" outlineLevel="0" collapsed="false">
      <c r="A594" s="27" t="s">
        <v>78</v>
      </c>
      <c r="B594" s="41" t="n">
        <v>46303.3583333333</v>
      </c>
      <c r="C594" s="27" t="s">
        <v>200</v>
      </c>
      <c r="D594" s="27" t="n">
        <v>37.8</v>
      </c>
      <c r="E594" s="27" t="n">
        <v>21.9</v>
      </c>
      <c r="F594" s="27" t="n">
        <v>26.6</v>
      </c>
      <c r="G594" s="27" t="n">
        <v>33.8</v>
      </c>
      <c r="H594" s="27" t="s">
        <v>199</v>
      </c>
      <c r="I594" s="42" t="n">
        <f aca="false">(D594-INDEX('Cohort Summary'!$D$5:$D$14,MATCH($A594,'Cohort Summary'!$A$5:$A$14,0)))/INDEX('Cohort Summary'!$E$5:$E$14,MATCH($A594,'Cohort Summary'!$A$5:$A$14,0))</f>
        <v>0.299999999999999</v>
      </c>
      <c r="J594" s="42" t="n">
        <f aca="false">(E594-INDEX('Cohort Summary'!$F$5:$F$14,MATCH($A594,'Cohort Summary'!$A$5:$A$14,0)))/INDEX('Cohort Summary'!$G$5:$G$14,MATCH($A594,'Cohort Summary'!$A$5:$A$14,0))</f>
        <v>1.66820276497696</v>
      </c>
      <c r="K594" s="42" t="n">
        <f aca="false">(F594-INDEX('Cohort Summary'!$H$5:$H$14,MATCH($A594,'Cohort Summary'!$A$5:$A$14,0)))/INDEX('Cohort Summary'!$I$5:$I$14,MATCH($A594,'Cohort Summary'!$A$5:$A$14,0))</f>
        <v>-0.389891696750902</v>
      </c>
      <c r="L594" s="42" t="n">
        <f aca="false">(G594-INDEX('Cohort Summary'!$J$5:$J$14,MATCH($A594,'Cohort Summary'!$A$5:$A$14,0)))/INDEX('Cohort Summary'!$K$5:$K$14,MATCH($A594,'Cohort Summary'!$A$5:$A$14,0))</f>
        <v>0.82456140350877</v>
      </c>
      <c r="M594" s="42" t="n">
        <f aca="false">MAX(I594:K594)</f>
        <v>1.66820276497696</v>
      </c>
      <c r="N594" s="27" t="s">
        <v>197</v>
      </c>
      <c r="O594" s="27"/>
      <c r="P594" s="27" t="str">
        <f aca="false">A594&amp;"|"&amp;N594</f>
        <v>NURSE-03|normal</v>
      </c>
    </row>
    <row r="595" customFormat="false" ht="15" hidden="false" customHeight="true" outlineLevel="0" collapsed="false">
      <c r="A595" s="27" t="s">
        <v>78</v>
      </c>
      <c r="B595" s="41" t="n">
        <v>46303.3586805556</v>
      </c>
      <c r="C595" s="27" t="s">
        <v>200</v>
      </c>
      <c r="D595" s="27" t="n">
        <v>39.2</v>
      </c>
      <c r="E595" s="27" t="n">
        <v>21.5</v>
      </c>
      <c r="F595" s="27" t="n">
        <v>31.4</v>
      </c>
      <c r="G595" s="27" t="n">
        <v>32.9</v>
      </c>
      <c r="H595" s="27" t="s">
        <v>198</v>
      </c>
      <c r="I595" s="42" t="n">
        <f aca="false">(D595-INDEX('Cohort Summary'!$D$5:$D$14,MATCH($A595,'Cohort Summary'!$A$5:$A$14,0)))/INDEX('Cohort Summary'!$E$5:$E$14,MATCH($A595,'Cohort Summary'!$A$5:$A$14,0))</f>
        <v>0.800000000000001</v>
      </c>
      <c r="J595" s="42" t="n">
        <f aca="false">(E595-INDEX('Cohort Summary'!$F$5:$F$14,MATCH($A595,'Cohort Summary'!$A$5:$A$14,0)))/INDEX('Cohort Summary'!$G$5:$G$14,MATCH($A595,'Cohort Summary'!$A$5:$A$14,0))</f>
        <v>1.48387096774194</v>
      </c>
      <c r="K595" s="42" t="n">
        <f aca="false">(F595-INDEX('Cohort Summary'!$H$5:$H$14,MATCH($A595,'Cohort Summary'!$A$5:$A$14,0)))/INDEX('Cohort Summary'!$I$5:$I$14,MATCH($A595,'Cohort Summary'!$A$5:$A$14,0))</f>
        <v>1.34296028880866</v>
      </c>
      <c r="L595" s="42" t="n">
        <f aca="false">(G595-INDEX('Cohort Summary'!$J$5:$J$14,MATCH($A595,'Cohort Summary'!$A$5:$A$14,0)))/INDEX('Cohort Summary'!$K$5:$K$14,MATCH($A595,'Cohort Summary'!$A$5:$A$14,0))</f>
        <v>-0.75438596491228</v>
      </c>
      <c r="M595" s="42" t="n">
        <f aca="false">MAX(I595:K595)</f>
        <v>1.48387096774194</v>
      </c>
      <c r="N595" s="27" t="s">
        <v>197</v>
      </c>
      <c r="O595" s="27"/>
      <c r="P595" s="27" t="str">
        <f aca="false">A595&amp;"|"&amp;N595</f>
        <v>NURSE-03|normal</v>
      </c>
    </row>
    <row r="596" customFormat="false" ht="15" hidden="false" customHeight="true" outlineLevel="0" collapsed="false">
      <c r="A596" s="27" t="s">
        <v>78</v>
      </c>
      <c r="B596" s="41" t="n">
        <v>46303.3590277778</v>
      </c>
      <c r="C596" s="27" t="s">
        <v>200</v>
      </c>
      <c r="D596" s="27" t="n">
        <v>34.8</v>
      </c>
      <c r="E596" s="27" t="n">
        <v>16.8</v>
      </c>
      <c r="F596" s="27" t="n">
        <v>23.2</v>
      </c>
      <c r="G596" s="27" t="n">
        <v>32.6</v>
      </c>
      <c r="H596" s="27" t="s">
        <v>199</v>
      </c>
      <c r="I596" s="42" t="n">
        <f aca="false">(D596-INDEX('Cohort Summary'!$D$5:$D$14,MATCH($A596,'Cohort Summary'!$A$5:$A$14,0)))/INDEX('Cohort Summary'!$E$5:$E$14,MATCH($A596,'Cohort Summary'!$A$5:$A$14,0))</f>
        <v>-0.771428571428573</v>
      </c>
      <c r="J596" s="42" t="n">
        <f aca="false">(E596-INDEX('Cohort Summary'!$F$5:$F$14,MATCH($A596,'Cohort Summary'!$A$5:$A$14,0)))/INDEX('Cohort Summary'!$G$5:$G$14,MATCH($A596,'Cohort Summary'!$A$5:$A$14,0))</f>
        <v>-0.682027649769586</v>
      </c>
      <c r="K596" s="42" t="n">
        <f aca="false">(F596-INDEX('Cohort Summary'!$H$5:$H$14,MATCH($A596,'Cohort Summary'!$A$5:$A$14,0)))/INDEX('Cohort Summary'!$I$5:$I$14,MATCH($A596,'Cohort Summary'!$A$5:$A$14,0))</f>
        <v>-1.6173285198556</v>
      </c>
      <c r="L596" s="42" t="n">
        <f aca="false">(G596-INDEX('Cohort Summary'!$J$5:$J$14,MATCH($A596,'Cohort Summary'!$A$5:$A$14,0)))/INDEX('Cohort Summary'!$K$5:$K$14,MATCH($A596,'Cohort Summary'!$A$5:$A$14,0))</f>
        <v>-1.28070175438596</v>
      </c>
      <c r="M596" s="42" t="n">
        <f aca="false">MAX(I596:K596)</f>
        <v>-0.682027649769586</v>
      </c>
      <c r="N596" s="27" t="s">
        <v>197</v>
      </c>
      <c r="O596" s="27"/>
      <c r="P596" s="27" t="str">
        <f aca="false">A596&amp;"|"&amp;N596</f>
        <v>NURSE-03|normal</v>
      </c>
    </row>
    <row r="597" customFormat="false" ht="15" hidden="false" customHeight="true" outlineLevel="0" collapsed="false">
      <c r="A597" s="27" t="s">
        <v>78</v>
      </c>
      <c r="B597" s="41" t="n">
        <v>46303.359375</v>
      </c>
      <c r="C597" s="27" t="s">
        <v>200</v>
      </c>
      <c r="D597" s="27" t="n">
        <v>34.4</v>
      </c>
      <c r="E597" s="27" t="n">
        <v>15.1</v>
      </c>
      <c r="F597" s="27" t="n">
        <v>23.5</v>
      </c>
      <c r="G597" s="27" t="n">
        <v>33.2</v>
      </c>
      <c r="H597" s="27" t="s">
        <v>196</v>
      </c>
      <c r="I597" s="42" t="n">
        <f aca="false">(D597-INDEX('Cohort Summary'!$D$5:$D$14,MATCH($A597,'Cohort Summary'!$A$5:$A$14,0)))/INDEX('Cohort Summary'!$E$5:$E$14,MATCH($A597,'Cohort Summary'!$A$5:$A$14,0))</f>
        <v>-0.914285714285715</v>
      </c>
      <c r="J597" s="42" t="n">
        <f aca="false">(E597-INDEX('Cohort Summary'!$F$5:$F$14,MATCH($A597,'Cohort Summary'!$A$5:$A$14,0)))/INDEX('Cohort Summary'!$G$5:$G$14,MATCH($A597,'Cohort Summary'!$A$5:$A$14,0))</f>
        <v>-1.46543778801843</v>
      </c>
      <c r="K597" s="42" t="n">
        <f aca="false">(F597-INDEX('Cohort Summary'!$H$5:$H$14,MATCH($A597,'Cohort Summary'!$A$5:$A$14,0)))/INDEX('Cohort Summary'!$I$5:$I$14,MATCH($A597,'Cohort Summary'!$A$5:$A$14,0))</f>
        <v>-1.50902527075812</v>
      </c>
      <c r="L597" s="42" t="n">
        <f aca="false">(G597-INDEX('Cohort Summary'!$J$5:$J$14,MATCH($A597,'Cohort Summary'!$A$5:$A$14,0)))/INDEX('Cohort Summary'!$K$5:$K$14,MATCH($A597,'Cohort Summary'!$A$5:$A$14,0))</f>
        <v>-0.228070175438589</v>
      </c>
      <c r="M597" s="42" t="n">
        <f aca="false">MAX(I597:K597)</f>
        <v>-0.914285714285715</v>
      </c>
      <c r="N597" s="27" t="s">
        <v>197</v>
      </c>
      <c r="O597" s="27"/>
      <c r="P597" s="27" t="str">
        <f aca="false">A597&amp;"|"&amp;N597</f>
        <v>NURSE-03|normal</v>
      </c>
    </row>
    <row r="598" customFormat="false" ht="15" hidden="false" customHeight="true" outlineLevel="0" collapsed="false">
      <c r="A598" s="27" t="s">
        <v>78</v>
      </c>
      <c r="B598" s="41" t="n">
        <v>46303.3597222222</v>
      </c>
      <c r="C598" s="27" t="s">
        <v>200</v>
      </c>
      <c r="D598" s="27" t="n">
        <v>34.8</v>
      </c>
      <c r="E598" s="27" t="n">
        <v>18.5</v>
      </c>
      <c r="F598" s="27" t="n">
        <v>24</v>
      </c>
      <c r="G598" s="27" t="n">
        <v>32.8</v>
      </c>
      <c r="H598" s="27" t="s">
        <v>198</v>
      </c>
      <c r="I598" s="42" t="n">
        <f aca="false">(D598-INDEX('Cohort Summary'!$D$5:$D$14,MATCH($A598,'Cohort Summary'!$A$5:$A$14,0)))/INDEX('Cohort Summary'!$E$5:$E$14,MATCH($A598,'Cohort Summary'!$A$5:$A$14,0))</f>
        <v>-0.771428571428573</v>
      </c>
      <c r="J598" s="42" t="n">
        <f aca="false">(E598-INDEX('Cohort Summary'!$F$5:$F$14,MATCH($A598,'Cohort Summary'!$A$5:$A$14,0)))/INDEX('Cohort Summary'!$G$5:$G$14,MATCH($A598,'Cohort Summary'!$A$5:$A$14,0))</f>
        <v>0.101382488479262</v>
      </c>
      <c r="K598" s="42" t="n">
        <f aca="false">(F598-INDEX('Cohort Summary'!$H$5:$H$14,MATCH($A598,'Cohort Summary'!$A$5:$A$14,0)))/INDEX('Cohort Summary'!$I$5:$I$14,MATCH($A598,'Cohort Summary'!$A$5:$A$14,0))</f>
        <v>-1.32851985559567</v>
      </c>
      <c r="L598" s="42" t="n">
        <f aca="false">(G598-INDEX('Cohort Summary'!$J$5:$J$14,MATCH($A598,'Cohort Summary'!$A$5:$A$14,0)))/INDEX('Cohort Summary'!$K$5:$K$14,MATCH($A598,'Cohort Summary'!$A$5:$A$14,0))</f>
        <v>-0.929824561403511</v>
      </c>
      <c r="M598" s="42" t="n">
        <f aca="false">MAX(I598:K598)</f>
        <v>0.101382488479262</v>
      </c>
      <c r="N598" s="27" t="s">
        <v>197</v>
      </c>
      <c r="O598" s="27"/>
      <c r="P598" s="27" t="str">
        <f aca="false">A598&amp;"|"&amp;N598</f>
        <v>NURSE-03|normal</v>
      </c>
    </row>
    <row r="599" customFormat="false" ht="15" hidden="false" customHeight="true" outlineLevel="0" collapsed="false">
      <c r="A599" s="27" t="s">
        <v>78</v>
      </c>
      <c r="B599" s="41" t="n">
        <v>46303.3600694445</v>
      </c>
      <c r="C599" s="27" t="s">
        <v>200</v>
      </c>
      <c r="D599" s="27" t="n">
        <v>41.6</v>
      </c>
      <c r="E599" s="27" t="n">
        <v>19.2</v>
      </c>
      <c r="F599" s="27" t="n">
        <v>23.8</v>
      </c>
      <c r="G599" s="27" t="n">
        <v>33.9</v>
      </c>
      <c r="H599" s="27" t="s">
        <v>196</v>
      </c>
      <c r="I599" s="42" t="n">
        <f aca="false">(D599-INDEX('Cohort Summary'!$D$5:$D$14,MATCH($A599,'Cohort Summary'!$A$5:$A$14,0)))/INDEX('Cohort Summary'!$E$5:$E$14,MATCH($A599,'Cohort Summary'!$A$5:$A$14,0))</f>
        <v>1.65714285714286</v>
      </c>
      <c r="J599" s="42" t="n">
        <f aca="false">(E599-INDEX('Cohort Summary'!$F$5:$F$14,MATCH($A599,'Cohort Summary'!$A$5:$A$14,0)))/INDEX('Cohort Summary'!$G$5:$G$14,MATCH($A599,'Cohort Summary'!$A$5:$A$14,0))</f>
        <v>0.423963133640552</v>
      </c>
      <c r="K599" s="42" t="n">
        <f aca="false">(F599-INDEX('Cohort Summary'!$H$5:$H$14,MATCH($A599,'Cohort Summary'!$A$5:$A$14,0)))/INDEX('Cohort Summary'!$I$5:$I$14,MATCH($A599,'Cohort Summary'!$A$5:$A$14,0))</f>
        <v>-1.40072202166065</v>
      </c>
      <c r="L599" s="42" t="n">
        <f aca="false">(G599-INDEX('Cohort Summary'!$J$5:$J$14,MATCH($A599,'Cohort Summary'!$A$5:$A$14,0)))/INDEX('Cohort Summary'!$K$5:$K$14,MATCH($A599,'Cohort Summary'!$A$5:$A$14,0))</f>
        <v>1</v>
      </c>
      <c r="M599" s="42" t="n">
        <f aca="false">MAX(I599:K599)</f>
        <v>1.65714285714286</v>
      </c>
      <c r="N599" s="27" t="s">
        <v>197</v>
      </c>
      <c r="O599" s="27"/>
      <c r="P599" s="27" t="str">
        <f aca="false">A599&amp;"|"&amp;N599</f>
        <v>NURSE-03|normal</v>
      </c>
    </row>
    <row r="600" customFormat="false" ht="15" hidden="false" customHeight="true" outlineLevel="0" collapsed="false">
      <c r="A600" s="27" t="s">
        <v>78</v>
      </c>
      <c r="B600" s="41" t="n">
        <v>46303.3604166667</v>
      </c>
      <c r="C600" s="27" t="s">
        <v>200</v>
      </c>
      <c r="D600" s="27" t="n">
        <v>35.4</v>
      </c>
      <c r="E600" s="27" t="n">
        <v>16</v>
      </c>
      <c r="F600" s="27" t="n">
        <v>24.9</v>
      </c>
      <c r="G600" s="27" t="n">
        <v>33.4</v>
      </c>
      <c r="H600" s="27" t="s">
        <v>198</v>
      </c>
      <c r="I600" s="42" t="n">
        <f aca="false">(D600-INDEX('Cohort Summary'!$D$5:$D$14,MATCH($A600,'Cohort Summary'!$A$5:$A$14,0)))/INDEX('Cohort Summary'!$E$5:$E$14,MATCH($A600,'Cohort Summary'!$A$5:$A$14,0))</f>
        <v>-0.557142857142858</v>
      </c>
      <c r="J600" s="42" t="n">
        <f aca="false">(E600-INDEX('Cohort Summary'!$F$5:$F$14,MATCH($A600,'Cohort Summary'!$A$5:$A$14,0)))/INDEX('Cohort Summary'!$G$5:$G$14,MATCH($A600,'Cohort Summary'!$A$5:$A$14,0))</f>
        <v>-1.05069124423963</v>
      </c>
      <c r="K600" s="42" t="n">
        <f aca="false">(F600-INDEX('Cohort Summary'!$H$5:$H$14,MATCH($A600,'Cohort Summary'!$A$5:$A$14,0)))/INDEX('Cohort Summary'!$I$5:$I$14,MATCH($A600,'Cohort Summary'!$A$5:$A$14,0))</f>
        <v>-1.00361010830325</v>
      </c>
      <c r="L600" s="42" t="n">
        <f aca="false">(G600-INDEX('Cohort Summary'!$J$5:$J$14,MATCH($A600,'Cohort Summary'!$A$5:$A$14,0)))/INDEX('Cohort Summary'!$K$5:$K$14,MATCH($A600,'Cohort Summary'!$A$5:$A$14,0))</f>
        <v>0.12280701754386</v>
      </c>
      <c r="M600" s="42" t="n">
        <f aca="false">MAX(I600:K600)</f>
        <v>-0.557142857142858</v>
      </c>
      <c r="N600" s="27" t="s">
        <v>197</v>
      </c>
      <c r="O600" s="27"/>
      <c r="P600" s="27" t="str">
        <f aca="false">A600&amp;"|"&amp;N600</f>
        <v>NURSE-03|normal</v>
      </c>
    </row>
    <row r="601" customFormat="false" ht="15" hidden="false" customHeight="true" outlineLevel="0" collapsed="false">
      <c r="A601" s="27" t="s">
        <v>78</v>
      </c>
      <c r="B601" s="41" t="n">
        <v>46303.3607638889</v>
      </c>
      <c r="C601" s="27" t="s">
        <v>200</v>
      </c>
      <c r="D601" s="27" t="n">
        <v>38.4</v>
      </c>
      <c r="E601" s="27" t="n">
        <v>21.5</v>
      </c>
      <c r="F601" s="27" t="n">
        <v>25.1</v>
      </c>
      <c r="G601" s="27" t="n">
        <v>33</v>
      </c>
      <c r="H601" s="27" t="s">
        <v>196</v>
      </c>
      <c r="I601" s="42" t="n">
        <f aca="false">(D601-INDEX('Cohort Summary'!$D$5:$D$14,MATCH($A601,'Cohort Summary'!$A$5:$A$14,0)))/INDEX('Cohort Summary'!$E$5:$E$14,MATCH($A601,'Cohort Summary'!$A$5:$A$14,0))</f>
        <v>0.514285714285714</v>
      </c>
      <c r="J601" s="42" t="n">
        <f aca="false">(E601-INDEX('Cohort Summary'!$F$5:$F$14,MATCH($A601,'Cohort Summary'!$A$5:$A$14,0)))/INDEX('Cohort Summary'!$G$5:$G$14,MATCH($A601,'Cohort Summary'!$A$5:$A$14,0))</f>
        <v>1.48387096774194</v>
      </c>
      <c r="K601" s="42" t="n">
        <f aca="false">(F601-INDEX('Cohort Summary'!$H$5:$H$14,MATCH($A601,'Cohort Summary'!$A$5:$A$14,0)))/INDEX('Cohort Summary'!$I$5:$I$14,MATCH($A601,'Cohort Summary'!$A$5:$A$14,0))</f>
        <v>-0.931407942238267</v>
      </c>
      <c r="L601" s="42" t="n">
        <f aca="false">(G601-INDEX('Cohort Summary'!$J$5:$J$14,MATCH($A601,'Cohort Summary'!$A$5:$A$14,0)))/INDEX('Cohort Summary'!$K$5:$K$14,MATCH($A601,'Cohort Summary'!$A$5:$A$14,0))</f>
        <v>-0.57894736842105</v>
      </c>
      <c r="M601" s="42" t="n">
        <f aca="false">MAX(I601:K601)</f>
        <v>1.48387096774194</v>
      </c>
      <c r="N601" s="27" t="s">
        <v>197</v>
      </c>
      <c r="O601" s="27"/>
      <c r="P601" s="27" t="str">
        <f aca="false">A601&amp;"|"&amp;N601</f>
        <v>NURSE-03|normal</v>
      </c>
    </row>
    <row r="602" customFormat="false" ht="15" hidden="false" customHeight="true" outlineLevel="0" collapsed="false">
      <c r="A602" s="27" t="s">
        <v>81</v>
      </c>
      <c r="B602" s="41" t="n">
        <v>46303.2916666667</v>
      </c>
      <c r="C602" s="27" t="s">
        <v>195</v>
      </c>
      <c r="D602" s="27" t="n">
        <v>41.3</v>
      </c>
      <c r="E602" s="27" t="n">
        <v>19.4</v>
      </c>
      <c r="F602" s="27" t="n">
        <v>34.1</v>
      </c>
      <c r="G602" s="27" t="n">
        <v>33.8</v>
      </c>
      <c r="H602" s="27" t="s">
        <v>198</v>
      </c>
      <c r="I602" s="42" t="n">
        <f aca="false">(D602-INDEX('Cohort Summary'!$D$5:$D$14,MATCH($A602,'Cohort Summary'!$A$5:$A$14,0)))/INDEX('Cohort Summary'!$E$5:$E$14,MATCH($A602,'Cohort Summary'!$A$5:$A$14,0))</f>
        <v>-1.44728434504792</v>
      </c>
      <c r="J602" s="42" t="n">
        <f aca="false">(E602-INDEX('Cohort Summary'!$F$5:$F$14,MATCH($A602,'Cohort Summary'!$A$5:$A$14,0)))/INDEX('Cohort Summary'!$G$5:$G$14,MATCH($A602,'Cohort Summary'!$A$5:$A$14,0))</f>
        <v>-0.124352331606219</v>
      </c>
      <c r="K602" s="42" t="n">
        <f aca="false">(F602-INDEX('Cohort Summary'!$H$5:$H$14,MATCH($A602,'Cohort Summary'!$A$5:$A$14,0)))/INDEX('Cohort Summary'!$I$5:$I$14,MATCH($A602,'Cohort Summary'!$A$5:$A$14,0))</f>
        <v>0.318791946308726</v>
      </c>
      <c r="L602" s="42" t="n">
        <f aca="false">(G602-INDEX('Cohort Summary'!$J$5:$J$14,MATCH($A602,'Cohort Summary'!$A$5:$A$14,0)))/INDEX('Cohort Summary'!$K$5:$K$14,MATCH($A602,'Cohort Summary'!$A$5:$A$14,0))</f>
        <v>0.827586206896546</v>
      </c>
      <c r="M602" s="42" t="n">
        <f aca="false">MAX(I602:K602)</f>
        <v>0.318791946308726</v>
      </c>
      <c r="N602" s="27" t="s">
        <v>197</v>
      </c>
      <c r="O602" s="27"/>
      <c r="P602" s="27" t="str">
        <f aca="false">A602&amp;"|"&amp;N602</f>
        <v>NURSE-04|normal</v>
      </c>
    </row>
    <row r="603" customFormat="false" ht="15" hidden="false" customHeight="true" outlineLevel="0" collapsed="false">
      <c r="A603" s="27" t="s">
        <v>81</v>
      </c>
      <c r="B603" s="41" t="n">
        <v>46303.2920138889</v>
      </c>
      <c r="C603" s="27" t="s">
        <v>195</v>
      </c>
      <c r="D603" s="27" t="n">
        <v>41.6</v>
      </c>
      <c r="E603" s="27" t="n">
        <v>18.9</v>
      </c>
      <c r="F603" s="27" t="n">
        <v>28.5</v>
      </c>
      <c r="G603" s="27" t="n">
        <v>33.5</v>
      </c>
      <c r="H603" s="27" t="s">
        <v>199</v>
      </c>
      <c r="I603" s="42" t="n">
        <f aca="false">(D603-INDEX('Cohort Summary'!$D$5:$D$14,MATCH($A603,'Cohort Summary'!$A$5:$A$14,0)))/INDEX('Cohort Summary'!$E$5:$E$14,MATCH($A603,'Cohort Summary'!$A$5:$A$14,0))</f>
        <v>-1.35143769968051</v>
      </c>
      <c r="J603" s="42" t="n">
        <f aca="false">(E603-INDEX('Cohort Summary'!$F$5:$F$14,MATCH($A603,'Cohort Summary'!$A$5:$A$14,0)))/INDEX('Cohort Summary'!$G$5:$G$14,MATCH($A603,'Cohort Summary'!$A$5:$A$14,0))</f>
        <v>-0.383419689119172</v>
      </c>
      <c r="K603" s="42" t="n">
        <f aca="false">(F603-INDEX('Cohort Summary'!$H$5:$H$14,MATCH($A603,'Cohort Summary'!$A$5:$A$14,0)))/INDEX('Cohort Summary'!$I$5:$I$14,MATCH($A603,'Cohort Summary'!$A$5:$A$14,0))</f>
        <v>-1.56040268456376</v>
      </c>
      <c r="L603" s="42" t="n">
        <f aca="false">(G603-INDEX('Cohort Summary'!$J$5:$J$14,MATCH($A603,'Cohort Summary'!$A$5:$A$14,0)))/INDEX('Cohort Summary'!$K$5:$K$14,MATCH($A603,'Cohort Summary'!$A$5:$A$14,0))</f>
        <v>0.310344827586206</v>
      </c>
      <c r="M603" s="42" t="n">
        <f aca="false">MAX(I603:K603)</f>
        <v>-0.383419689119172</v>
      </c>
      <c r="N603" s="27" t="s">
        <v>197</v>
      </c>
      <c r="O603" s="27"/>
      <c r="P603" s="27" t="str">
        <f aca="false">A603&amp;"|"&amp;N603</f>
        <v>NURSE-04|normal</v>
      </c>
    </row>
    <row r="604" customFormat="false" ht="15" hidden="false" customHeight="true" outlineLevel="0" collapsed="false">
      <c r="A604" s="27" t="s">
        <v>81</v>
      </c>
      <c r="B604" s="41" t="n">
        <v>46303.2923611111</v>
      </c>
      <c r="C604" s="27" t="s">
        <v>195</v>
      </c>
      <c r="D604" s="27" t="n">
        <v>48.8</v>
      </c>
      <c r="E604" s="27" t="n">
        <v>22.9</v>
      </c>
      <c r="F604" s="27" t="n">
        <v>32</v>
      </c>
      <c r="G604" s="27" t="n">
        <v>34.1</v>
      </c>
      <c r="H604" s="27" t="s">
        <v>198</v>
      </c>
      <c r="I604" s="42" t="n">
        <f aca="false">(D604-INDEX('Cohort Summary'!$D$5:$D$14,MATCH($A604,'Cohort Summary'!$A$5:$A$14,0)))/INDEX('Cohort Summary'!$E$5:$E$14,MATCH($A604,'Cohort Summary'!$A$5:$A$14,0))</f>
        <v>0.94888178913738</v>
      </c>
      <c r="J604" s="42" t="n">
        <f aca="false">(E604-INDEX('Cohort Summary'!$F$5:$F$14,MATCH($A604,'Cohort Summary'!$A$5:$A$14,0)))/INDEX('Cohort Summary'!$G$5:$G$14,MATCH($A604,'Cohort Summary'!$A$5:$A$14,0))</f>
        <v>1.68911917098446</v>
      </c>
      <c r="K604" s="42" t="n">
        <f aca="false">(F604-INDEX('Cohort Summary'!$H$5:$H$14,MATCH($A604,'Cohort Summary'!$A$5:$A$14,0)))/INDEX('Cohort Summary'!$I$5:$I$14,MATCH($A604,'Cohort Summary'!$A$5:$A$14,0))</f>
        <v>-0.385906040268456</v>
      </c>
      <c r="L604" s="42" t="n">
        <f aca="false">(G604-INDEX('Cohort Summary'!$J$5:$J$14,MATCH($A604,'Cohort Summary'!$A$5:$A$14,0)))/INDEX('Cohort Summary'!$K$5:$K$14,MATCH($A604,'Cohort Summary'!$A$5:$A$14,0))</f>
        <v>1.3448275862069</v>
      </c>
      <c r="M604" s="42" t="n">
        <f aca="false">MAX(I604:K604)</f>
        <v>1.68911917098446</v>
      </c>
      <c r="N604" s="27" t="s">
        <v>197</v>
      </c>
      <c r="O604" s="27"/>
      <c r="P604" s="27" t="str">
        <f aca="false">A604&amp;"|"&amp;N604</f>
        <v>NURSE-04|normal</v>
      </c>
    </row>
    <row r="605" customFormat="false" ht="15" hidden="false" customHeight="true" outlineLevel="0" collapsed="false">
      <c r="A605" s="27" t="s">
        <v>81</v>
      </c>
      <c r="B605" s="41" t="n">
        <v>46303.2927083333</v>
      </c>
      <c r="C605" s="27" t="s">
        <v>195</v>
      </c>
      <c r="D605" s="27" t="n">
        <v>41.3</v>
      </c>
      <c r="E605" s="27" t="n">
        <v>18.2</v>
      </c>
      <c r="F605" s="27" t="n">
        <v>34.5</v>
      </c>
      <c r="G605" s="27" t="n">
        <v>32.8</v>
      </c>
      <c r="H605" s="27" t="s">
        <v>199</v>
      </c>
      <c r="I605" s="42" t="n">
        <f aca="false">(D605-INDEX('Cohort Summary'!$D$5:$D$14,MATCH($A605,'Cohort Summary'!$A$5:$A$14,0)))/INDEX('Cohort Summary'!$E$5:$E$14,MATCH($A605,'Cohort Summary'!$A$5:$A$14,0))</f>
        <v>-1.44728434504792</v>
      </c>
      <c r="J605" s="42" t="n">
        <f aca="false">(E605-INDEX('Cohort Summary'!$F$5:$F$14,MATCH($A605,'Cohort Summary'!$A$5:$A$14,0)))/INDEX('Cohort Summary'!$G$5:$G$14,MATCH($A605,'Cohort Summary'!$A$5:$A$14,0))</f>
        <v>-0.746113989637306</v>
      </c>
      <c r="K605" s="42" t="n">
        <f aca="false">(F605-INDEX('Cohort Summary'!$H$5:$H$14,MATCH($A605,'Cohort Summary'!$A$5:$A$14,0)))/INDEX('Cohort Summary'!$I$5:$I$14,MATCH($A605,'Cohort Summary'!$A$5:$A$14,0))</f>
        <v>0.453020134228188</v>
      </c>
      <c r="L605" s="42" t="n">
        <f aca="false">(G605-INDEX('Cohort Summary'!$J$5:$J$14,MATCH($A605,'Cohort Summary'!$A$5:$A$14,0)))/INDEX('Cohort Summary'!$K$5:$K$14,MATCH($A605,'Cohort Summary'!$A$5:$A$14,0))</f>
        <v>-0.896551724137937</v>
      </c>
      <c r="M605" s="42" t="n">
        <f aca="false">MAX(I605:K605)</f>
        <v>0.453020134228188</v>
      </c>
      <c r="N605" s="27" t="s">
        <v>197</v>
      </c>
      <c r="O605" s="27"/>
      <c r="P605" s="27" t="str">
        <f aca="false">A605&amp;"|"&amp;N605</f>
        <v>NURSE-04|normal</v>
      </c>
    </row>
    <row r="606" customFormat="false" ht="15" hidden="false" customHeight="true" outlineLevel="0" collapsed="false">
      <c r="A606" s="27" t="s">
        <v>81</v>
      </c>
      <c r="B606" s="41" t="n">
        <v>46303.2930555556</v>
      </c>
      <c r="C606" s="27" t="s">
        <v>195</v>
      </c>
      <c r="D606" s="27" t="n">
        <v>47.1</v>
      </c>
      <c r="E606" s="27" t="n">
        <v>21.1</v>
      </c>
      <c r="F606" s="27" t="n">
        <v>31.3</v>
      </c>
      <c r="G606" s="27" t="n">
        <v>32.4</v>
      </c>
      <c r="H606" s="27" t="s">
        <v>198</v>
      </c>
      <c r="I606" s="42" t="n">
        <f aca="false">(D606-INDEX('Cohort Summary'!$D$5:$D$14,MATCH($A606,'Cohort Summary'!$A$5:$A$14,0)))/INDEX('Cohort Summary'!$E$5:$E$14,MATCH($A606,'Cohort Summary'!$A$5:$A$14,0))</f>
        <v>0.405750798722046</v>
      </c>
      <c r="J606" s="42" t="n">
        <f aca="false">(E606-INDEX('Cohort Summary'!$F$5:$F$14,MATCH($A606,'Cohort Summary'!$A$5:$A$14,0)))/INDEX('Cohort Summary'!$G$5:$G$14,MATCH($A606,'Cohort Summary'!$A$5:$A$14,0))</f>
        <v>0.756476683937824</v>
      </c>
      <c r="K606" s="42" t="n">
        <f aca="false">(F606-INDEX('Cohort Summary'!$H$5:$H$14,MATCH($A606,'Cohort Summary'!$A$5:$A$14,0)))/INDEX('Cohort Summary'!$I$5:$I$14,MATCH($A606,'Cohort Summary'!$A$5:$A$14,0))</f>
        <v>-0.620805369127516</v>
      </c>
      <c r="L606" s="42" t="n">
        <f aca="false">(G606-INDEX('Cohort Summary'!$J$5:$J$14,MATCH($A606,'Cohort Summary'!$A$5:$A$14,0)))/INDEX('Cohort Summary'!$K$5:$K$14,MATCH($A606,'Cohort Summary'!$A$5:$A$14,0))</f>
        <v>-1.58620689655173</v>
      </c>
      <c r="M606" s="42" t="n">
        <f aca="false">MAX(I606:K606)</f>
        <v>0.756476683937824</v>
      </c>
      <c r="N606" s="27" t="s">
        <v>197</v>
      </c>
      <c r="O606" s="27"/>
      <c r="P606" s="27" t="str">
        <f aca="false">A606&amp;"|"&amp;N606</f>
        <v>NURSE-04|normal</v>
      </c>
    </row>
    <row r="607" customFormat="false" ht="15" hidden="false" customHeight="true" outlineLevel="0" collapsed="false">
      <c r="A607" s="27" t="s">
        <v>81</v>
      </c>
      <c r="B607" s="41" t="n">
        <v>46303.2934027778</v>
      </c>
      <c r="C607" s="27" t="s">
        <v>195</v>
      </c>
      <c r="D607" s="27" t="n">
        <v>43.1</v>
      </c>
      <c r="E607" s="27" t="n">
        <v>19.7</v>
      </c>
      <c r="F607" s="27" t="n">
        <v>36.4</v>
      </c>
      <c r="G607" s="27" t="n">
        <v>32.9</v>
      </c>
      <c r="H607" s="27" t="s">
        <v>199</v>
      </c>
      <c r="I607" s="42" t="n">
        <f aca="false">(D607-INDEX('Cohort Summary'!$D$5:$D$14,MATCH($A607,'Cohort Summary'!$A$5:$A$14,0)))/INDEX('Cohort Summary'!$E$5:$E$14,MATCH($A607,'Cohort Summary'!$A$5:$A$14,0))</f>
        <v>-0.87220447284345</v>
      </c>
      <c r="J607" s="42" t="n">
        <f aca="false">(E607-INDEX('Cohort Summary'!$F$5:$F$14,MATCH($A607,'Cohort Summary'!$A$5:$A$14,0)))/INDEX('Cohort Summary'!$G$5:$G$14,MATCH($A607,'Cohort Summary'!$A$5:$A$14,0))</f>
        <v>0.0310880829015537</v>
      </c>
      <c r="K607" s="42" t="n">
        <f aca="false">(F607-INDEX('Cohort Summary'!$H$5:$H$14,MATCH($A607,'Cohort Summary'!$A$5:$A$14,0)))/INDEX('Cohort Summary'!$I$5:$I$14,MATCH($A607,'Cohort Summary'!$A$5:$A$14,0))</f>
        <v>1.09060402684564</v>
      </c>
      <c r="L607" s="42" t="n">
        <f aca="false">(G607-INDEX('Cohort Summary'!$J$5:$J$14,MATCH($A607,'Cohort Summary'!$A$5:$A$14,0)))/INDEX('Cohort Summary'!$K$5:$K$14,MATCH($A607,'Cohort Summary'!$A$5:$A$14,0))</f>
        <v>-0.724137931034486</v>
      </c>
      <c r="M607" s="42" t="n">
        <f aca="false">MAX(I607:K607)</f>
        <v>1.09060402684564</v>
      </c>
      <c r="N607" s="27" t="s">
        <v>197</v>
      </c>
      <c r="O607" s="27"/>
      <c r="P607" s="27" t="str">
        <f aca="false">A607&amp;"|"&amp;N607</f>
        <v>NURSE-04|normal</v>
      </c>
    </row>
    <row r="608" customFormat="false" ht="15" hidden="false" customHeight="true" outlineLevel="0" collapsed="false">
      <c r="A608" s="27" t="s">
        <v>81</v>
      </c>
      <c r="B608" s="41" t="n">
        <v>46303.29375</v>
      </c>
      <c r="C608" s="27" t="s">
        <v>195</v>
      </c>
      <c r="D608" s="27" t="n">
        <v>45.2</v>
      </c>
      <c r="E608" s="27" t="n">
        <v>19.8</v>
      </c>
      <c r="F608" s="27" t="n">
        <v>33.9</v>
      </c>
      <c r="G608" s="27" t="n">
        <v>33.3</v>
      </c>
      <c r="H608" s="27" t="s">
        <v>196</v>
      </c>
      <c r="I608" s="42" t="n">
        <f aca="false">(D608-INDEX('Cohort Summary'!$D$5:$D$14,MATCH($A608,'Cohort Summary'!$A$5:$A$14,0)))/INDEX('Cohort Summary'!$E$5:$E$14,MATCH($A608,'Cohort Summary'!$A$5:$A$14,0))</f>
        <v>-0.201277955271564</v>
      </c>
      <c r="J608" s="42" t="n">
        <f aca="false">(E608-INDEX('Cohort Summary'!$F$5:$F$14,MATCH($A608,'Cohort Summary'!$A$5:$A$14,0)))/INDEX('Cohort Summary'!$G$5:$G$14,MATCH($A608,'Cohort Summary'!$A$5:$A$14,0))</f>
        <v>0.0829015544041452</v>
      </c>
      <c r="K608" s="42" t="n">
        <f aca="false">(F608-INDEX('Cohort Summary'!$H$5:$H$14,MATCH($A608,'Cohort Summary'!$A$5:$A$14,0)))/INDEX('Cohort Summary'!$I$5:$I$14,MATCH($A608,'Cohort Summary'!$A$5:$A$14,0))</f>
        <v>0.251677852348993</v>
      </c>
      <c r="L608" s="42" t="n">
        <f aca="false">(G608-INDEX('Cohort Summary'!$J$5:$J$14,MATCH($A608,'Cohort Summary'!$A$5:$A$14,0)))/INDEX('Cohort Summary'!$K$5:$K$14,MATCH($A608,'Cohort Summary'!$A$5:$A$14,0))</f>
        <v>-0.034482758620695</v>
      </c>
      <c r="M608" s="42" t="n">
        <f aca="false">MAX(I608:K608)</f>
        <v>0.251677852348993</v>
      </c>
      <c r="N608" s="27" t="s">
        <v>197</v>
      </c>
      <c r="O608" s="27"/>
      <c r="P608" s="27" t="str">
        <f aca="false">A608&amp;"|"&amp;N608</f>
        <v>NURSE-04|normal</v>
      </c>
    </row>
    <row r="609" customFormat="false" ht="15" hidden="false" customHeight="true" outlineLevel="0" collapsed="false">
      <c r="A609" s="27" t="s">
        <v>81</v>
      </c>
      <c r="B609" s="41" t="n">
        <v>46303.2940972222</v>
      </c>
      <c r="C609" s="27" t="s">
        <v>195</v>
      </c>
      <c r="D609" s="27" t="n">
        <v>50.8</v>
      </c>
      <c r="E609" s="27" t="n">
        <v>20</v>
      </c>
      <c r="F609" s="27" t="n">
        <v>30.3</v>
      </c>
      <c r="G609" s="27" t="n">
        <v>33.4</v>
      </c>
      <c r="H609" s="27" t="s">
        <v>196</v>
      </c>
      <c r="I609" s="42" t="n">
        <f aca="false">(D609-INDEX('Cohort Summary'!$D$5:$D$14,MATCH($A609,'Cohort Summary'!$A$5:$A$14,0)))/INDEX('Cohort Summary'!$E$5:$E$14,MATCH($A609,'Cohort Summary'!$A$5:$A$14,0))</f>
        <v>1.58785942492013</v>
      </c>
      <c r="J609" s="42" t="n">
        <f aca="false">(E609-INDEX('Cohort Summary'!$F$5:$F$14,MATCH($A609,'Cohort Summary'!$A$5:$A$14,0)))/INDEX('Cohort Summary'!$G$5:$G$14,MATCH($A609,'Cohort Summary'!$A$5:$A$14,0))</f>
        <v>0.186528497409326</v>
      </c>
      <c r="K609" s="42" t="n">
        <f aca="false">(F609-INDEX('Cohort Summary'!$H$5:$H$14,MATCH($A609,'Cohort Summary'!$A$5:$A$14,0)))/INDEX('Cohort Summary'!$I$5:$I$14,MATCH($A609,'Cohort Summary'!$A$5:$A$14,0))</f>
        <v>-0.956375838926174</v>
      </c>
      <c r="L609" s="42" t="n">
        <f aca="false">(G609-INDEX('Cohort Summary'!$J$5:$J$14,MATCH($A609,'Cohort Summary'!$A$5:$A$14,0)))/INDEX('Cohort Summary'!$K$5:$K$14,MATCH($A609,'Cohort Summary'!$A$5:$A$14,0))</f>
        <v>0.137931034482756</v>
      </c>
      <c r="M609" s="42" t="n">
        <f aca="false">MAX(I609:K609)</f>
        <v>1.58785942492013</v>
      </c>
      <c r="N609" s="27" t="s">
        <v>197</v>
      </c>
      <c r="O609" s="27"/>
      <c r="P609" s="27" t="str">
        <f aca="false">A609&amp;"|"&amp;N609</f>
        <v>NURSE-04|normal</v>
      </c>
    </row>
    <row r="610" customFormat="false" ht="15" hidden="false" customHeight="true" outlineLevel="0" collapsed="false">
      <c r="A610" s="27" t="s">
        <v>81</v>
      </c>
      <c r="B610" s="41" t="n">
        <v>46303.2944444444</v>
      </c>
      <c r="C610" s="27" t="s">
        <v>195</v>
      </c>
      <c r="D610" s="27" t="n">
        <v>45.8</v>
      </c>
      <c r="E610" s="27" t="n">
        <v>16.2</v>
      </c>
      <c r="F610" s="27" t="n">
        <v>34.5</v>
      </c>
      <c r="G610" s="27" t="n">
        <v>33.5</v>
      </c>
      <c r="H610" s="27" t="s">
        <v>196</v>
      </c>
      <c r="I610" s="42" t="n">
        <f aca="false">(D610-INDEX('Cohort Summary'!$D$5:$D$14,MATCH($A610,'Cohort Summary'!$A$5:$A$14,0)))/INDEX('Cohort Summary'!$E$5:$E$14,MATCH($A610,'Cohort Summary'!$A$5:$A$14,0))</f>
        <v>-0.00958466453674158</v>
      </c>
      <c r="J610" s="42" t="n">
        <f aca="false">(E610-INDEX('Cohort Summary'!$F$5:$F$14,MATCH($A610,'Cohort Summary'!$A$5:$A$14,0)))/INDEX('Cohort Summary'!$G$5:$G$14,MATCH($A610,'Cohort Summary'!$A$5:$A$14,0))</f>
        <v>-1.78238341968912</v>
      </c>
      <c r="K610" s="42" t="n">
        <f aca="false">(F610-INDEX('Cohort Summary'!$H$5:$H$14,MATCH($A610,'Cohort Summary'!$A$5:$A$14,0)))/INDEX('Cohort Summary'!$I$5:$I$14,MATCH($A610,'Cohort Summary'!$A$5:$A$14,0))</f>
        <v>0.453020134228188</v>
      </c>
      <c r="L610" s="42" t="n">
        <f aca="false">(G610-INDEX('Cohort Summary'!$J$5:$J$14,MATCH($A610,'Cohort Summary'!$A$5:$A$14,0)))/INDEX('Cohort Summary'!$K$5:$K$14,MATCH($A610,'Cohort Summary'!$A$5:$A$14,0))</f>
        <v>0.310344827586206</v>
      </c>
      <c r="M610" s="42" t="n">
        <f aca="false">MAX(I610:K610)</f>
        <v>0.453020134228188</v>
      </c>
      <c r="N610" s="27" t="s">
        <v>197</v>
      </c>
      <c r="O610" s="27"/>
      <c r="P610" s="27" t="str">
        <f aca="false">A610&amp;"|"&amp;N610</f>
        <v>NURSE-04|normal</v>
      </c>
    </row>
    <row r="611" customFormat="false" ht="15" hidden="false" customHeight="true" outlineLevel="0" collapsed="false">
      <c r="A611" s="27" t="s">
        <v>81</v>
      </c>
      <c r="B611" s="41" t="n">
        <v>46303.2947916667</v>
      </c>
      <c r="C611" s="27" t="s">
        <v>195</v>
      </c>
      <c r="D611" s="27" t="n">
        <v>50.8</v>
      </c>
      <c r="E611" s="27" t="n">
        <v>19.2</v>
      </c>
      <c r="F611" s="27" t="n">
        <v>30.8</v>
      </c>
      <c r="G611" s="27" t="n">
        <v>33.2</v>
      </c>
      <c r="H611" s="27" t="s">
        <v>199</v>
      </c>
      <c r="I611" s="42" t="n">
        <f aca="false">(D611-INDEX('Cohort Summary'!$D$5:$D$14,MATCH($A611,'Cohort Summary'!$A$5:$A$14,0)))/INDEX('Cohort Summary'!$E$5:$E$14,MATCH($A611,'Cohort Summary'!$A$5:$A$14,0))</f>
        <v>1.58785942492013</v>
      </c>
      <c r="J611" s="42" t="n">
        <f aca="false">(E611-INDEX('Cohort Summary'!$F$5:$F$14,MATCH($A611,'Cohort Summary'!$A$5:$A$14,0)))/INDEX('Cohort Summary'!$G$5:$G$14,MATCH($A611,'Cohort Summary'!$A$5:$A$14,0))</f>
        <v>-0.2279792746114</v>
      </c>
      <c r="K611" s="42" t="n">
        <f aca="false">(F611-INDEX('Cohort Summary'!$H$5:$H$14,MATCH($A611,'Cohort Summary'!$A$5:$A$14,0)))/INDEX('Cohort Summary'!$I$5:$I$14,MATCH($A611,'Cohort Summary'!$A$5:$A$14,0))</f>
        <v>-0.788590604026845</v>
      </c>
      <c r="L611" s="42" t="n">
        <f aca="false">(G611-INDEX('Cohort Summary'!$J$5:$J$14,MATCH($A611,'Cohort Summary'!$A$5:$A$14,0)))/INDEX('Cohort Summary'!$K$5:$K$14,MATCH($A611,'Cohort Summary'!$A$5:$A$14,0))</f>
        <v>-0.206896551724134</v>
      </c>
      <c r="M611" s="42" t="n">
        <f aca="false">MAX(I611:K611)</f>
        <v>1.58785942492013</v>
      </c>
      <c r="N611" s="27" t="s">
        <v>197</v>
      </c>
      <c r="O611" s="27"/>
      <c r="P611" s="27" t="str">
        <f aca="false">A611&amp;"|"&amp;N611</f>
        <v>NURSE-04|normal</v>
      </c>
    </row>
    <row r="612" customFormat="false" ht="15" hidden="false" customHeight="true" outlineLevel="0" collapsed="false">
      <c r="A612" s="27" t="s">
        <v>81</v>
      </c>
      <c r="B612" s="41" t="n">
        <v>46303.2951388889</v>
      </c>
      <c r="C612" s="27" t="s">
        <v>195</v>
      </c>
      <c r="D612" s="27" t="n">
        <v>42.3</v>
      </c>
      <c r="E612" s="27" t="n">
        <v>16.1</v>
      </c>
      <c r="F612" s="27" t="n">
        <v>32.8</v>
      </c>
      <c r="G612" s="27" t="n">
        <v>33.5</v>
      </c>
      <c r="H612" s="27" t="s">
        <v>199</v>
      </c>
      <c r="I612" s="42" t="n">
        <f aca="false">(D612-INDEX('Cohort Summary'!$D$5:$D$14,MATCH($A612,'Cohort Summary'!$A$5:$A$14,0)))/INDEX('Cohort Summary'!$E$5:$E$14,MATCH($A612,'Cohort Summary'!$A$5:$A$14,0))</f>
        <v>-1.12779552715655</v>
      </c>
      <c r="J612" s="42" t="n">
        <f aca="false">(E612-INDEX('Cohort Summary'!$F$5:$F$14,MATCH($A612,'Cohort Summary'!$A$5:$A$14,0)))/INDEX('Cohort Summary'!$G$5:$G$14,MATCH($A612,'Cohort Summary'!$A$5:$A$14,0))</f>
        <v>-1.83419689119171</v>
      </c>
      <c r="K612" s="42" t="n">
        <f aca="false">(F612-INDEX('Cohort Summary'!$H$5:$H$14,MATCH($A612,'Cohort Summary'!$A$5:$A$14,0)))/INDEX('Cohort Summary'!$I$5:$I$14,MATCH($A612,'Cohort Summary'!$A$5:$A$14,0))</f>
        <v>-0.117449664429531</v>
      </c>
      <c r="L612" s="42" t="n">
        <f aca="false">(G612-INDEX('Cohort Summary'!$J$5:$J$14,MATCH($A612,'Cohort Summary'!$A$5:$A$14,0)))/INDEX('Cohort Summary'!$K$5:$K$14,MATCH($A612,'Cohort Summary'!$A$5:$A$14,0))</f>
        <v>0.310344827586206</v>
      </c>
      <c r="M612" s="42" t="n">
        <f aca="false">MAX(I612:K612)</f>
        <v>-0.117449664429531</v>
      </c>
      <c r="N612" s="27" t="s">
        <v>197</v>
      </c>
      <c r="O612" s="27"/>
      <c r="P612" s="27" t="str">
        <f aca="false">A612&amp;"|"&amp;N612</f>
        <v>NURSE-04|normal</v>
      </c>
    </row>
    <row r="613" customFormat="false" ht="15" hidden="false" customHeight="true" outlineLevel="0" collapsed="false">
      <c r="A613" s="27" t="s">
        <v>81</v>
      </c>
      <c r="B613" s="41" t="n">
        <v>46303.2954861111</v>
      </c>
      <c r="C613" s="27" t="s">
        <v>195</v>
      </c>
      <c r="D613" s="27" t="n">
        <v>42.5</v>
      </c>
      <c r="E613" s="27" t="n">
        <v>20.4</v>
      </c>
      <c r="F613" s="27" t="n">
        <v>32</v>
      </c>
      <c r="G613" s="27" t="n">
        <v>34.2</v>
      </c>
      <c r="H613" s="27" t="s">
        <v>198</v>
      </c>
      <c r="I613" s="42" t="n">
        <f aca="false">(D613-INDEX('Cohort Summary'!$D$5:$D$14,MATCH($A613,'Cohort Summary'!$A$5:$A$14,0)))/INDEX('Cohort Summary'!$E$5:$E$14,MATCH($A613,'Cohort Summary'!$A$5:$A$14,0))</f>
        <v>-1.06389776357827</v>
      </c>
      <c r="J613" s="42" t="n">
        <f aca="false">(E613-INDEX('Cohort Summary'!$F$5:$F$14,MATCH($A613,'Cohort Summary'!$A$5:$A$14,0)))/INDEX('Cohort Summary'!$G$5:$G$14,MATCH($A613,'Cohort Summary'!$A$5:$A$14,0))</f>
        <v>0.393782383419688</v>
      </c>
      <c r="K613" s="42" t="n">
        <f aca="false">(F613-INDEX('Cohort Summary'!$H$5:$H$14,MATCH($A613,'Cohort Summary'!$A$5:$A$14,0)))/INDEX('Cohort Summary'!$I$5:$I$14,MATCH($A613,'Cohort Summary'!$A$5:$A$14,0))</f>
        <v>-0.385906040268456</v>
      </c>
      <c r="L613" s="42" t="n">
        <f aca="false">(G613-INDEX('Cohort Summary'!$J$5:$J$14,MATCH($A613,'Cohort Summary'!$A$5:$A$14,0)))/INDEX('Cohort Summary'!$K$5:$K$14,MATCH($A613,'Cohort Summary'!$A$5:$A$14,0))</f>
        <v>1.51724137931035</v>
      </c>
      <c r="M613" s="42" t="n">
        <f aca="false">MAX(I613:K613)</f>
        <v>0.393782383419688</v>
      </c>
      <c r="N613" s="27" t="s">
        <v>197</v>
      </c>
      <c r="O613" s="27"/>
      <c r="P613" s="27" t="str">
        <f aca="false">A613&amp;"|"&amp;N613</f>
        <v>NURSE-04|normal</v>
      </c>
    </row>
    <row r="614" customFormat="false" ht="15" hidden="false" customHeight="true" outlineLevel="0" collapsed="false">
      <c r="A614" s="27" t="s">
        <v>81</v>
      </c>
      <c r="B614" s="41" t="n">
        <v>46303.2958333333</v>
      </c>
      <c r="C614" s="27" t="s">
        <v>195</v>
      </c>
      <c r="D614" s="27" t="n">
        <v>47.2</v>
      </c>
      <c r="E614" s="27" t="n">
        <v>16.9</v>
      </c>
      <c r="F614" s="27" t="n">
        <v>33.4</v>
      </c>
      <c r="G614" s="27" t="n">
        <v>32.6</v>
      </c>
      <c r="H614" s="27" t="s">
        <v>198</v>
      </c>
      <c r="I614" s="42" t="n">
        <f aca="false">(D614-INDEX('Cohort Summary'!$D$5:$D$14,MATCH($A614,'Cohort Summary'!$A$5:$A$14,0)))/INDEX('Cohort Summary'!$E$5:$E$14,MATCH($A614,'Cohort Summary'!$A$5:$A$14,0))</f>
        <v>0.437699680511184</v>
      </c>
      <c r="J614" s="42" t="n">
        <f aca="false">(E614-INDEX('Cohort Summary'!$F$5:$F$14,MATCH($A614,'Cohort Summary'!$A$5:$A$14,0)))/INDEX('Cohort Summary'!$G$5:$G$14,MATCH($A614,'Cohort Summary'!$A$5:$A$14,0))</f>
        <v>-1.41968911917099</v>
      </c>
      <c r="K614" s="42" t="n">
        <f aca="false">(F614-INDEX('Cohort Summary'!$H$5:$H$14,MATCH($A614,'Cohort Summary'!$A$5:$A$14,0)))/INDEX('Cohort Summary'!$I$5:$I$14,MATCH($A614,'Cohort Summary'!$A$5:$A$14,0))</f>
        <v>0.0838926174496644</v>
      </c>
      <c r="L614" s="42" t="n">
        <f aca="false">(G614-INDEX('Cohort Summary'!$J$5:$J$14,MATCH($A614,'Cohort Summary'!$A$5:$A$14,0)))/INDEX('Cohort Summary'!$K$5:$K$14,MATCH($A614,'Cohort Summary'!$A$5:$A$14,0))</f>
        <v>-1.24137931034483</v>
      </c>
      <c r="M614" s="42" t="n">
        <f aca="false">MAX(I614:K614)</f>
        <v>0.437699680511184</v>
      </c>
      <c r="N614" s="27" t="s">
        <v>197</v>
      </c>
      <c r="O614" s="27"/>
      <c r="P614" s="27" t="str">
        <f aca="false">A614&amp;"|"&amp;N614</f>
        <v>NURSE-04|normal</v>
      </c>
    </row>
    <row r="615" customFormat="false" ht="15" hidden="false" customHeight="true" outlineLevel="0" collapsed="false">
      <c r="A615" s="27" t="s">
        <v>81</v>
      </c>
      <c r="B615" s="41" t="n">
        <v>46303.2961805556</v>
      </c>
      <c r="C615" s="27" t="s">
        <v>195</v>
      </c>
      <c r="D615" s="27" t="n">
        <v>43.6</v>
      </c>
      <c r="E615" s="27" t="n">
        <v>20.2</v>
      </c>
      <c r="F615" s="27" t="n">
        <v>35.4</v>
      </c>
      <c r="G615" s="27" t="n">
        <v>34</v>
      </c>
      <c r="H615" s="27" t="s">
        <v>196</v>
      </c>
      <c r="I615" s="42" t="n">
        <f aca="false">(D615-INDEX('Cohort Summary'!$D$5:$D$14,MATCH($A615,'Cohort Summary'!$A$5:$A$14,0)))/INDEX('Cohort Summary'!$E$5:$E$14,MATCH($A615,'Cohort Summary'!$A$5:$A$14,0))</f>
        <v>-0.712460063897763</v>
      </c>
      <c r="J615" s="42" t="n">
        <f aca="false">(E615-INDEX('Cohort Summary'!$F$5:$F$14,MATCH($A615,'Cohort Summary'!$A$5:$A$14,0)))/INDEX('Cohort Summary'!$G$5:$G$14,MATCH($A615,'Cohort Summary'!$A$5:$A$14,0))</f>
        <v>0.290155440414507</v>
      </c>
      <c r="K615" s="42" t="n">
        <f aca="false">(F615-INDEX('Cohort Summary'!$H$5:$H$14,MATCH($A615,'Cohort Summary'!$A$5:$A$14,0)))/INDEX('Cohort Summary'!$I$5:$I$14,MATCH($A615,'Cohort Summary'!$A$5:$A$14,0))</f>
        <v>0.75503355704698</v>
      </c>
      <c r="L615" s="42" t="n">
        <f aca="false">(G615-INDEX('Cohort Summary'!$J$5:$J$14,MATCH($A615,'Cohort Summary'!$A$5:$A$14,0)))/INDEX('Cohort Summary'!$K$5:$K$14,MATCH($A615,'Cohort Summary'!$A$5:$A$14,0))</f>
        <v>1.17241379310345</v>
      </c>
      <c r="M615" s="42" t="n">
        <f aca="false">MAX(I615:K615)</f>
        <v>0.75503355704698</v>
      </c>
      <c r="N615" s="27" t="s">
        <v>197</v>
      </c>
      <c r="O615" s="27"/>
      <c r="P615" s="27" t="str">
        <f aca="false">A615&amp;"|"&amp;N615</f>
        <v>NURSE-04|normal</v>
      </c>
    </row>
    <row r="616" customFormat="false" ht="15" hidden="false" customHeight="true" outlineLevel="0" collapsed="false">
      <c r="A616" s="27" t="s">
        <v>81</v>
      </c>
      <c r="B616" s="41" t="n">
        <v>46303.2965277778</v>
      </c>
      <c r="C616" s="27" t="s">
        <v>195</v>
      </c>
      <c r="D616" s="27" t="n">
        <v>49.6</v>
      </c>
      <c r="E616" s="27" t="n">
        <v>21.5</v>
      </c>
      <c r="F616" s="27" t="n">
        <v>33.3</v>
      </c>
      <c r="G616" s="27" t="n">
        <v>32.9</v>
      </c>
      <c r="H616" s="27" t="s">
        <v>196</v>
      </c>
      <c r="I616" s="42" t="n">
        <f aca="false">(D616-INDEX('Cohort Summary'!$D$5:$D$14,MATCH($A616,'Cohort Summary'!$A$5:$A$14,0)))/INDEX('Cohort Summary'!$E$5:$E$14,MATCH($A616,'Cohort Summary'!$A$5:$A$14,0))</f>
        <v>1.20447284345048</v>
      </c>
      <c r="J616" s="42" t="n">
        <f aca="false">(E616-INDEX('Cohort Summary'!$F$5:$F$14,MATCH($A616,'Cohort Summary'!$A$5:$A$14,0)))/INDEX('Cohort Summary'!$G$5:$G$14,MATCH($A616,'Cohort Summary'!$A$5:$A$14,0))</f>
        <v>0.963730569948186</v>
      </c>
      <c r="K616" s="42" t="n">
        <f aca="false">(F616-INDEX('Cohort Summary'!$H$5:$H$14,MATCH($A616,'Cohort Summary'!$A$5:$A$14,0)))/INDEX('Cohort Summary'!$I$5:$I$14,MATCH($A616,'Cohort Summary'!$A$5:$A$14,0))</f>
        <v>0.0503355704697982</v>
      </c>
      <c r="L616" s="42" t="n">
        <f aca="false">(G616-INDEX('Cohort Summary'!$J$5:$J$14,MATCH($A616,'Cohort Summary'!$A$5:$A$14,0)))/INDEX('Cohort Summary'!$K$5:$K$14,MATCH($A616,'Cohort Summary'!$A$5:$A$14,0))</f>
        <v>-0.724137931034486</v>
      </c>
      <c r="M616" s="42" t="n">
        <f aca="false">MAX(I616:K616)</f>
        <v>1.20447284345048</v>
      </c>
      <c r="N616" s="27" t="s">
        <v>197</v>
      </c>
      <c r="O616" s="27"/>
      <c r="P616" s="27" t="str">
        <f aca="false">A616&amp;"|"&amp;N616</f>
        <v>NURSE-04|normal</v>
      </c>
    </row>
    <row r="617" customFormat="false" ht="15" hidden="false" customHeight="true" outlineLevel="0" collapsed="false">
      <c r="A617" s="27" t="s">
        <v>81</v>
      </c>
      <c r="B617" s="41" t="n">
        <v>46303.296875</v>
      </c>
      <c r="C617" s="27" t="s">
        <v>195</v>
      </c>
      <c r="D617" s="27" t="n">
        <v>43.4</v>
      </c>
      <c r="E617" s="27" t="n">
        <v>22.9</v>
      </c>
      <c r="F617" s="27" t="n">
        <v>33</v>
      </c>
      <c r="G617" s="27" t="n">
        <v>33.5</v>
      </c>
      <c r="H617" s="27" t="s">
        <v>199</v>
      </c>
      <c r="I617" s="42" t="n">
        <f aca="false">(D617-INDEX('Cohort Summary'!$D$5:$D$14,MATCH($A617,'Cohort Summary'!$A$5:$A$14,0)))/INDEX('Cohort Summary'!$E$5:$E$14,MATCH($A617,'Cohort Summary'!$A$5:$A$14,0))</f>
        <v>-0.776357827476038</v>
      </c>
      <c r="J617" s="42" t="n">
        <f aca="false">(E617-INDEX('Cohort Summary'!$F$5:$F$14,MATCH($A617,'Cohort Summary'!$A$5:$A$14,0)))/INDEX('Cohort Summary'!$G$5:$G$14,MATCH($A617,'Cohort Summary'!$A$5:$A$14,0))</f>
        <v>1.68911917098446</v>
      </c>
      <c r="K617" s="42" t="n">
        <f aca="false">(F617-INDEX('Cohort Summary'!$H$5:$H$14,MATCH($A617,'Cohort Summary'!$A$5:$A$14,0)))/INDEX('Cohort Summary'!$I$5:$I$14,MATCH($A617,'Cohort Summary'!$A$5:$A$14,0))</f>
        <v>-0.0503355704697982</v>
      </c>
      <c r="L617" s="42" t="n">
        <f aca="false">(G617-INDEX('Cohort Summary'!$J$5:$J$14,MATCH($A617,'Cohort Summary'!$A$5:$A$14,0)))/INDEX('Cohort Summary'!$K$5:$K$14,MATCH($A617,'Cohort Summary'!$A$5:$A$14,0))</f>
        <v>0.310344827586206</v>
      </c>
      <c r="M617" s="42" t="n">
        <f aca="false">MAX(I617:K617)</f>
        <v>1.68911917098446</v>
      </c>
      <c r="N617" s="27" t="s">
        <v>197</v>
      </c>
      <c r="O617" s="27"/>
      <c r="P617" s="27" t="str">
        <f aca="false">A617&amp;"|"&amp;N617</f>
        <v>NURSE-04|normal</v>
      </c>
    </row>
    <row r="618" customFormat="false" ht="15" hidden="false" customHeight="true" outlineLevel="0" collapsed="false">
      <c r="A618" s="27" t="s">
        <v>81</v>
      </c>
      <c r="B618" s="41" t="n">
        <v>46303.2972222222</v>
      </c>
      <c r="C618" s="27" t="s">
        <v>195</v>
      </c>
      <c r="D618" s="27" t="n">
        <v>50</v>
      </c>
      <c r="E618" s="27" t="n">
        <v>18.7</v>
      </c>
      <c r="F618" s="27" t="n">
        <v>30.1</v>
      </c>
      <c r="G618" s="27" t="n">
        <v>33.8</v>
      </c>
      <c r="H618" s="27" t="s">
        <v>198</v>
      </c>
      <c r="I618" s="42" t="n">
        <f aca="false">(D618-INDEX('Cohort Summary'!$D$5:$D$14,MATCH($A618,'Cohort Summary'!$A$5:$A$14,0)))/INDEX('Cohort Summary'!$E$5:$E$14,MATCH($A618,'Cohort Summary'!$A$5:$A$14,0))</f>
        <v>1.33226837060703</v>
      </c>
      <c r="J618" s="42" t="n">
        <f aca="false">(E618-INDEX('Cohort Summary'!$F$5:$F$14,MATCH($A618,'Cohort Summary'!$A$5:$A$14,0)))/INDEX('Cohort Summary'!$G$5:$G$14,MATCH($A618,'Cohort Summary'!$A$5:$A$14,0))</f>
        <v>-0.487046632124353</v>
      </c>
      <c r="K618" s="42" t="n">
        <f aca="false">(F618-INDEX('Cohort Summary'!$H$5:$H$14,MATCH($A618,'Cohort Summary'!$A$5:$A$14,0)))/INDEX('Cohort Summary'!$I$5:$I$14,MATCH($A618,'Cohort Summary'!$A$5:$A$14,0))</f>
        <v>-1.02348993288591</v>
      </c>
      <c r="L618" s="42" t="n">
        <f aca="false">(G618-INDEX('Cohort Summary'!$J$5:$J$14,MATCH($A618,'Cohort Summary'!$A$5:$A$14,0)))/INDEX('Cohort Summary'!$K$5:$K$14,MATCH($A618,'Cohort Summary'!$A$5:$A$14,0))</f>
        <v>0.827586206896546</v>
      </c>
      <c r="M618" s="42" t="n">
        <f aca="false">MAX(I618:K618)</f>
        <v>1.33226837060703</v>
      </c>
      <c r="N618" s="27" t="s">
        <v>197</v>
      </c>
      <c r="O618" s="27"/>
      <c r="P618" s="27" t="str">
        <f aca="false">A618&amp;"|"&amp;N618</f>
        <v>NURSE-04|normal</v>
      </c>
    </row>
    <row r="619" customFormat="false" ht="15" hidden="false" customHeight="true" outlineLevel="0" collapsed="false">
      <c r="A619" s="27" t="s">
        <v>81</v>
      </c>
      <c r="B619" s="41" t="n">
        <v>46303.2975694445</v>
      </c>
      <c r="C619" s="27" t="s">
        <v>195</v>
      </c>
      <c r="D619" s="27" t="n">
        <v>42.1</v>
      </c>
      <c r="E619" s="27" t="n">
        <v>21.1</v>
      </c>
      <c r="F619" s="27" t="n">
        <v>28.7</v>
      </c>
      <c r="G619" s="27" t="n">
        <v>33.5</v>
      </c>
      <c r="H619" s="27" t="s">
        <v>199</v>
      </c>
      <c r="I619" s="42" t="n">
        <f aca="false">(D619-INDEX('Cohort Summary'!$D$5:$D$14,MATCH($A619,'Cohort Summary'!$A$5:$A$14,0)))/INDEX('Cohort Summary'!$E$5:$E$14,MATCH($A619,'Cohort Summary'!$A$5:$A$14,0))</f>
        <v>-1.19169329073482</v>
      </c>
      <c r="J619" s="42" t="n">
        <f aca="false">(E619-INDEX('Cohort Summary'!$F$5:$F$14,MATCH($A619,'Cohort Summary'!$A$5:$A$14,0)))/INDEX('Cohort Summary'!$G$5:$G$14,MATCH($A619,'Cohort Summary'!$A$5:$A$14,0))</f>
        <v>0.756476683937824</v>
      </c>
      <c r="K619" s="42" t="n">
        <f aca="false">(F619-INDEX('Cohort Summary'!$H$5:$H$14,MATCH($A619,'Cohort Summary'!$A$5:$A$14,0)))/INDEX('Cohort Summary'!$I$5:$I$14,MATCH($A619,'Cohort Summary'!$A$5:$A$14,0))</f>
        <v>-1.49328859060403</v>
      </c>
      <c r="L619" s="42" t="n">
        <f aca="false">(G619-INDEX('Cohort Summary'!$J$5:$J$14,MATCH($A619,'Cohort Summary'!$A$5:$A$14,0)))/INDEX('Cohort Summary'!$K$5:$K$14,MATCH($A619,'Cohort Summary'!$A$5:$A$14,0))</f>
        <v>0.310344827586206</v>
      </c>
      <c r="M619" s="42" t="n">
        <f aca="false">MAX(I619:K619)</f>
        <v>0.756476683937824</v>
      </c>
      <c r="N619" s="27" t="s">
        <v>197</v>
      </c>
      <c r="O619" s="27"/>
      <c r="P619" s="27" t="str">
        <f aca="false">A619&amp;"|"&amp;N619</f>
        <v>NURSE-04|normal</v>
      </c>
    </row>
    <row r="620" customFormat="false" ht="15" hidden="false" customHeight="true" outlineLevel="0" collapsed="false">
      <c r="A620" s="27" t="s">
        <v>81</v>
      </c>
      <c r="B620" s="41" t="n">
        <v>46303.2979166667</v>
      </c>
      <c r="C620" s="27" t="s">
        <v>195</v>
      </c>
      <c r="D620" s="27" t="n">
        <v>47.7</v>
      </c>
      <c r="E620" s="27" t="n">
        <v>18.5</v>
      </c>
      <c r="F620" s="27" t="n">
        <v>30.3</v>
      </c>
      <c r="G620" s="27" t="n">
        <v>33</v>
      </c>
      <c r="H620" s="27" t="s">
        <v>199</v>
      </c>
      <c r="I620" s="42" t="n">
        <f aca="false">(D620-INDEX('Cohort Summary'!$D$5:$D$14,MATCH($A620,'Cohort Summary'!$A$5:$A$14,0)))/INDEX('Cohort Summary'!$E$5:$E$14,MATCH($A620,'Cohort Summary'!$A$5:$A$14,0))</f>
        <v>0.59744408945687</v>
      </c>
      <c r="J620" s="42" t="n">
        <f aca="false">(E620-INDEX('Cohort Summary'!$F$5:$F$14,MATCH($A620,'Cohort Summary'!$A$5:$A$14,0)))/INDEX('Cohort Summary'!$G$5:$G$14,MATCH($A620,'Cohort Summary'!$A$5:$A$14,0))</f>
        <v>-0.590673575129534</v>
      </c>
      <c r="K620" s="42" t="n">
        <f aca="false">(F620-INDEX('Cohort Summary'!$H$5:$H$14,MATCH($A620,'Cohort Summary'!$A$5:$A$14,0)))/INDEX('Cohort Summary'!$I$5:$I$14,MATCH($A620,'Cohort Summary'!$A$5:$A$14,0))</f>
        <v>-0.956375838926174</v>
      </c>
      <c r="L620" s="42" t="n">
        <f aca="false">(G620-INDEX('Cohort Summary'!$J$5:$J$14,MATCH($A620,'Cohort Summary'!$A$5:$A$14,0)))/INDEX('Cohort Summary'!$K$5:$K$14,MATCH($A620,'Cohort Summary'!$A$5:$A$14,0))</f>
        <v>-0.551724137931035</v>
      </c>
      <c r="M620" s="42" t="n">
        <f aca="false">MAX(I620:K620)</f>
        <v>0.59744408945687</v>
      </c>
      <c r="N620" s="27" t="s">
        <v>197</v>
      </c>
      <c r="O620" s="27"/>
      <c r="P620" s="27" t="str">
        <f aca="false">A620&amp;"|"&amp;N620</f>
        <v>NURSE-04|normal</v>
      </c>
    </row>
    <row r="621" customFormat="false" ht="15" hidden="false" customHeight="true" outlineLevel="0" collapsed="false">
      <c r="A621" s="27" t="s">
        <v>81</v>
      </c>
      <c r="B621" s="41" t="n">
        <v>46303.2982638889</v>
      </c>
      <c r="C621" s="27" t="s">
        <v>195</v>
      </c>
      <c r="D621" s="27" t="n">
        <v>50.4</v>
      </c>
      <c r="E621" s="27" t="n">
        <v>20.4</v>
      </c>
      <c r="F621" s="27" t="n">
        <v>30.2</v>
      </c>
      <c r="G621" s="27" t="n">
        <v>32.7</v>
      </c>
      <c r="H621" s="27" t="s">
        <v>199</v>
      </c>
      <c r="I621" s="42" t="n">
        <f aca="false">(D621-INDEX('Cohort Summary'!$D$5:$D$14,MATCH($A621,'Cohort Summary'!$A$5:$A$14,0)))/INDEX('Cohort Summary'!$E$5:$E$14,MATCH($A621,'Cohort Summary'!$A$5:$A$14,0))</f>
        <v>1.46006389776358</v>
      </c>
      <c r="J621" s="42" t="n">
        <f aca="false">(E621-INDEX('Cohort Summary'!$F$5:$F$14,MATCH($A621,'Cohort Summary'!$A$5:$A$14,0)))/INDEX('Cohort Summary'!$G$5:$G$14,MATCH($A621,'Cohort Summary'!$A$5:$A$14,0))</f>
        <v>0.393782383419688</v>
      </c>
      <c r="K621" s="42" t="n">
        <f aca="false">(F621-INDEX('Cohort Summary'!$H$5:$H$14,MATCH($A621,'Cohort Summary'!$A$5:$A$14,0)))/INDEX('Cohort Summary'!$I$5:$I$14,MATCH($A621,'Cohort Summary'!$A$5:$A$14,0))</f>
        <v>-0.98993288590604</v>
      </c>
      <c r="L621" s="42" t="n">
        <f aca="false">(G621-INDEX('Cohort Summary'!$J$5:$J$14,MATCH($A621,'Cohort Summary'!$A$5:$A$14,0)))/INDEX('Cohort Summary'!$K$5:$K$14,MATCH($A621,'Cohort Summary'!$A$5:$A$14,0))</f>
        <v>-1.06896551724138</v>
      </c>
      <c r="M621" s="42" t="n">
        <f aca="false">MAX(I621:K621)</f>
        <v>1.46006389776358</v>
      </c>
      <c r="N621" s="27" t="s">
        <v>197</v>
      </c>
      <c r="O621" s="27"/>
      <c r="P621" s="27" t="str">
        <f aca="false">A621&amp;"|"&amp;N621</f>
        <v>NURSE-04|normal</v>
      </c>
    </row>
    <row r="622" customFormat="false" ht="15" hidden="false" customHeight="true" outlineLevel="0" collapsed="false">
      <c r="A622" s="27" t="s">
        <v>81</v>
      </c>
      <c r="B622" s="41" t="n">
        <v>46303.2986111111</v>
      </c>
      <c r="C622" s="27" t="s">
        <v>195</v>
      </c>
      <c r="D622" s="27" t="n">
        <v>48.1</v>
      </c>
      <c r="E622" s="27" t="n">
        <v>17.7</v>
      </c>
      <c r="F622" s="27" t="n">
        <v>31.5</v>
      </c>
      <c r="G622" s="27" t="n">
        <v>32.9</v>
      </c>
      <c r="H622" s="27" t="s">
        <v>199</v>
      </c>
      <c r="I622" s="42" t="n">
        <f aca="false">(D622-INDEX('Cohort Summary'!$D$5:$D$14,MATCH($A622,'Cohort Summary'!$A$5:$A$14,0)))/INDEX('Cohort Summary'!$E$5:$E$14,MATCH($A622,'Cohort Summary'!$A$5:$A$14,0))</f>
        <v>0.72523961661342</v>
      </c>
      <c r="J622" s="42" t="n">
        <f aca="false">(E622-INDEX('Cohort Summary'!$F$5:$F$14,MATCH($A622,'Cohort Summary'!$A$5:$A$14,0)))/INDEX('Cohort Summary'!$G$5:$G$14,MATCH($A622,'Cohort Summary'!$A$5:$A$14,0))</f>
        <v>-1.00518134715026</v>
      </c>
      <c r="K622" s="42" t="n">
        <f aca="false">(F622-INDEX('Cohort Summary'!$H$5:$H$14,MATCH($A622,'Cohort Summary'!$A$5:$A$14,0)))/INDEX('Cohort Summary'!$I$5:$I$14,MATCH($A622,'Cohort Summary'!$A$5:$A$14,0))</f>
        <v>-0.553691275167785</v>
      </c>
      <c r="L622" s="42" t="n">
        <f aca="false">(G622-INDEX('Cohort Summary'!$J$5:$J$14,MATCH($A622,'Cohort Summary'!$A$5:$A$14,0)))/INDEX('Cohort Summary'!$K$5:$K$14,MATCH($A622,'Cohort Summary'!$A$5:$A$14,0))</f>
        <v>-0.724137931034486</v>
      </c>
      <c r="M622" s="42" t="n">
        <f aca="false">MAX(I622:K622)</f>
        <v>0.72523961661342</v>
      </c>
      <c r="N622" s="27" t="s">
        <v>197</v>
      </c>
      <c r="O622" s="27"/>
      <c r="P622" s="27" t="str">
        <f aca="false">A622&amp;"|"&amp;N622</f>
        <v>NURSE-04|normal</v>
      </c>
    </row>
    <row r="623" customFormat="false" ht="15" hidden="false" customHeight="true" outlineLevel="0" collapsed="false">
      <c r="A623" s="27" t="s">
        <v>81</v>
      </c>
      <c r="B623" s="41" t="n">
        <v>46303.2989583333</v>
      </c>
      <c r="C623" s="27" t="s">
        <v>195</v>
      </c>
      <c r="D623" s="27" t="n">
        <v>47.4</v>
      </c>
      <c r="E623" s="27" t="n">
        <v>18.1</v>
      </c>
      <c r="F623" s="27" t="n">
        <v>37.9</v>
      </c>
      <c r="G623" s="27" t="n">
        <v>32.6</v>
      </c>
      <c r="H623" s="27" t="s">
        <v>196</v>
      </c>
      <c r="I623" s="42" t="n">
        <f aca="false">(D623-INDEX('Cohort Summary'!$D$5:$D$14,MATCH($A623,'Cohort Summary'!$A$5:$A$14,0)))/INDEX('Cohort Summary'!$E$5:$E$14,MATCH($A623,'Cohort Summary'!$A$5:$A$14,0))</f>
        <v>0.501597444089457</v>
      </c>
      <c r="J623" s="42" t="n">
        <f aca="false">(E623-INDEX('Cohort Summary'!$F$5:$F$14,MATCH($A623,'Cohort Summary'!$A$5:$A$14,0)))/INDEX('Cohort Summary'!$G$5:$G$14,MATCH($A623,'Cohort Summary'!$A$5:$A$14,0))</f>
        <v>-0.797927461139896</v>
      </c>
      <c r="K623" s="42" t="n">
        <f aca="false">(F623-INDEX('Cohort Summary'!$H$5:$H$14,MATCH($A623,'Cohort Summary'!$A$5:$A$14,0)))/INDEX('Cohort Summary'!$I$5:$I$14,MATCH($A623,'Cohort Summary'!$A$5:$A$14,0))</f>
        <v>1.59395973154362</v>
      </c>
      <c r="L623" s="42" t="n">
        <f aca="false">(G623-INDEX('Cohort Summary'!$J$5:$J$14,MATCH($A623,'Cohort Summary'!$A$5:$A$14,0)))/INDEX('Cohort Summary'!$K$5:$K$14,MATCH($A623,'Cohort Summary'!$A$5:$A$14,0))</f>
        <v>-1.24137931034483</v>
      </c>
      <c r="M623" s="42" t="n">
        <f aca="false">MAX(I623:K623)</f>
        <v>1.59395973154362</v>
      </c>
      <c r="N623" s="27" t="s">
        <v>197</v>
      </c>
      <c r="O623" s="27"/>
      <c r="P623" s="27" t="str">
        <f aca="false">A623&amp;"|"&amp;N623</f>
        <v>NURSE-04|normal</v>
      </c>
    </row>
    <row r="624" customFormat="false" ht="15" hidden="false" customHeight="true" outlineLevel="0" collapsed="false">
      <c r="A624" s="27" t="s">
        <v>81</v>
      </c>
      <c r="B624" s="41" t="n">
        <v>46303.2993055556</v>
      </c>
      <c r="C624" s="27" t="s">
        <v>195</v>
      </c>
      <c r="D624" s="27" t="n">
        <v>48.9</v>
      </c>
      <c r="E624" s="27" t="n">
        <v>19.3</v>
      </c>
      <c r="F624" s="27" t="n">
        <v>37.3</v>
      </c>
      <c r="G624" s="27" t="n">
        <v>33.7</v>
      </c>
      <c r="H624" s="27" t="s">
        <v>198</v>
      </c>
      <c r="I624" s="42" t="n">
        <f aca="false">(D624-INDEX('Cohort Summary'!$D$5:$D$14,MATCH($A624,'Cohort Summary'!$A$5:$A$14,0)))/INDEX('Cohort Summary'!$E$5:$E$14,MATCH($A624,'Cohort Summary'!$A$5:$A$14,0))</f>
        <v>0.980830670926518</v>
      </c>
      <c r="J624" s="42" t="n">
        <f aca="false">(E624-INDEX('Cohort Summary'!$F$5:$F$14,MATCH($A624,'Cohort Summary'!$A$5:$A$14,0)))/INDEX('Cohort Summary'!$G$5:$G$14,MATCH($A624,'Cohort Summary'!$A$5:$A$14,0))</f>
        <v>-0.176165803108808</v>
      </c>
      <c r="K624" s="42" t="n">
        <f aca="false">(F624-INDEX('Cohort Summary'!$H$5:$H$14,MATCH($A624,'Cohort Summary'!$A$5:$A$14,0)))/INDEX('Cohort Summary'!$I$5:$I$14,MATCH($A624,'Cohort Summary'!$A$5:$A$14,0))</f>
        <v>1.39261744966443</v>
      </c>
      <c r="L624" s="42" t="n">
        <f aca="false">(G624-INDEX('Cohort Summary'!$J$5:$J$14,MATCH($A624,'Cohort Summary'!$A$5:$A$14,0)))/INDEX('Cohort Summary'!$K$5:$K$14,MATCH($A624,'Cohort Summary'!$A$5:$A$14,0))</f>
        <v>0.655172413793108</v>
      </c>
      <c r="M624" s="42" t="n">
        <f aca="false">MAX(I624:K624)</f>
        <v>1.39261744966443</v>
      </c>
      <c r="N624" s="27" t="s">
        <v>197</v>
      </c>
      <c r="O624" s="27"/>
      <c r="P624" s="27" t="str">
        <f aca="false">A624&amp;"|"&amp;N624</f>
        <v>NURSE-04|normal</v>
      </c>
    </row>
    <row r="625" customFormat="false" ht="15" hidden="false" customHeight="true" outlineLevel="0" collapsed="false">
      <c r="A625" s="27" t="s">
        <v>81</v>
      </c>
      <c r="B625" s="41" t="n">
        <v>46303.2996527778</v>
      </c>
      <c r="C625" s="27" t="s">
        <v>195</v>
      </c>
      <c r="D625" s="27" t="n">
        <v>49.2</v>
      </c>
      <c r="E625" s="27" t="n">
        <v>18</v>
      </c>
      <c r="F625" s="27" t="n">
        <v>31.3</v>
      </c>
      <c r="G625" s="27" t="n">
        <v>33.2</v>
      </c>
      <c r="H625" s="27" t="s">
        <v>198</v>
      </c>
      <c r="I625" s="42" t="n">
        <f aca="false">(D625-INDEX('Cohort Summary'!$D$5:$D$14,MATCH($A625,'Cohort Summary'!$A$5:$A$14,0)))/INDEX('Cohort Summary'!$E$5:$E$14,MATCH($A625,'Cohort Summary'!$A$5:$A$14,0))</f>
        <v>1.07667731629393</v>
      </c>
      <c r="J625" s="42" t="n">
        <f aca="false">(E625-INDEX('Cohort Summary'!$F$5:$F$14,MATCH($A625,'Cohort Summary'!$A$5:$A$14,0)))/INDEX('Cohort Summary'!$G$5:$G$14,MATCH($A625,'Cohort Summary'!$A$5:$A$14,0))</f>
        <v>-0.849740932642487</v>
      </c>
      <c r="K625" s="42" t="n">
        <f aca="false">(F625-INDEX('Cohort Summary'!$H$5:$H$14,MATCH($A625,'Cohort Summary'!$A$5:$A$14,0)))/INDEX('Cohort Summary'!$I$5:$I$14,MATCH($A625,'Cohort Summary'!$A$5:$A$14,0))</f>
        <v>-0.620805369127516</v>
      </c>
      <c r="L625" s="42" t="n">
        <f aca="false">(G625-INDEX('Cohort Summary'!$J$5:$J$14,MATCH($A625,'Cohort Summary'!$A$5:$A$14,0)))/INDEX('Cohort Summary'!$K$5:$K$14,MATCH($A625,'Cohort Summary'!$A$5:$A$14,0))</f>
        <v>-0.206896551724134</v>
      </c>
      <c r="M625" s="42" t="n">
        <f aca="false">MAX(I625:K625)</f>
        <v>1.07667731629393</v>
      </c>
      <c r="N625" s="27" t="s">
        <v>197</v>
      </c>
      <c r="O625" s="27"/>
      <c r="P625" s="27" t="str">
        <f aca="false">A625&amp;"|"&amp;N625</f>
        <v>NURSE-04|normal</v>
      </c>
    </row>
    <row r="626" customFormat="false" ht="15" hidden="false" customHeight="true" outlineLevel="0" collapsed="false">
      <c r="A626" s="27" t="s">
        <v>81</v>
      </c>
      <c r="B626" s="41" t="n">
        <v>46303.3</v>
      </c>
      <c r="C626" s="27" t="s">
        <v>195</v>
      </c>
      <c r="D626" s="27" t="n">
        <v>42.6</v>
      </c>
      <c r="E626" s="27" t="n">
        <v>20.8</v>
      </c>
      <c r="F626" s="27" t="n">
        <v>34</v>
      </c>
      <c r="G626" s="27" t="n">
        <v>33.1</v>
      </c>
      <c r="H626" s="27" t="s">
        <v>196</v>
      </c>
      <c r="I626" s="42" t="n">
        <f aca="false">(D626-INDEX('Cohort Summary'!$D$5:$D$14,MATCH($A626,'Cohort Summary'!$A$5:$A$14,0)))/INDEX('Cohort Summary'!$E$5:$E$14,MATCH($A626,'Cohort Summary'!$A$5:$A$14,0))</f>
        <v>-1.03194888178914</v>
      </c>
      <c r="J626" s="42" t="n">
        <f aca="false">(E626-INDEX('Cohort Summary'!$F$5:$F$14,MATCH($A626,'Cohort Summary'!$A$5:$A$14,0)))/INDEX('Cohort Summary'!$G$5:$G$14,MATCH($A626,'Cohort Summary'!$A$5:$A$14,0))</f>
        <v>0.601036269430052</v>
      </c>
      <c r="K626" s="42" t="n">
        <f aca="false">(F626-INDEX('Cohort Summary'!$H$5:$H$14,MATCH($A626,'Cohort Summary'!$A$5:$A$14,0)))/INDEX('Cohort Summary'!$I$5:$I$14,MATCH($A626,'Cohort Summary'!$A$5:$A$14,0))</f>
        <v>0.28523489932886</v>
      </c>
      <c r="L626" s="42" t="n">
        <f aca="false">(G626-INDEX('Cohort Summary'!$J$5:$J$14,MATCH($A626,'Cohort Summary'!$A$5:$A$14,0)))/INDEX('Cohort Summary'!$K$5:$K$14,MATCH($A626,'Cohort Summary'!$A$5:$A$14,0))</f>
        <v>-0.379310344827584</v>
      </c>
      <c r="M626" s="42" t="n">
        <f aca="false">MAX(I626:K626)</f>
        <v>0.601036269430052</v>
      </c>
      <c r="N626" s="27" t="s">
        <v>197</v>
      </c>
      <c r="O626" s="27"/>
      <c r="P626" s="27" t="str">
        <f aca="false">A626&amp;"|"&amp;N626</f>
        <v>NURSE-04|normal</v>
      </c>
    </row>
    <row r="627" customFormat="false" ht="15" hidden="false" customHeight="true" outlineLevel="0" collapsed="false">
      <c r="A627" s="27" t="s">
        <v>81</v>
      </c>
      <c r="B627" s="41" t="n">
        <v>46303.3003472222</v>
      </c>
      <c r="C627" s="27" t="s">
        <v>195</v>
      </c>
      <c r="D627" s="27" t="n">
        <v>41.5</v>
      </c>
      <c r="E627" s="27" t="n">
        <v>21.5</v>
      </c>
      <c r="F627" s="27" t="n">
        <v>36.5</v>
      </c>
      <c r="G627" s="27" t="n">
        <v>33.7</v>
      </c>
      <c r="H627" s="27" t="s">
        <v>198</v>
      </c>
      <c r="I627" s="42" t="n">
        <f aca="false">(D627-INDEX('Cohort Summary'!$D$5:$D$14,MATCH($A627,'Cohort Summary'!$A$5:$A$14,0)))/INDEX('Cohort Summary'!$E$5:$E$14,MATCH($A627,'Cohort Summary'!$A$5:$A$14,0))</f>
        <v>-1.38338658146965</v>
      </c>
      <c r="J627" s="42" t="n">
        <f aca="false">(E627-INDEX('Cohort Summary'!$F$5:$F$14,MATCH($A627,'Cohort Summary'!$A$5:$A$14,0)))/INDEX('Cohort Summary'!$G$5:$G$14,MATCH($A627,'Cohort Summary'!$A$5:$A$14,0))</f>
        <v>0.963730569948186</v>
      </c>
      <c r="K627" s="42" t="n">
        <f aca="false">(F627-INDEX('Cohort Summary'!$H$5:$H$14,MATCH($A627,'Cohort Summary'!$A$5:$A$14,0)))/INDEX('Cohort Summary'!$I$5:$I$14,MATCH($A627,'Cohort Summary'!$A$5:$A$14,0))</f>
        <v>1.1241610738255</v>
      </c>
      <c r="L627" s="42" t="n">
        <f aca="false">(G627-INDEX('Cohort Summary'!$J$5:$J$14,MATCH($A627,'Cohort Summary'!$A$5:$A$14,0)))/INDEX('Cohort Summary'!$K$5:$K$14,MATCH($A627,'Cohort Summary'!$A$5:$A$14,0))</f>
        <v>0.655172413793108</v>
      </c>
      <c r="M627" s="42" t="n">
        <f aca="false">MAX(I627:K627)</f>
        <v>1.1241610738255</v>
      </c>
      <c r="N627" s="27" t="s">
        <v>197</v>
      </c>
      <c r="O627" s="27"/>
      <c r="P627" s="27" t="str">
        <f aca="false">A627&amp;"|"&amp;N627</f>
        <v>NURSE-04|normal</v>
      </c>
    </row>
    <row r="628" customFormat="false" ht="15" hidden="false" customHeight="true" outlineLevel="0" collapsed="false">
      <c r="A628" s="27" t="s">
        <v>81</v>
      </c>
      <c r="B628" s="41" t="n">
        <v>46303.3006944444</v>
      </c>
      <c r="C628" s="27" t="s">
        <v>195</v>
      </c>
      <c r="D628" s="27" t="n">
        <v>48.8</v>
      </c>
      <c r="E628" s="27" t="n">
        <v>22</v>
      </c>
      <c r="F628" s="27" t="n">
        <v>29.8</v>
      </c>
      <c r="G628" s="27" t="n">
        <v>33.9</v>
      </c>
      <c r="H628" s="27" t="s">
        <v>199</v>
      </c>
      <c r="I628" s="42" t="n">
        <f aca="false">(D628-INDEX('Cohort Summary'!$D$5:$D$14,MATCH($A628,'Cohort Summary'!$A$5:$A$14,0)))/INDEX('Cohort Summary'!$E$5:$E$14,MATCH($A628,'Cohort Summary'!$A$5:$A$14,0))</f>
        <v>0.94888178913738</v>
      </c>
      <c r="J628" s="42" t="n">
        <f aca="false">(E628-INDEX('Cohort Summary'!$F$5:$F$14,MATCH($A628,'Cohort Summary'!$A$5:$A$14,0)))/INDEX('Cohort Summary'!$G$5:$G$14,MATCH($A628,'Cohort Summary'!$A$5:$A$14,0))</f>
        <v>1.22279792746114</v>
      </c>
      <c r="K628" s="42" t="n">
        <f aca="false">(F628-INDEX('Cohort Summary'!$H$5:$H$14,MATCH($A628,'Cohort Summary'!$A$5:$A$14,0)))/INDEX('Cohort Summary'!$I$5:$I$14,MATCH($A628,'Cohort Summary'!$A$5:$A$14,0))</f>
        <v>-1.1241610738255</v>
      </c>
      <c r="L628" s="42" t="n">
        <f aca="false">(G628-INDEX('Cohort Summary'!$J$5:$J$14,MATCH($A628,'Cohort Summary'!$A$5:$A$14,0)))/INDEX('Cohort Summary'!$K$5:$K$14,MATCH($A628,'Cohort Summary'!$A$5:$A$14,0))</f>
        <v>0.999999999999997</v>
      </c>
      <c r="M628" s="42" t="n">
        <f aca="false">MAX(I628:K628)</f>
        <v>1.22279792746114</v>
      </c>
      <c r="N628" s="27" t="s">
        <v>197</v>
      </c>
      <c r="O628" s="27"/>
      <c r="P628" s="27" t="str">
        <f aca="false">A628&amp;"|"&amp;N628</f>
        <v>NURSE-04|normal</v>
      </c>
    </row>
    <row r="629" customFormat="false" ht="15" hidden="false" customHeight="true" outlineLevel="0" collapsed="false">
      <c r="A629" s="27" t="s">
        <v>81</v>
      </c>
      <c r="B629" s="41" t="n">
        <v>46303.3010416667</v>
      </c>
      <c r="C629" s="27" t="s">
        <v>195</v>
      </c>
      <c r="D629" s="27" t="n">
        <v>47.9</v>
      </c>
      <c r="E629" s="27" t="n">
        <v>21.6</v>
      </c>
      <c r="F629" s="27" t="n">
        <v>29.5</v>
      </c>
      <c r="G629" s="27" t="n">
        <v>34</v>
      </c>
      <c r="H629" s="27" t="s">
        <v>198</v>
      </c>
      <c r="I629" s="42" t="n">
        <f aca="false">(D629-INDEX('Cohort Summary'!$D$5:$D$14,MATCH($A629,'Cohort Summary'!$A$5:$A$14,0)))/INDEX('Cohort Summary'!$E$5:$E$14,MATCH($A629,'Cohort Summary'!$A$5:$A$14,0))</f>
        <v>0.661341853035144</v>
      </c>
      <c r="J629" s="42" t="n">
        <f aca="false">(E629-INDEX('Cohort Summary'!$F$5:$F$14,MATCH($A629,'Cohort Summary'!$A$5:$A$14,0)))/INDEX('Cohort Summary'!$G$5:$G$14,MATCH($A629,'Cohort Summary'!$A$5:$A$14,0))</f>
        <v>1.01554404145078</v>
      </c>
      <c r="K629" s="42" t="n">
        <f aca="false">(F629-INDEX('Cohort Summary'!$H$5:$H$14,MATCH($A629,'Cohort Summary'!$A$5:$A$14,0)))/INDEX('Cohort Summary'!$I$5:$I$14,MATCH($A629,'Cohort Summary'!$A$5:$A$14,0))</f>
        <v>-1.2248322147651</v>
      </c>
      <c r="L629" s="42" t="n">
        <f aca="false">(G629-INDEX('Cohort Summary'!$J$5:$J$14,MATCH($A629,'Cohort Summary'!$A$5:$A$14,0)))/INDEX('Cohort Summary'!$K$5:$K$14,MATCH($A629,'Cohort Summary'!$A$5:$A$14,0))</f>
        <v>1.17241379310345</v>
      </c>
      <c r="M629" s="42" t="n">
        <f aca="false">MAX(I629:K629)</f>
        <v>1.01554404145078</v>
      </c>
      <c r="N629" s="27" t="s">
        <v>197</v>
      </c>
      <c r="O629" s="27"/>
      <c r="P629" s="27" t="str">
        <f aca="false">A629&amp;"|"&amp;N629</f>
        <v>NURSE-04|normal</v>
      </c>
    </row>
    <row r="630" customFormat="false" ht="15" hidden="false" customHeight="true" outlineLevel="0" collapsed="false">
      <c r="A630" s="27" t="s">
        <v>81</v>
      </c>
      <c r="B630" s="41" t="n">
        <v>46303.3013888889</v>
      </c>
      <c r="C630" s="27" t="s">
        <v>195</v>
      </c>
      <c r="D630" s="27" t="n">
        <v>50.1</v>
      </c>
      <c r="E630" s="27" t="n">
        <v>17.1</v>
      </c>
      <c r="F630" s="27" t="n">
        <v>35.4</v>
      </c>
      <c r="G630" s="27" t="n">
        <v>32.4</v>
      </c>
      <c r="H630" s="27" t="s">
        <v>198</v>
      </c>
      <c r="I630" s="42" t="n">
        <f aca="false">(D630-INDEX('Cohort Summary'!$D$5:$D$14,MATCH($A630,'Cohort Summary'!$A$5:$A$14,0)))/INDEX('Cohort Summary'!$E$5:$E$14,MATCH($A630,'Cohort Summary'!$A$5:$A$14,0))</f>
        <v>1.36421725239617</v>
      </c>
      <c r="J630" s="42" t="n">
        <f aca="false">(E630-INDEX('Cohort Summary'!$F$5:$F$14,MATCH($A630,'Cohort Summary'!$A$5:$A$14,0)))/INDEX('Cohort Summary'!$G$5:$G$14,MATCH($A630,'Cohort Summary'!$A$5:$A$14,0))</f>
        <v>-1.3160621761658</v>
      </c>
      <c r="K630" s="42" t="n">
        <f aca="false">(F630-INDEX('Cohort Summary'!$H$5:$H$14,MATCH($A630,'Cohort Summary'!$A$5:$A$14,0)))/INDEX('Cohort Summary'!$I$5:$I$14,MATCH($A630,'Cohort Summary'!$A$5:$A$14,0))</f>
        <v>0.75503355704698</v>
      </c>
      <c r="L630" s="42" t="n">
        <f aca="false">(G630-INDEX('Cohort Summary'!$J$5:$J$14,MATCH($A630,'Cohort Summary'!$A$5:$A$14,0)))/INDEX('Cohort Summary'!$K$5:$K$14,MATCH($A630,'Cohort Summary'!$A$5:$A$14,0))</f>
        <v>-1.58620689655173</v>
      </c>
      <c r="M630" s="42" t="n">
        <f aca="false">MAX(I630:K630)</f>
        <v>1.36421725239617</v>
      </c>
      <c r="N630" s="27" t="s">
        <v>197</v>
      </c>
      <c r="O630" s="27"/>
      <c r="P630" s="27" t="str">
        <f aca="false">A630&amp;"|"&amp;N630</f>
        <v>NURSE-04|normal</v>
      </c>
    </row>
    <row r="631" customFormat="false" ht="15" hidden="false" customHeight="true" outlineLevel="0" collapsed="false">
      <c r="A631" s="27" t="s">
        <v>81</v>
      </c>
      <c r="B631" s="41" t="n">
        <v>46303.3017361111</v>
      </c>
      <c r="C631" s="27" t="s">
        <v>195</v>
      </c>
      <c r="D631" s="27" t="n">
        <v>45.6</v>
      </c>
      <c r="E631" s="27" t="n">
        <v>18.8</v>
      </c>
      <c r="F631" s="27" t="n">
        <v>32.1</v>
      </c>
      <c r="G631" s="27" t="n">
        <v>33.5</v>
      </c>
      <c r="H631" s="27" t="s">
        <v>196</v>
      </c>
      <c r="I631" s="42" t="n">
        <f aca="false">(D631-INDEX('Cohort Summary'!$D$5:$D$14,MATCH($A631,'Cohort Summary'!$A$5:$A$14,0)))/INDEX('Cohort Summary'!$E$5:$E$14,MATCH($A631,'Cohort Summary'!$A$5:$A$14,0))</f>
        <v>-0.073482428115015</v>
      </c>
      <c r="J631" s="42" t="n">
        <f aca="false">(E631-INDEX('Cohort Summary'!$F$5:$F$14,MATCH($A631,'Cohort Summary'!$A$5:$A$14,0)))/INDEX('Cohort Summary'!$G$5:$G$14,MATCH($A631,'Cohort Summary'!$A$5:$A$14,0))</f>
        <v>-0.435233160621762</v>
      </c>
      <c r="K631" s="42" t="n">
        <f aca="false">(F631-INDEX('Cohort Summary'!$H$5:$H$14,MATCH($A631,'Cohort Summary'!$A$5:$A$14,0)))/INDEX('Cohort Summary'!$I$5:$I$14,MATCH($A631,'Cohort Summary'!$A$5:$A$14,0))</f>
        <v>-0.35234899328859</v>
      </c>
      <c r="L631" s="42" t="n">
        <f aca="false">(G631-INDEX('Cohort Summary'!$J$5:$J$14,MATCH($A631,'Cohort Summary'!$A$5:$A$14,0)))/INDEX('Cohort Summary'!$K$5:$K$14,MATCH($A631,'Cohort Summary'!$A$5:$A$14,0))</f>
        <v>0.310344827586206</v>
      </c>
      <c r="M631" s="42" t="n">
        <f aca="false">MAX(I631:K631)</f>
        <v>-0.073482428115015</v>
      </c>
      <c r="N631" s="27" t="s">
        <v>197</v>
      </c>
      <c r="O631" s="27"/>
      <c r="P631" s="27" t="str">
        <f aca="false">A631&amp;"|"&amp;N631</f>
        <v>NURSE-04|normal</v>
      </c>
    </row>
    <row r="632" customFormat="false" ht="15" hidden="false" customHeight="true" outlineLevel="0" collapsed="false">
      <c r="A632" s="27" t="s">
        <v>81</v>
      </c>
      <c r="B632" s="41" t="n">
        <v>46303.3020833333</v>
      </c>
      <c r="C632" s="27" t="s">
        <v>195</v>
      </c>
      <c r="D632" s="27" t="n">
        <v>48.2</v>
      </c>
      <c r="E632" s="27" t="n">
        <v>22.2</v>
      </c>
      <c r="F632" s="27" t="n">
        <v>37.8</v>
      </c>
      <c r="G632" s="27" t="n">
        <v>32.3</v>
      </c>
      <c r="H632" s="27" t="s">
        <v>198</v>
      </c>
      <c r="I632" s="42" t="n">
        <f aca="false">(D632-INDEX('Cohort Summary'!$D$5:$D$14,MATCH($A632,'Cohort Summary'!$A$5:$A$14,0)))/INDEX('Cohort Summary'!$E$5:$E$14,MATCH($A632,'Cohort Summary'!$A$5:$A$14,0))</f>
        <v>0.757188498402557</v>
      </c>
      <c r="J632" s="42" t="n">
        <f aca="false">(E632-INDEX('Cohort Summary'!$F$5:$F$14,MATCH($A632,'Cohort Summary'!$A$5:$A$14,0)))/INDEX('Cohort Summary'!$G$5:$G$14,MATCH($A632,'Cohort Summary'!$A$5:$A$14,0))</f>
        <v>1.32642487046632</v>
      </c>
      <c r="K632" s="42" t="n">
        <f aca="false">(F632-INDEX('Cohort Summary'!$H$5:$H$14,MATCH($A632,'Cohort Summary'!$A$5:$A$14,0)))/INDEX('Cohort Summary'!$I$5:$I$14,MATCH($A632,'Cohort Summary'!$A$5:$A$14,0))</f>
        <v>1.56040268456376</v>
      </c>
      <c r="L632" s="42" t="n">
        <f aca="false">(G632-INDEX('Cohort Summary'!$J$5:$J$14,MATCH($A632,'Cohort Summary'!$A$5:$A$14,0)))/INDEX('Cohort Summary'!$K$5:$K$14,MATCH($A632,'Cohort Summary'!$A$5:$A$14,0))</f>
        <v>-1.75862068965518</v>
      </c>
      <c r="M632" s="42" t="n">
        <f aca="false">MAX(I632:K632)</f>
        <v>1.56040268456376</v>
      </c>
      <c r="N632" s="27" t="s">
        <v>197</v>
      </c>
      <c r="O632" s="27"/>
      <c r="P632" s="27" t="str">
        <f aca="false">A632&amp;"|"&amp;N632</f>
        <v>NURSE-04|normal</v>
      </c>
    </row>
    <row r="633" customFormat="false" ht="15" hidden="false" customHeight="true" outlineLevel="0" collapsed="false">
      <c r="A633" s="27" t="s">
        <v>81</v>
      </c>
      <c r="B633" s="41" t="n">
        <v>46303.3024305556</v>
      </c>
      <c r="C633" s="27" t="s">
        <v>195</v>
      </c>
      <c r="D633" s="27" t="n">
        <v>43</v>
      </c>
      <c r="E633" s="27" t="n">
        <v>20.4</v>
      </c>
      <c r="F633" s="27" t="n">
        <v>28.2</v>
      </c>
      <c r="G633" s="27" t="n">
        <v>32.5</v>
      </c>
      <c r="H633" s="27" t="s">
        <v>196</v>
      </c>
      <c r="I633" s="42" t="n">
        <f aca="false">(D633-INDEX('Cohort Summary'!$D$5:$D$14,MATCH($A633,'Cohort Summary'!$A$5:$A$14,0)))/INDEX('Cohort Summary'!$E$5:$E$14,MATCH($A633,'Cohort Summary'!$A$5:$A$14,0))</f>
        <v>-0.904153354632587</v>
      </c>
      <c r="J633" s="42" t="n">
        <f aca="false">(E633-INDEX('Cohort Summary'!$F$5:$F$14,MATCH($A633,'Cohort Summary'!$A$5:$A$14,0)))/INDEX('Cohort Summary'!$G$5:$G$14,MATCH($A633,'Cohort Summary'!$A$5:$A$14,0))</f>
        <v>0.393782383419688</v>
      </c>
      <c r="K633" s="42" t="n">
        <f aca="false">(F633-INDEX('Cohort Summary'!$H$5:$H$14,MATCH($A633,'Cohort Summary'!$A$5:$A$14,0)))/INDEX('Cohort Summary'!$I$5:$I$14,MATCH($A633,'Cohort Summary'!$A$5:$A$14,0))</f>
        <v>-1.66107382550336</v>
      </c>
      <c r="L633" s="42" t="n">
        <f aca="false">(G633-INDEX('Cohort Summary'!$J$5:$J$14,MATCH($A633,'Cohort Summary'!$A$5:$A$14,0)))/INDEX('Cohort Summary'!$K$5:$K$14,MATCH($A633,'Cohort Summary'!$A$5:$A$14,0))</f>
        <v>-1.41379310344828</v>
      </c>
      <c r="M633" s="42" t="n">
        <f aca="false">MAX(I633:K633)</f>
        <v>0.393782383419688</v>
      </c>
      <c r="N633" s="27" t="s">
        <v>197</v>
      </c>
      <c r="O633" s="27"/>
      <c r="P633" s="27" t="str">
        <f aca="false">A633&amp;"|"&amp;N633</f>
        <v>NURSE-04|normal</v>
      </c>
    </row>
    <row r="634" customFormat="false" ht="15" hidden="false" customHeight="true" outlineLevel="0" collapsed="false">
      <c r="A634" s="27" t="s">
        <v>81</v>
      </c>
      <c r="B634" s="41" t="n">
        <v>46303.3027777778</v>
      </c>
      <c r="C634" s="27" t="s">
        <v>195</v>
      </c>
      <c r="D634" s="27" t="n">
        <v>43.3</v>
      </c>
      <c r="E634" s="27" t="n">
        <v>19</v>
      </c>
      <c r="F634" s="27" t="n">
        <v>29</v>
      </c>
      <c r="G634" s="27" t="n">
        <v>32.2</v>
      </c>
      <c r="H634" s="27" t="s">
        <v>199</v>
      </c>
      <c r="I634" s="42" t="n">
        <f aca="false">(D634-INDEX('Cohort Summary'!$D$5:$D$14,MATCH($A634,'Cohort Summary'!$A$5:$A$14,0)))/INDEX('Cohort Summary'!$E$5:$E$14,MATCH($A634,'Cohort Summary'!$A$5:$A$14,0))</f>
        <v>-0.808306709265176</v>
      </c>
      <c r="J634" s="42" t="n">
        <f aca="false">(E634-INDEX('Cohort Summary'!$F$5:$F$14,MATCH($A634,'Cohort Summary'!$A$5:$A$14,0)))/INDEX('Cohort Summary'!$G$5:$G$14,MATCH($A634,'Cohort Summary'!$A$5:$A$14,0))</f>
        <v>-0.331606217616581</v>
      </c>
      <c r="K634" s="42" t="n">
        <f aca="false">(F634-INDEX('Cohort Summary'!$H$5:$H$14,MATCH($A634,'Cohort Summary'!$A$5:$A$14,0)))/INDEX('Cohort Summary'!$I$5:$I$14,MATCH($A634,'Cohort Summary'!$A$5:$A$14,0))</f>
        <v>-1.39261744966443</v>
      </c>
      <c r="L634" s="42" t="n">
        <f aca="false">(G634-INDEX('Cohort Summary'!$J$5:$J$14,MATCH($A634,'Cohort Summary'!$A$5:$A$14,0)))/INDEX('Cohort Summary'!$K$5:$K$14,MATCH($A634,'Cohort Summary'!$A$5:$A$14,0))</f>
        <v>-1.93103448275862</v>
      </c>
      <c r="M634" s="42" t="n">
        <f aca="false">MAX(I634:K634)</f>
        <v>-0.331606217616581</v>
      </c>
      <c r="N634" s="27" t="s">
        <v>197</v>
      </c>
      <c r="O634" s="27"/>
      <c r="P634" s="27" t="str">
        <f aca="false">A634&amp;"|"&amp;N634</f>
        <v>NURSE-04|normal</v>
      </c>
    </row>
    <row r="635" customFormat="false" ht="15" hidden="false" customHeight="true" outlineLevel="0" collapsed="false">
      <c r="A635" s="27" t="s">
        <v>81</v>
      </c>
      <c r="B635" s="41" t="n">
        <v>46303.303125</v>
      </c>
      <c r="C635" s="27" t="s">
        <v>195</v>
      </c>
      <c r="D635" s="27" t="n">
        <v>41.6</v>
      </c>
      <c r="E635" s="27" t="n">
        <v>16.8</v>
      </c>
      <c r="F635" s="27" t="n">
        <v>37.6</v>
      </c>
      <c r="G635" s="27" t="n">
        <v>34.1</v>
      </c>
      <c r="H635" s="27" t="s">
        <v>196</v>
      </c>
      <c r="I635" s="42" t="n">
        <f aca="false">(D635-INDEX('Cohort Summary'!$D$5:$D$14,MATCH($A635,'Cohort Summary'!$A$5:$A$14,0)))/INDEX('Cohort Summary'!$E$5:$E$14,MATCH($A635,'Cohort Summary'!$A$5:$A$14,0))</f>
        <v>-1.35143769968051</v>
      </c>
      <c r="J635" s="42" t="n">
        <f aca="false">(E635-INDEX('Cohort Summary'!$F$5:$F$14,MATCH($A635,'Cohort Summary'!$A$5:$A$14,0)))/INDEX('Cohort Summary'!$G$5:$G$14,MATCH($A635,'Cohort Summary'!$A$5:$A$14,0))</f>
        <v>-1.47150259067358</v>
      </c>
      <c r="K635" s="42" t="n">
        <f aca="false">(F635-INDEX('Cohort Summary'!$H$5:$H$14,MATCH($A635,'Cohort Summary'!$A$5:$A$14,0)))/INDEX('Cohort Summary'!$I$5:$I$14,MATCH($A635,'Cohort Summary'!$A$5:$A$14,0))</f>
        <v>1.49328859060403</v>
      </c>
      <c r="L635" s="42" t="n">
        <f aca="false">(G635-INDEX('Cohort Summary'!$J$5:$J$14,MATCH($A635,'Cohort Summary'!$A$5:$A$14,0)))/INDEX('Cohort Summary'!$K$5:$K$14,MATCH($A635,'Cohort Summary'!$A$5:$A$14,0))</f>
        <v>1.3448275862069</v>
      </c>
      <c r="M635" s="42" t="n">
        <f aca="false">MAX(I635:K635)</f>
        <v>1.49328859060403</v>
      </c>
      <c r="N635" s="27" t="s">
        <v>197</v>
      </c>
      <c r="O635" s="27"/>
      <c r="P635" s="27" t="str">
        <f aca="false">A635&amp;"|"&amp;N635</f>
        <v>NURSE-04|normal</v>
      </c>
    </row>
    <row r="636" customFormat="false" ht="15" hidden="false" customHeight="true" outlineLevel="0" collapsed="false">
      <c r="A636" s="27" t="s">
        <v>81</v>
      </c>
      <c r="B636" s="41" t="n">
        <v>46303.3034722222</v>
      </c>
      <c r="C636" s="27" t="s">
        <v>195</v>
      </c>
      <c r="D636" s="27" t="n">
        <v>45.3</v>
      </c>
      <c r="E636" s="27" t="n">
        <v>17.3</v>
      </c>
      <c r="F636" s="27" t="n">
        <v>34.9</v>
      </c>
      <c r="G636" s="27" t="n">
        <v>32.5</v>
      </c>
      <c r="H636" s="27" t="s">
        <v>196</v>
      </c>
      <c r="I636" s="42" t="n">
        <f aca="false">(D636-INDEX('Cohort Summary'!$D$5:$D$14,MATCH($A636,'Cohort Summary'!$A$5:$A$14,0)))/INDEX('Cohort Summary'!$E$5:$E$14,MATCH($A636,'Cohort Summary'!$A$5:$A$14,0))</f>
        <v>-0.169329073482428</v>
      </c>
      <c r="J636" s="42" t="n">
        <f aca="false">(E636-INDEX('Cohort Summary'!$F$5:$F$14,MATCH($A636,'Cohort Summary'!$A$5:$A$14,0)))/INDEX('Cohort Summary'!$G$5:$G$14,MATCH($A636,'Cohort Summary'!$A$5:$A$14,0))</f>
        <v>-1.21243523316062</v>
      </c>
      <c r="K636" s="42" t="n">
        <f aca="false">(F636-INDEX('Cohort Summary'!$H$5:$H$14,MATCH($A636,'Cohort Summary'!$A$5:$A$14,0)))/INDEX('Cohort Summary'!$I$5:$I$14,MATCH($A636,'Cohort Summary'!$A$5:$A$14,0))</f>
        <v>0.587248322147651</v>
      </c>
      <c r="L636" s="42" t="n">
        <f aca="false">(G636-INDEX('Cohort Summary'!$J$5:$J$14,MATCH($A636,'Cohort Summary'!$A$5:$A$14,0)))/INDEX('Cohort Summary'!$K$5:$K$14,MATCH($A636,'Cohort Summary'!$A$5:$A$14,0))</f>
        <v>-1.41379310344828</v>
      </c>
      <c r="M636" s="42" t="n">
        <f aca="false">MAX(I636:K636)</f>
        <v>0.587248322147651</v>
      </c>
      <c r="N636" s="27" t="s">
        <v>197</v>
      </c>
      <c r="O636" s="27"/>
      <c r="P636" s="27" t="str">
        <f aca="false">A636&amp;"|"&amp;N636</f>
        <v>NURSE-04|normal</v>
      </c>
    </row>
    <row r="637" customFormat="false" ht="15" hidden="false" customHeight="true" outlineLevel="0" collapsed="false">
      <c r="A637" s="27" t="s">
        <v>81</v>
      </c>
      <c r="B637" s="41" t="n">
        <v>46303.3038194445</v>
      </c>
      <c r="C637" s="27" t="s">
        <v>195</v>
      </c>
      <c r="D637" s="27" t="n">
        <v>46.5</v>
      </c>
      <c r="E637" s="27" t="n">
        <v>23</v>
      </c>
      <c r="F637" s="27" t="n">
        <v>33.3</v>
      </c>
      <c r="G637" s="27" t="n">
        <v>33.9</v>
      </c>
      <c r="H637" s="27" t="s">
        <v>198</v>
      </c>
      <c r="I637" s="42" t="n">
        <f aca="false">(D637-INDEX('Cohort Summary'!$D$5:$D$14,MATCH($A637,'Cohort Summary'!$A$5:$A$14,0)))/INDEX('Cohort Summary'!$E$5:$E$14,MATCH($A637,'Cohort Summary'!$A$5:$A$14,0))</f>
        <v>0.214057507987221</v>
      </c>
      <c r="J637" s="42" t="n">
        <f aca="false">(E637-INDEX('Cohort Summary'!$F$5:$F$14,MATCH($A637,'Cohort Summary'!$A$5:$A$14,0)))/INDEX('Cohort Summary'!$G$5:$G$14,MATCH($A637,'Cohort Summary'!$A$5:$A$14,0))</f>
        <v>1.74093264248705</v>
      </c>
      <c r="K637" s="42" t="n">
        <f aca="false">(F637-INDEX('Cohort Summary'!$H$5:$H$14,MATCH($A637,'Cohort Summary'!$A$5:$A$14,0)))/INDEX('Cohort Summary'!$I$5:$I$14,MATCH($A637,'Cohort Summary'!$A$5:$A$14,0))</f>
        <v>0.0503355704697982</v>
      </c>
      <c r="L637" s="42" t="n">
        <f aca="false">(G637-INDEX('Cohort Summary'!$J$5:$J$14,MATCH($A637,'Cohort Summary'!$A$5:$A$14,0)))/INDEX('Cohort Summary'!$K$5:$K$14,MATCH($A637,'Cohort Summary'!$A$5:$A$14,0))</f>
        <v>0.999999999999997</v>
      </c>
      <c r="M637" s="42" t="n">
        <f aca="false">MAX(I637:K637)</f>
        <v>1.74093264248705</v>
      </c>
      <c r="N637" s="27" t="s">
        <v>197</v>
      </c>
      <c r="O637" s="27"/>
      <c r="P637" s="27" t="str">
        <f aca="false">A637&amp;"|"&amp;N637</f>
        <v>NURSE-04|normal</v>
      </c>
    </row>
    <row r="638" customFormat="false" ht="15" hidden="false" customHeight="true" outlineLevel="0" collapsed="false">
      <c r="A638" s="27" t="s">
        <v>81</v>
      </c>
      <c r="B638" s="41" t="n">
        <v>46303.3041666667</v>
      </c>
      <c r="C638" s="27" t="s">
        <v>195</v>
      </c>
      <c r="D638" s="27" t="n">
        <v>44.5</v>
      </c>
      <c r="E638" s="27" t="n">
        <v>17.5</v>
      </c>
      <c r="F638" s="27" t="n">
        <v>37.7</v>
      </c>
      <c r="G638" s="27" t="n">
        <v>34</v>
      </c>
      <c r="H638" s="27" t="s">
        <v>196</v>
      </c>
      <c r="I638" s="42" t="n">
        <f aca="false">(D638-INDEX('Cohort Summary'!$D$5:$D$14,MATCH($A638,'Cohort Summary'!$A$5:$A$14,0)))/INDEX('Cohort Summary'!$E$5:$E$14,MATCH($A638,'Cohort Summary'!$A$5:$A$14,0))</f>
        <v>-0.424920127795527</v>
      </c>
      <c r="J638" s="42" t="n">
        <f aca="false">(E638-INDEX('Cohort Summary'!$F$5:$F$14,MATCH($A638,'Cohort Summary'!$A$5:$A$14,0)))/INDEX('Cohort Summary'!$G$5:$G$14,MATCH($A638,'Cohort Summary'!$A$5:$A$14,0))</f>
        <v>-1.10880829015544</v>
      </c>
      <c r="K638" s="42" t="n">
        <f aca="false">(F638-INDEX('Cohort Summary'!$H$5:$H$14,MATCH($A638,'Cohort Summary'!$A$5:$A$14,0)))/INDEX('Cohort Summary'!$I$5:$I$14,MATCH($A638,'Cohort Summary'!$A$5:$A$14,0))</f>
        <v>1.52684563758389</v>
      </c>
      <c r="L638" s="42" t="n">
        <f aca="false">(G638-INDEX('Cohort Summary'!$J$5:$J$14,MATCH($A638,'Cohort Summary'!$A$5:$A$14,0)))/INDEX('Cohort Summary'!$K$5:$K$14,MATCH($A638,'Cohort Summary'!$A$5:$A$14,0))</f>
        <v>1.17241379310345</v>
      </c>
      <c r="M638" s="42" t="n">
        <f aca="false">MAX(I638:K638)</f>
        <v>1.52684563758389</v>
      </c>
      <c r="N638" s="27" t="s">
        <v>197</v>
      </c>
      <c r="O638" s="27"/>
      <c r="P638" s="27" t="str">
        <f aca="false">A638&amp;"|"&amp;N638</f>
        <v>NURSE-04|normal</v>
      </c>
    </row>
    <row r="639" customFormat="false" ht="15" hidden="false" customHeight="true" outlineLevel="0" collapsed="false">
      <c r="A639" s="27" t="s">
        <v>81</v>
      </c>
      <c r="B639" s="41" t="n">
        <v>46303.3045138889</v>
      </c>
      <c r="C639" s="27" t="s">
        <v>195</v>
      </c>
      <c r="D639" s="27" t="n">
        <v>41.7</v>
      </c>
      <c r="E639" s="27" t="n">
        <v>20.9</v>
      </c>
      <c r="F639" s="27" t="n">
        <v>28.2</v>
      </c>
      <c r="G639" s="27" t="n">
        <v>32.7</v>
      </c>
      <c r="H639" s="27" t="s">
        <v>198</v>
      </c>
      <c r="I639" s="42" t="n">
        <f aca="false">(D639-INDEX('Cohort Summary'!$D$5:$D$14,MATCH($A639,'Cohort Summary'!$A$5:$A$14,0)))/INDEX('Cohort Summary'!$E$5:$E$14,MATCH($A639,'Cohort Summary'!$A$5:$A$14,0))</f>
        <v>-1.31948881789137</v>
      </c>
      <c r="J639" s="42" t="n">
        <f aca="false">(E639-INDEX('Cohort Summary'!$F$5:$F$14,MATCH($A639,'Cohort Summary'!$A$5:$A$14,0)))/INDEX('Cohort Summary'!$G$5:$G$14,MATCH($A639,'Cohort Summary'!$A$5:$A$14,0))</f>
        <v>0.652849740932642</v>
      </c>
      <c r="K639" s="42" t="n">
        <f aca="false">(F639-INDEX('Cohort Summary'!$H$5:$H$14,MATCH($A639,'Cohort Summary'!$A$5:$A$14,0)))/INDEX('Cohort Summary'!$I$5:$I$14,MATCH($A639,'Cohort Summary'!$A$5:$A$14,0))</f>
        <v>-1.66107382550336</v>
      </c>
      <c r="L639" s="42" t="n">
        <f aca="false">(G639-INDEX('Cohort Summary'!$J$5:$J$14,MATCH($A639,'Cohort Summary'!$A$5:$A$14,0)))/INDEX('Cohort Summary'!$K$5:$K$14,MATCH($A639,'Cohort Summary'!$A$5:$A$14,0))</f>
        <v>-1.06896551724138</v>
      </c>
      <c r="M639" s="42" t="n">
        <f aca="false">MAX(I639:K639)</f>
        <v>0.652849740932642</v>
      </c>
      <c r="N639" s="27" t="s">
        <v>197</v>
      </c>
      <c r="O639" s="27"/>
      <c r="P639" s="27" t="str">
        <f aca="false">A639&amp;"|"&amp;N639</f>
        <v>NURSE-04|normal</v>
      </c>
    </row>
    <row r="640" customFormat="false" ht="15" hidden="false" customHeight="true" outlineLevel="0" collapsed="false">
      <c r="A640" s="27" t="s">
        <v>81</v>
      </c>
      <c r="B640" s="41" t="n">
        <v>46303.3048611111</v>
      </c>
      <c r="C640" s="27" t="s">
        <v>195</v>
      </c>
      <c r="D640" s="27" t="n">
        <v>43</v>
      </c>
      <c r="E640" s="27" t="n">
        <v>16.3</v>
      </c>
      <c r="F640" s="27" t="n">
        <v>35.9</v>
      </c>
      <c r="G640" s="27" t="n">
        <v>34.1</v>
      </c>
      <c r="H640" s="27" t="s">
        <v>199</v>
      </c>
      <c r="I640" s="42" t="n">
        <f aca="false">(D640-INDEX('Cohort Summary'!$D$5:$D$14,MATCH($A640,'Cohort Summary'!$A$5:$A$14,0)))/INDEX('Cohort Summary'!$E$5:$E$14,MATCH($A640,'Cohort Summary'!$A$5:$A$14,0))</f>
        <v>-0.904153354632587</v>
      </c>
      <c r="J640" s="42" t="n">
        <f aca="false">(E640-INDEX('Cohort Summary'!$F$5:$F$14,MATCH($A640,'Cohort Summary'!$A$5:$A$14,0)))/INDEX('Cohort Summary'!$G$5:$G$14,MATCH($A640,'Cohort Summary'!$A$5:$A$14,0))</f>
        <v>-1.73056994818653</v>
      </c>
      <c r="K640" s="42" t="n">
        <f aca="false">(F640-INDEX('Cohort Summary'!$H$5:$H$14,MATCH($A640,'Cohort Summary'!$A$5:$A$14,0)))/INDEX('Cohort Summary'!$I$5:$I$14,MATCH($A640,'Cohort Summary'!$A$5:$A$14,0))</f>
        <v>0.922818791946309</v>
      </c>
      <c r="L640" s="42" t="n">
        <f aca="false">(G640-INDEX('Cohort Summary'!$J$5:$J$14,MATCH($A640,'Cohort Summary'!$A$5:$A$14,0)))/INDEX('Cohort Summary'!$K$5:$K$14,MATCH($A640,'Cohort Summary'!$A$5:$A$14,0))</f>
        <v>1.3448275862069</v>
      </c>
      <c r="M640" s="42" t="n">
        <f aca="false">MAX(I640:K640)</f>
        <v>0.922818791946309</v>
      </c>
      <c r="N640" s="27" t="s">
        <v>197</v>
      </c>
      <c r="O640" s="27"/>
      <c r="P640" s="27" t="str">
        <f aca="false">A640&amp;"|"&amp;N640</f>
        <v>NURSE-04|normal</v>
      </c>
    </row>
    <row r="641" customFormat="false" ht="15" hidden="false" customHeight="true" outlineLevel="0" collapsed="false">
      <c r="A641" s="27" t="s">
        <v>81</v>
      </c>
      <c r="B641" s="41" t="n">
        <v>46303.3052083333</v>
      </c>
      <c r="C641" s="27" t="s">
        <v>195</v>
      </c>
      <c r="D641" s="27" t="n">
        <v>41.1</v>
      </c>
      <c r="E641" s="27" t="n">
        <v>20.8</v>
      </c>
      <c r="F641" s="27" t="n">
        <v>34.5</v>
      </c>
      <c r="G641" s="27" t="n">
        <v>33.3</v>
      </c>
      <c r="H641" s="27" t="s">
        <v>196</v>
      </c>
      <c r="I641" s="42" t="n">
        <f aca="false">(D641-INDEX('Cohort Summary'!$D$5:$D$14,MATCH($A641,'Cohort Summary'!$A$5:$A$14,0)))/INDEX('Cohort Summary'!$E$5:$E$14,MATCH($A641,'Cohort Summary'!$A$5:$A$14,0))</f>
        <v>-1.5111821086262</v>
      </c>
      <c r="J641" s="42" t="n">
        <f aca="false">(E641-INDEX('Cohort Summary'!$F$5:$F$14,MATCH($A641,'Cohort Summary'!$A$5:$A$14,0)))/INDEX('Cohort Summary'!$G$5:$G$14,MATCH($A641,'Cohort Summary'!$A$5:$A$14,0))</f>
        <v>0.601036269430052</v>
      </c>
      <c r="K641" s="42" t="n">
        <f aca="false">(F641-INDEX('Cohort Summary'!$H$5:$H$14,MATCH($A641,'Cohort Summary'!$A$5:$A$14,0)))/INDEX('Cohort Summary'!$I$5:$I$14,MATCH($A641,'Cohort Summary'!$A$5:$A$14,0))</f>
        <v>0.453020134228188</v>
      </c>
      <c r="L641" s="42" t="n">
        <f aca="false">(G641-INDEX('Cohort Summary'!$J$5:$J$14,MATCH($A641,'Cohort Summary'!$A$5:$A$14,0)))/INDEX('Cohort Summary'!$K$5:$K$14,MATCH($A641,'Cohort Summary'!$A$5:$A$14,0))</f>
        <v>-0.034482758620695</v>
      </c>
      <c r="M641" s="42" t="n">
        <f aca="false">MAX(I641:K641)</f>
        <v>0.601036269430052</v>
      </c>
      <c r="N641" s="27" t="s">
        <v>197</v>
      </c>
      <c r="O641" s="27"/>
      <c r="P641" s="27" t="str">
        <f aca="false">A641&amp;"|"&amp;N641</f>
        <v>NURSE-04|normal</v>
      </c>
    </row>
    <row r="642" customFormat="false" ht="15" hidden="false" customHeight="true" outlineLevel="0" collapsed="false">
      <c r="A642" s="27" t="s">
        <v>81</v>
      </c>
      <c r="B642" s="41" t="n">
        <v>46303.3055555556</v>
      </c>
      <c r="C642" s="27" t="s">
        <v>195</v>
      </c>
      <c r="D642" s="27" t="n">
        <v>44.3</v>
      </c>
      <c r="E642" s="27" t="n">
        <v>18.9</v>
      </c>
      <c r="F642" s="27" t="n">
        <v>37.9</v>
      </c>
      <c r="G642" s="27" t="n">
        <v>33.7</v>
      </c>
      <c r="H642" s="27" t="s">
        <v>199</v>
      </c>
      <c r="I642" s="42" t="n">
        <f aca="false">(D642-INDEX('Cohort Summary'!$D$5:$D$14,MATCH($A642,'Cohort Summary'!$A$5:$A$14,0)))/INDEX('Cohort Summary'!$E$5:$E$14,MATCH($A642,'Cohort Summary'!$A$5:$A$14,0))</f>
        <v>-0.488817891373802</v>
      </c>
      <c r="J642" s="42" t="n">
        <f aca="false">(E642-INDEX('Cohort Summary'!$F$5:$F$14,MATCH($A642,'Cohort Summary'!$A$5:$A$14,0)))/INDEX('Cohort Summary'!$G$5:$G$14,MATCH($A642,'Cohort Summary'!$A$5:$A$14,0))</f>
        <v>-0.383419689119172</v>
      </c>
      <c r="K642" s="42" t="n">
        <f aca="false">(F642-INDEX('Cohort Summary'!$H$5:$H$14,MATCH($A642,'Cohort Summary'!$A$5:$A$14,0)))/INDEX('Cohort Summary'!$I$5:$I$14,MATCH($A642,'Cohort Summary'!$A$5:$A$14,0))</f>
        <v>1.59395973154362</v>
      </c>
      <c r="L642" s="42" t="n">
        <f aca="false">(G642-INDEX('Cohort Summary'!$J$5:$J$14,MATCH($A642,'Cohort Summary'!$A$5:$A$14,0)))/INDEX('Cohort Summary'!$K$5:$K$14,MATCH($A642,'Cohort Summary'!$A$5:$A$14,0))</f>
        <v>0.655172413793108</v>
      </c>
      <c r="M642" s="42" t="n">
        <f aca="false">MAX(I642:K642)</f>
        <v>1.59395973154362</v>
      </c>
      <c r="N642" s="27" t="s">
        <v>197</v>
      </c>
      <c r="O642" s="27"/>
      <c r="P642" s="27" t="str">
        <f aca="false">A642&amp;"|"&amp;N642</f>
        <v>NURSE-04|normal</v>
      </c>
    </row>
    <row r="643" customFormat="false" ht="15" hidden="false" customHeight="true" outlineLevel="0" collapsed="false">
      <c r="A643" s="27" t="s">
        <v>81</v>
      </c>
      <c r="B643" s="41" t="n">
        <v>46303.3059027778</v>
      </c>
      <c r="C643" s="27" t="s">
        <v>195</v>
      </c>
      <c r="D643" s="27" t="n">
        <v>45</v>
      </c>
      <c r="E643" s="27" t="n">
        <v>18.2</v>
      </c>
      <c r="F643" s="27" t="n">
        <v>32.2</v>
      </c>
      <c r="G643" s="27" t="n">
        <v>34.1</v>
      </c>
      <c r="H643" s="27" t="s">
        <v>199</v>
      </c>
      <c r="I643" s="42" t="n">
        <f aca="false">(D643-INDEX('Cohort Summary'!$D$5:$D$14,MATCH($A643,'Cohort Summary'!$A$5:$A$14,0)))/INDEX('Cohort Summary'!$E$5:$E$14,MATCH($A643,'Cohort Summary'!$A$5:$A$14,0))</f>
        <v>-0.26517571884984</v>
      </c>
      <c r="J643" s="42" t="n">
        <f aca="false">(E643-INDEX('Cohort Summary'!$F$5:$F$14,MATCH($A643,'Cohort Summary'!$A$5:$A$14,0)))/INDEX('Cohort Summary'!$G$5:$G$14,MATCH($A643,'Cohort Summary'!$A$5:$A$14,0))</f>
        <v>-0.746113989637306</v>
      </c>
      <c r="K643" s="42" t="n">
        <f aca="false">(F643-INDEX('Cohort Summary'!$H$5:$H$14,MATCH($A643,'Cohort Summary'!$A$5:$A$14,0)))/INDEX('Cohort Summary'!$I$5:$I$14,MATCH($A643,'Cohort Summary'!$A$5:$A$14,0))</f>
        <v>-0.318791946308723</v>
      </c>
      <c r="L643" s="42" t="n">
        <f aca="false">(G643-INDEX('Cohort Summary'!$J$5:$J$14,MATCH($A643,'Cohort Summary'!$A$5:$A$14,0)))/INDEX('Cohort Summary'!$K$5:$K$14,MATCH($A643,'Cohort Summary'!$A$5:$A$14,0))</f>
        <v>1.3448275862069</v>
      </c>
      <c r="M643" s="42" t="n">
        <f aca="false">MAX(I643:K643)</f>
        <v>-0.26517571884984</v>
      </c>
      <c r="N643" s="27" t="s">
        <v>197</v>
      </c>
      <c r="O643" s="27"/>
      <c r="P643" s="27" t="str">
        <f aca="false">A643&amp;"|"&amp;N643</f>
        <v>NURSE-04|normal</v>
      </c>
    </row>
    <row r="644" customFormat="false" ht="15" hidden="false" customHeight="true" outlineLevel="0" collapsed="false">
      <c r="A644" s="27" t="s">
        <v>81</v>
      </c>
      <c r="B644" s="41" t="n">
        <v>46303.30625</v>
      </c>
      <c r="C644" s="27" t="s">
        <v>195</v>
      </c>
      <c r="D644" s="27" t="n">
        <v>48.6</v>
      </c>
      <c r="E644" s="27" t="n">
        <v>22.2</v>
      </c>
      <c r="F644" s="27" t="n">
        <v>36</v>
      </c>
      <c r="G644" s="27" t="n">
        <v>34</v>
      </c>
      <c r="H644" s="27" t="s">
        <v>196</v>
      </c>
      <c r="I644" s="42" t="n">
        <f aca="false">(D644-INDEX('Cohort Summary'!$D$5:$D$14,MATCH($A644,'Cohort Summary'!$A$5:$A$14,0)))/INDEX('Cohort Summary'!$E$5:$E$14,MATCH($A644,'Cohort Summary'!$A$5:$A$14,0))</f>
        <v>0.884984025559107</v>
      </c>
      <c r="J644" s="42" t="n">
        <f aca="false">(E644-INDEX('Cohort Summary'!$F$5:$F$14,MATCH($A644,'Cohort Summary'!$A$5:$A$14,0)))/INDEX('Cohort Summary'!$G$5:$G$14,MATCH($A644,'Cohort Summary'!$A$5:$A$14,0))</f>
        <v>1.32642487046632</v>
      </c>
      <c r="K644" s="42" t="n">
        <f aca="false">(F644-INDEX('Cohort Summary'!$H$5:$H$14,MATCH($A644,'Cohort Summary'!$A$5:$A$14,0)))/INDEX('Cohort Summary'!$I$5:$I$14,MATCH($A644,'Cohort Summary'!$A$5:$A$14,0))</f>
        <v>0.956375838926175</v>
      </c>
      <c r="L644" s="42" t="n">
        <f aca="false">(G644-INDEX('Cohort Summary'!$J$5:$J$14,MATCH($A644,'Cohort Summary'!$A$5:$A$14,0)))/INDEX('Cohort Summary'!$K$5:$K$14,MATCH($A644,'Cohort Summary'!$A$5:$A$14,0))</f>
        <v>1.17241379310345</v>
      </c>
      <c r="M644" s="42" t="n">
        <f aca="false">MAX(I644:K644)</f>
        <v>1.32642487046632</v>
      </c>
      <c r="N644" s="27" t="s">
        <v>197</v>
      </c>
      <c r="O644" s="27"/>
      <c r="P644" s="27" t="str">
        <f aca="false">A644&amp;"|"&amp;N644</f>
        <v>NURSE-04|normal</v>
      </c>
    </row>
    <row r="645" customFormat="false" ht="15" hidden="false" customHeight="true" outlineLevel="0" collapsed="false">
      <c r="A645" s="27" t="s">
        <v>81</v>
      </c>
      <c r="B645" s="41" t="n">
        <v>46303.3065972222</v>
      </c>
      <c r="C645" s="27" t="s">
        <v>195</v>
      </c>
      <c r="D645" s="27" t="n">
        <v>41.1</v>
      </c>
      <c r="E645" s="27" t="n">
        <v>20.3</v>
      </c>
      <c r="F645" s="27" t="n">
        <v>37.3</v>
      </c>
      <c r="G645" s="27" t="n">
        <v>32.7</v>
      </c>
      <c r="H645" s="27" t="s">
        <v>196</v>
      </c>
      <c r="I645" s="42" t="n">
        <f aca="false">(D645-INDEX('Cohort Summary'!$D$5:$D$14,MATCH($A645,'Cohort Summary'!$A$5:$A$14,0)))/INDEX('Cohort Summary'!$E$5:$E$14,MATCH($A645,'Cohort Summary'!$A$5:$A$14,0))</f>
        <v>-1.5111821086262</v>
      </c>
      <c r="J645" s="42" t="n">
        <f aca="false">(E645-INDEX('Cohort Summary'!$F$5:$F$14,MATCH($A645,'Cohort Summary'!$A$5:$A$14,0)))/INDEX('Cohort Summary'!$G$5:$G$14,MATCH($A645,'Cohort Summary'!$A$5:$A$14,0))</f>
        <v>0.341968911917099</v>
      </c>
      <c r="K645" s="42" t="n">
        <f aca="false">(F645-INDEX('Cohort Summary'!$H$5:$H$14,MATCH($A645,'Cohort Summary'!$A$5:$A$14,0)))/INDEX('Cohort Summary'!$I$5:$I$14,MATCH($A645,'Cohort Summary'!$A$5:$A$14,0))</f>
        <v>1.39261744966443</v>
      </c>
      <c r="L645" s="42" t="n">
        <f aca="false">(G645-INDEX('Cohort Summary'!$J$5:$J$14,MATCH($A645,'Cohort Summary'!$A$5:$A$14,0)))/INDEX('Cohort Summary'!$K$5:$K$14,MATCH($A645,'Cohort Summary'!$A$5:$A$14,0))</f>
        <v>-1.06896551724138</v>
      </c>
      <c r="M645" s="42" t="n">
        <f aca="false">MAX(I645:K645)</f>
        <v>1.39261744966443</v>
      </c>
      <c r="N645" s="27" t="s">
        <v>197</v>
      </c>
      <c r="O645" s="27"/>
      <c r="P645" s="27" t="str">
        <f aca="false">A645&amp;"|"&amp;N645</f>
        <v>NURSE-04|normal</v>
      </c>
    </row>
    <row r="646" customFormat="false" ht="15" hidden="false" customHeight="true" outlineLevel="0" collapsed="false">
      <c r="A646" s="27" t="s">
        <v>81</v>
      </c>
      <c r="B646" s="41" t="n">
        <v>46303.3069444444</v>
      </c>
      <c r="C646" s="27" t="s">
        <v>195</v>
      </c>
      <c r="D646" s="27" t="n">
        <v>48.3</v>
      </c>
      <c r="E646" s="27" t="n">
        <v>22.9</v>
      </c>
      <c r="F646" s="27" t="n">
        <v>36.3</v>
      </c>
      <c r="G646" s="27" t="n">
        <v>33.5</v>
      </c>
      <c r="H646" s="27" t="s">
        <v>198</v>
      </c>
      <c r="I646" s="42" t="n">
        <f aca="false">(D646-INDEX('Cohort Summary'!$D$5:$D$14,MATCH($A646,'Cohort Summary'!$A$5:$A$14,0)))/INDEX('Cohort Summary'!$E$5:$E$14,MATCH($A646,'Cohort Summary'!$A$5:$A$14,0))</f>
        <v>0.789137380191693</v>
      </c>
      <c r="J646" s="42" t="n">
        <f aca="false">(E646-INDEX('Cohort Summary'!$F$5:$F$14,MATCH($A646,'Cohort Summary'!$A$5:$A$14,0)))/INDEX('Cohort Summary'!$G$5:$G$14,MATCH($A646,'Cohort Summary'!$A$5:$A$14,0))</f>
        <v>1.68911917098446</v>
      </c>
      <c r="K646" s="42" t="n">
        <f aca="false">(F646-INDEX('Cohort Summary'!$H$5:$H$14,MATCH($A646,'Cohort Summary'!$A$5:$A$14,0)))/INDEX('Cohort Summary'!$I$5:$I$14,MATCH($A646,'Cohort Summary'!$A$5:$A$14,0))</f>
        <v>1.05704697986577</v>
      </c>
      <c r="L646" s="42" t="n">
        <f aca="false">(G646-INDEX('Cohort Summary'!$J$5:$J$14,MATCH($A646,'Cohort Summary'!$A$5:$A$14,0)))/INDEX('Cohort Summary'!$K$5:$K$14,MATCH($A646,'Cohort Summary'!$A$5:$A$14,0))</f>
        <v>0.310344827586206</v>
      </c>
      <c r="M646" s="42" t="n">
        <f aca="false">MAX(I646:K646)</f>
        <v>1.68911917098446</v>
      </c>
      <c r="N646" s="27" t="s">
        <v>197</v>
      </c>
      <c r="O646" s="27"/>
      <c r="P646" s="27" t="str">
        <f aca="false">A646&amp;"|"&amp;N646</f>
        <v>NURSE-04|normal</v>
      </c>
    </row>
    <row r="647" customFormat="false" ht="15" hidden="false" customHeight="true" outlineLevel="0" collapsed="false">
      <c r="A647" s="27" t="s">
        <v>81</v>
      </c>
      <c r="B647" s="41" t="n">
        <v>46303.3072916667</v>
      </c>
      <c r="C647" s="27" t="s">
        <v>195</v>
      </c>
      <c r="D647" s="27" t="n">
        <v>49.4</v>
      </c>
      <c r="E647" s="27" t="n">
        <v>21.5</v>
      </c>
      <c r="F647" s="27" t="n">
        <v>37.1</v>
      </c>
      <c r="G647" s="27" t="n">
        <v>32.3</v>
      </c>
      <c r="H647" s="27" t="s">
        <v>196</v>
      </c>
      <c r="I647" s="42" t="n">
        <f aca="false">(D647-INDEX('Cohort Summary'!$D$5:$D$14,MATCH($A647,'Cohort Summary'!$A$5:$A$14,0)))/INDEX('Cohort Summary'!$E$5:$E$14,MATCH($A647,'Cohort Summary'!$A$5:$A$14,0))</f>
        <v>1.1405750798722</v>
      </c>
      <c r="J647" s="42" t="n">
        <f aca="false">(E647-INDEX('Cohort Summary'!$F$5:$F$14,MATCH($A647,'Cohort Summary'!$A$5:$A$14,0)))/INDEX('Cohort Summary'!$G$5:$G$14,MATCH($A647,'Cohort Summary'!$A$5:$A$14,0))</f>
        <v>0.963730569948186</v>
      </c>
      <c r="K647" s="42" t="n">
        <f aca="false">(F647-INDEX('Cohort Summary'!$H$5:$H$14,MATCH($A647,'Cohort Summary'!$A$5:$A$14,0)))/INDEX('Cohort Summary'!$I$5:$I$14,MATCH($A647,'Cohort Summary'!$A$5:$A$14,0))</f>
        <v>1.3255033557047</v>
      </c>
      <c r="L647" s="42" t="n">
        <f aca="false">(G647-INDEX('Cohort Summary'!$J$5:$J$14,MATCH($A647,'Cohort Summary'!$A$5:$A$14,0)))/INDEX('Cohort Summary'!$K$5:$K$14,MATCH($A647,'Cohort Summary'!$A$5:$A$14,0))</f>
        <v>-1.75862068965518</v>
      </c>
      <c r="M647" s="42" t="n">
        <f aca="false">MAX(I647:K647)</f>
        <v>1.3255033557047</v>
      </c>
      <c r="N647" s="27" t="s">
        <v>197</v>
      </c>
      <c r="O647" s="27"/>
      <c r="P647" s="27" t="str">
        <f aca="false">A647&amp;"|"&amp;N647</f>
        <v>NURSE-04|normal</v>
      </c>
    </row>
    <row r="648" customFormat="false" ht="15" hidden="false" customHeight="true" outlineLevel="0" collapsed="false">
      <c r="A648" s="27" t="s">
        <v>81</v>
      </c>
      <c r="B648" s="41" t="n">
        <v>46303.3076388889</v>
      </c>
      <c r="C648" s="27" t="s">
        <v>195</v>
      </c>
      <c r="D648" s="27" t="n">
        <v>46.6</v>
      </c>
      <c r="E648" s="27" t="n">
        <v>20.8</v>
      </c>
      <c r="F648" s="27" t="n">
        <v>32.4</v>
      </c>
      <c r="G648" s="27" t="n">
        <v>33.5</v>
      </c>
      <c r="H648" s="27" t="s">
        <v>199</v>
      </c>
      <c r="I648" s="42" t="n">
        <f aca="false">(D648-INDEX('Cohort Summary'!$D$5:$D$14,MATCH($A648,'Cohort Summary'!$A$5:$A$14,0)))/INDEX('Cohort Summary'!$E$5:$E$14,MATCH($A648,'Cohort Summary'!$A$5:$A$14,0))</f>
        <v>0.246006389776359</v>
      </c>
      <c r="J648" s="42" t="n">
        <f aca="false">(E648-INDEX('Cohort Summary'!$F$5:$F$14,MATCH($A648,'Cohort Summary'!$A$5:$A$14,0)))/INDEX('Cohort Summary'!$G$5:$G$14,MATCH($A648,'Cohort Summary'!$A$5:$A$14,0))</f>
        <v>0.601036269430052</v>
      </c>
      <c r="K648" s="42" t="n">
        <f aca="false">(F648-INDEX('Cohort Summary'!$H$5:$H$14,MATCH($A648,'Cohort Summary'!$A$5:$A$14,0)))/INDEX('Cohort Summary'!$I$5:$I$14,MATCH($A648,'Cohort Summary'!$A$5:$A$14,0))</f>
        <v>-0.251677852348993</v>
      </c>
      <c r="L648" s="42" t="n">
        <f aca="false">(G648-INDEX('Cohort Summary'!$J$5:$J$14,MATCH($A648,'Cohort Summary'!$A$5:$A$14,0)))/INDEX('Cohort Summary'!$K$5:$K$14,MATCH($A648,'Cohort Summary'!$A$5:$A$14,0))</f>
        <v>0.310344827586206</v>
      </c>
      <c r="M648" s="42" t="n">
        <f aca="false">MAX(I648:K648)</f>
        <v>0.601036269430052</v>
      </c>
      <c r="N648" s="27" t="s">
        <v>197</v>
      </c>
      <c r="O648" s="27"/>
      <c r="P648" s="27" t="str">
        <f aca="false">A648&amp;"|"&amp;N648</f>
        <v>NURSE-04|normal</v>
      </c>
    </row>
    <row r="649" customFormat="false" ht="15" hidden="false" customHeight="true" outlineLevel="0" collapsed="false">
      <c r="A649" s="27" t="s">
        <v>81</v>
      </c>
      <c r="B649" s="41" t="n">
        <v>46303.3079861111</v>
      </c>
      <c r="C649" s="27" t="s">
        <v>195</v>
      </c>
      <c r="D649" s="27" t="n">
        <v>50.7</v>
      </c>
      <c r="E649" s="27" t="n">
        <v>16</v>
      </c>
      <c r="F649" s="27" t="n">
        <v>35.5</v>
      </c>
      <c r="G649" s="27" t="n">
        <v>33.9</v>
      </c>
      <c r="H649" s="27" t="s">
        <v>196</v>
      </c>
      <c r="I649" s="42" t="n">
        <f aca="false">(D649-INDEX('Cohort Summary'!$D$5:$D$14,MATCH($A649,'Cohort Summary'!$A$5:$A$14,0)))/INDEX('Cohort Summary'!$E$5:$E$14,MATCH($A649,'Cohort Summary'!$A$5:$A$14,0))</f>
        <v>1.55591054313099</v>
      </c>
      <c r="J649" s="42" t="n">
        <f aca="false">(E649-INDEX('Cohort Summary'!$F$5:$F$14,MATCH($A649,'Cohort Summary'!$A$5:$A$14,0)))/INDEX('Cohort Summary'!$G$5:$G$14,MATCH($A649,'Cohort Summary'!$A$5:$A$14,0))</f>
        <v>-1.8860103626943</v>
      </c>
      <c r="K649" s="42" t="n">
        <f aca="false">(F649-INDEX('Cohort Summary'!$H$5:$H$14,MATCH($A649,'Cohort Summary'!$A$5:$A$14,0)))/INDEX('Cohort Summary'!$I$5:$I$14,MATCH($A649,'Cohort Summary'!$A$5:$A$14,0))</f>
        <v>0.788590604026846</v>
      </c>
      <c r="L649" s="42" t="n">
        <f aca="false">(G649-INDEX('Cohort Summary'!$J$5:$J$14,MATCH($A649,'Cohort Summary'!$A$5:$A$14,0)))/INDEX('Cohort Summary'!$K$5:$K$14,MATCH($A649,'Cohort Summary'!$A$5:$A$14,0))</f>
        <v>0.999999999999997</v>
      </c>
      <c r="M649" s="42" t="n">
        <f aca="false">MAX(I649:K649)</f>
        <v>1.55591054313099</v>
      </c>
      <c r="N649" s="27" t="s">
        <v>197</v>
      </c>
      <c r="O649" s="27"/>
      <c r="P649" s="27" t="str">
        <f aca="false">A649&amp;"|"&amp;N649</f>
        <v>NURSE-04|normal</v>
      </c>
    </row>
    <row r="650" customFormat="false" ht="15" hidden="false" customHeight="true" outlineLevel="0" collapsed="false">
      <c r="A650" s="27" t="s">
        <v>81</v>
      </c>
      <c r="B650" s="41" t="n">
        <v>46303.3083333333</v>
      </c>
      <c r="C650" s="27" t="s">
        <v>195</v>
      </c>
      <c r="D650" s="27" t="n">
        <v>44.4</v>
      </c>
      <c r="E650" s="27" t="n">
        <v>19.8</v>
      </c>
      <c r="F650" s="27" t="n">
        <v>31.8</v>
      </c>
      <c r="G650" s="27" t="n">
        <v>33.8</v>
      </c>
      <c r="H650" s="27" t="s">
        <v>196</v>
      </c>
      <c r="I650" s="42" t="n">
        <f aca="false">(D650-INDEX('Cohort Summary'!$D$5:$D$14,MATCH($A650,'Cohort Summary'!$A$5:$A$14,0)))/INDEX('Cohort Summary'!$E$5:$E$14,MATCH($A650,'Cohort Summary'!$A$5:$A$14,0))</f>
        <v>-0.456869009584665</v>
      </c>
      <c r="J650" s="42" t="n">
        <f aca="false">(E650-INDEX('Cohort Summary'!$F$5:$F$14,MATCH($A650,'Cohort Summary'!$A$5:$A$14,0)))/INDEX('Cohort Summary'!$G$5:$G$14,MATCH($A650,'Cohort Summary'!$A$5:$A$14,0))</f>
        <v>0.0829015544041452</v>
      </c>
      <c r="K650" s="42" t="n">
        <f aca="false">(F650-INDEX('Cohort Summary'!$H$5:$H$14,MATCH($A650,'Cohort Summary'!$A$5:$A$14,0)))/INDEX('Cohort Summary'!$I$5:$I$14,MATCH($A650,'Cohort Summary'!$A$5:$A$14,0))</f>
        <v>-0.453020134228187</v>
      </c>
      <c r="L650" s="42" t="n">
        <f aca="false">(G650-INDEX('Cohort Summary'!$J$5:$J$14,MATCH($A650,'Cohort Summary'!$A$5:$A$14,0)))/INDEX('Cohort Summary'!$K$5:$K$14,MATCH($A650,'Cohort Summary'!$A$5:$A$14,0))</f>
        <v>0.827586206896546</v>
      </c>
      <c r="M650" s="42" t="n">
        <f aca="false">MAX(I650:K650)</f>
        <v>0.0829015544041452</v>
      </c>
      <c r="N650" s="27" t="s">
        <v>197</v>
      </c>
      <c r="O650" s="27"/>
      <c r="P650" s="27" t="str">
        <f aca="false">A650&amp;"|"&amp;N650</f>
        <v>NURSE-04|normal</v>
      </c>
    </row>
    <row r="651" customFormat="false" ht="15" hidden="false" customHeight="true" outlineLevel="0" collapsed="false">
      <c r="A651" s="27" t="s">
        <v>81</v>
      </c>
      <c r="B651" s="41" t="n">
        <v>46303.3086805556</v>
      </c>
      <c r="C651" s="27" t="s">
        <v>195</v>
      </c>
      <c r="D651" s="27" t="n">
        <v>49.7</v>
      </c>
      <c r="E651" s="27" t="n">
        <v>18.5</v>
      </c>
      <c r="F651" s="27" t="n">
        <v>28.6</v>
      </c>
      <c r="G651" s="27" t="n">
        <v>34.2</v>
      </c>
      <c r="H651" s="27" t="s">
        <v>199</v>
      </c>
      <c r="I651" s="42" t="n">
        <f aca="false">(D651-INDEX('Cohort Summary'!$D$5:$D$14,MATCH($A651,'Cohort Summary'!$A$5:$A$14,0)))/INDEX('Cohort Summary'!$E$5:$E$14,MATCH($A651,'Cohort Summary'!$A$5:$A$14,0))</f>
        <v>1.23642172523962</v>
      </c>
      <c r="J651" s="42" t="n">
        <f aca="false">(E651-INDEX('Cohort Summary'!$F$5:$F$14,MATCH($A651,'Cohort Summary'!$A$5:$A$14,0)))/INDEX('Cohort Summary'!$G$5:$G$14,MATCH($A651,'Cohort Summary'!$A$5:$A$14,0))</f>
        <v>-0.590673575129534</v>
      </c>
      <c r="K651" s="42" t="n">
        <f aca="false">(F651-INDEX('Cohort Summary'!$H$5:$H$14,MATCH($A651,'Cohort Summary'!$A$5:$A$14,0)))/INDEX('Cohort Summary'!$I$5:$I$14,MATCH($A651,'Cohort Summary'!$A$5:$A$14,0))</f>
        <v>-1.52684563758389</v>
      </c>
      <c r="L651" s="42" t="n">
        <f aca="false">(G651-INDEX('Cohort Summary'!$J$5:$J$14,MATCH($A651,'Cohort Summary'!$A$5:$A$14,0)))/INDEX('Cohort Summary'!$K$5:$K$14,MATCH($A651,'Cohort Summary'!$A$5:$A$14,0))</f>
        <v>1.51724137931035</v>
      </c>
      <c r="M651" s="42" t="n">
        <f aca="false">MAX(I651:K651)</f>
        <v>1.23642172523962</v>
      </c>
      <c r="N651" s="27" t="s">
        <v>197</v>
      </c>
      <c r="O651" s="27"/>
      <c r="P651" s="27" t="str">
        <f aca="false">A651&amp;"|"&amp;N651</f>
        <v>NURSE-04|normal</v>
      </c>
    </row>
    <row r="652" customFormat="false" ht="15" hidden="false" customHeight="true" outlineLevel="0" collapsed="false">
      <c r="A652" s="27" t="s">
        <v>81</v>
      </c>
      <c r="B652" s="41" t="n">
        <v>46303.3090277778</v>
      </c>
      <c r="C652" s="27" t="s">
        <v>195</v>
      </c>
      <c r="D652" s="27" t="n">
        <v>47.1</v>
      </c>
      <c r="E652" s="27" t="n">
        <v>20.7</v>
      </c>
      <c r="F652" s="27" t="n">
        <v>31.2</v>
      </c>
      <c r="G652" s="27" t="n">
        <v>33.5</v>
      </c>
      <c r="H652" s="27" t="s">
        <v>196</v>
      </c>
      <c r="I652" s="42" t="n">
        <f aca="false">(D652-INDEX('Cohort Summary'!$D$5:$D$14,MATCH($A652,'Cohort Summary'!$A$5:$A$14,0)))/INDEX('Cohort Summary'!$E$5:$E$14,MATCH($A652,'Cohort Summary'!$A$5:$A$14,0))</f>
        <v>0.405750798722046</v>
      </c>
      <c r="J652" s="42" t="n">
        <f aca="false">(E652-INDEX('Cohort Summary'!$F$5:$F$14,MATCH($A652,'Cohort Summary'!$A$5:$A$14,0)))/INDEX('Cohort Summary'!$G$5:$G$14,MATCH($A652,'Cohort Summary'!$A$5:$A$14,0))</f>
        <v>0.549222797927461</v>
      </c>
      <c r="K652" s="42" t="n">
        <f aca="false">(F652-INDEX('Cohort Summary'!$H$5:$H$14,MATCH($A652,'Cohort Summary'!$A$5:$A$14,0)))/INDEX('Cohort Summary'!$I$5:$I$14,MATCH($A652,'Cohort Summary'!$A$5:$A$14,0))</f>
        <v>-0.654362416107382</v>
      </c>
      <c r="L652" s="42" t="n">
        <f aca="false">(G652-INDEX('Cohort Summary'!$J$5:$J$14,MATCH($A652,'Cohort Summary'!$A$5:$A$14,0)))/INDEX('Cohort Summary'!$K$5:$K$14,MATCH($A652,'Cohort Summary'!$A$5:$A$14,0))</f>
        <v>0.310344827586206</v>
      </c>
      <c r="M652" s="42" t="n">
        <f aca="false">MAX(I652:K652)</f>
        <v>0.549222797927461</v>
      </c>
      <c r="N652" s="27" t="s">
        <v>197</v>
      </c>
      <c r="O652" s="27"/>
      <c r="P652" s="27" t="str">
        <f aca="false">A652&amp;"|"&amp;N652</f>
        <v>NURSE-04|normal</v>
      </c>
    </row>
    <row r="653" customFormat="false" ht="15" hidden="false" customHeight="true" outlineLevel="0" collapsed="false">
      <c r="A653" s="27" t="s">
        <v>81</v>
      </c>
      <c r="B653" s="41" t="n">
        <v>46303.309375</v>
      </c>
      <c r="C653" s="27" t="s">
        <v>195</v>
      </c>
      <c r="D653" s="27" t="n">
        <v>47.6</v>
      </c>
      <c r="E653" s="27" t="n">
        <v>22.5</v>
      </c>
      <c r="F653" s="27" t="n">
        <v>35.7</v>
      </c>
      <c r="G653" s="27" t="n">
        <v>32.7</v>
      </c>
      <c r="H653" s="27" t="s">
        <v>199</v>
      </c>
      <c r="I653" s="42" t="n">
        <f aca="false">(D653-INDEX('Cohort Summary'!$D$5:$D$14,MATCH($A653,'Cohort Summary'!$A$5:$A$14,0)))/INDEX('Cohort Summary'!$E$5:$E$14,MATCH($A653,'Cohort Summary'!$A$5:$A$14,0))</f>
        <v>0.565495207667733</v>
      </c>
      <c r="J653" s="42" t="n">
        <f aca="false">(E653-INDEX('Cohort Summary'!$F$5:$F$14,MATCH($A653,'Cohort Summary'!$A$5:$A$14,0)))/INDEX('Cohort Summary'!$G$5:$G$14,MATCH($A653,'Cohort Summary'!$A$5:$A$14,0))</f>
        <v>1.48186528497409</v>
      </c>
      <c r="K653" s="42" t="n">
        <f aca="false">(F653-INDEX('Cohort Summary'!$H$5:$H$14,MATCH($A653,'Cohort Summary'!$A$5:$A$14,0)))/INDEX('Cohort Summary'!$I$5:$I$14,MATCH($A653,'Cohort Summary'!$A$5:$A$14,0))</f>
        <v>0.855704697986579</v>
      </c>
      <c r="L653" s="42" t="n">
        <f aca="false">(G653-INDEX('Cohort Summary'!$J$5:$J$14,MATCH($A653,'Cohort Summary'!$A$5:$A$14,0)))/INDEX('Cohort Summary'!$K$5:$K$14,MATCH($A653,'Cohort Summary'!$A$5:$A$14,0))</f>
        <v>-1.06896551724138</v>
      </c>
      <c r="M653" s="42" t="n">
        <f aca="false">MAX(I653:K653)</f>
        <v>1.48186528497409</v>
      </c>
      <c r="N653" s="27" t="s">
        <v>197</v>
      </c>
      <c r="O653" s="27"/>
      <c r="P653" s="27" t="str">
        <f aca="false">A653&amp;"|"&amp;N653</f>
        <v>NURSE-04|normal</v>
      </c>
    </row>
    <row r="654" customFormat="false" ht="15" hidden="false" customHeight="true" outlineLevel="0" collapsed="false">
      <c r="A654" s="27" t="s">
        <v>81</v>
      </c>
      <c r="B654" s="41" t="n">
        <v>46303.3097222222</v>
      </c>
      <c r="C654" s="27" t="s">
        <v>195</v>
      </c>
      <c r="D654" s="27" t="n">
        <v>49.6</v>
      </c>
      <c r="E654" s="27" t="n">
        <v>18.4</v>
      </c>
      <c r="F654" s="27" t="n">
        <v>33.9</v>
      </c>
      <c r="G654" s="27" t="n">
        <v>33.3</v>
      </c>
      <c r="H654" s="27" t="s">
        <v>198</v>
      </c>
      <c r="I654" s="42" t="n">
        <f aca="false">(D654-INDEX('Cohort Summary'!$D$5:$D$14,MATCH($A654,'Cohort Summary'!$A$5:$A$14,0)))/INDEX('Cohort Summary'!$E$5:$E$14,MATCH($A654,'Cohort Summary'!$A$5:$A$14,0))</f>
        <v>1.20447284345048</v>
      </c>
      <c r="J654" s="42" t="n">
        <f aca="false">(E654-INDEX('Cohort Summary'!$F$5:$F$14,MATCH($A654,'Cohort Summary'!$A$5:$A$14,0)))/INDEX('Cohort Summary'!$G$5:$G$14,MATCH($A654,'Cohort Summary'!$A$5:$A$14,0))</f>
        <v>-0.642487046632125</v>
      </c>
      <c r="K654" s="42" t="n">
        <f aca="false">(F654-INDEX('Cohort Summary'!$H$5:$H$14,MATCH($A654,'Cohort Summary'!$A$5:$A$14,0)))/INDEX('Cohort Summary'!$I$5:$I$14,MATCH($A654,'Cohort Summary'!$A$5:$A$14,0))</f>
        <v>0.251677852348993</v>
      </c>
      <c r="L654" s="42" t="n">
        <f aca="false">(G654-INDEX('Cohort Summary'!$J$5:$J$14,MATCH($A654,'Cohort Summary'!$A$5:$A$14,0)))/INDEX('Cohort Summary'!$K$5:$K$14,MATCH($A654,'Cohort Summary'!$A$5:$A$14,0))</f>
        <v>-0.034482758620695</v>
      </c>
      <c r="M654" s="42" t="n">
        <f aca="false">MAX(I654:K654)</f>
        <v>1.20447284345048</v>
      </c>
      <c r="N654" s="27" t="s">
        <v>197</v>
      </c>
      <c r="O654" s="27"/>
      <c r="P654" s="27" t="str">
        <f aca="false">A654&amp;"|"&amp;N654</f>
        <v>NURSE-04|normal</v>
      </c>
    </row>
    <row r="655" customFormat="false" ht="15" hidden="false" customHeight="true" outlineLevel="0" collapsed="false">
      <c r="A655" s="27" t="s">
        <v>81</v>
      </c>
      <c r="B655" s="41" t="n">
        <v>46303.3100694444</v>
      </c>
      <c r="C655" s="27" t="s">
        <v>195</v>
      </c>
      <c r="D655" s="27" t="n">
        <v>41.7</v>
      </c>
      <c r="E655" s="27" t="n">
        <v>21.3</v>
      </c>
      <c r="F655" s="27" t="n">
        <v>31.6</v>
      </c>
      <c r="G655" s="27" t="n">
        <v>32.6</v>
      </c>
      <c r="H655" s="27" t="s">
        <v>198</v>
      </c>
      <c r="I655" s="42" t="n">
        <f aca="false">(D655-INDEX('Cohort Summary'!$D$5:$D$14,MATCH($A655,'Cohort Summary'!$A$5:$A$14,0)))/INDEX('Cohort Summary'!$E$5:$E$14,MATCH($A655,'Cohort Summary'!$A$5:$A$14,0))</f>
        <v>-1.31948881789137</v>
      </c>
      <c r="J655" s="42" t="n">
        <f aca="false">(E655-INDEX('Cohort Summary'!$F$5:$F$14,MATCH($A655,'Cohort Summary'!$A$5:$A$14,0)))/INDEX('Cohort Summary'!$G$5:$G$14,MATCH($A655,'Cohort Summary'!$A$5:$A$14,0))</f>
        <v>0.860103626943005</v>
      </c>
      <c r="K655" s="42" t="n">
        <f aca="false">(F655-INDEX('Cohort Summary'!$H$5:$H$14,MATCH($A655,'Cohort Summary'!$A$5:$A$14,0)))/INDEX('Cohort Summary'!$I$5:$I$14,MATCH($A655,'Cohort Summary'!$A$5:$A$14,0))</f>
        <v>-0.520134228187919</v>
      </c>
      <c r="L655" s="42" t="n">
        <f aca="false">(G655-INDEX('Cohort Summary'!$J$5:$J$14,MATCH($A655,'Cohort Summary'!$A$5:$A$14,0)))/INDEX('Cohort Summary'!$K$5:$K$14,MATCH($A655,'Cohort Summary'!$A$5:$A$14,0))</f>
        <v>-1.24137931034483</v>
      </c>
      <c r="M655" s="42" t="n">
        <f aca="false">MAX(I655:K655)</f>
        <v>0.860103626943005</v>
      </c>
      <c r="N655" s="27" t="s">
        <v>197</v>
      </c>
      <c r="O655" s="27"/>
      <c r="P655" s="27" t="str">
        <f aca="false">A655&amp;"|"&amp;N655</f>
        <v>NURSE-04|normal</v>
      </c>
    </row>
    <row r="656" customFormat="false" ht="15" hidden="false" customHeight="true" outlineLevel="0" collapsed="false">
      <c r="A656" s="27" t="s">
        <v>81</v>
      </c>
      <c r="B656" s="41" t="n">
        <v>46303.3104166667</v>
      </c>
      <c r="C656" s="27" t="s">
        <v>195</v>
      </c>
      <c r="D656" s="27" t="n">
        <v>49.1</v>
      </c>
      <c r="E656" s="27" t="n">
        <v>17.7</v>
      </c>
      <c r="F656" s="27" t="n">
        <v>29.7</v>
      </c>
      <c r="G656" s="27" t="n">
        <v>33.8</v>
      </c>
      <c r="H656" s="27" t="s">
        <v>199</v>
      </c>
      <c r="I656" s="42" t="n">
        <f aca="false">(D656-INDEX('Cohort Summary'!$D$5:$D$14,MATCH($A656,'Cohort Summary'!$A$5:$A$14,0)))/INDEX('Cohort Summary'!$E$5:$E$14,MATCH($A656,'Cohort Summary'!$A$5:$A$14,0))</f>
        <v>1.04472843450479</v>
      </c>
      <c r="J656" s="42" t="n">
        <f aca="false">(E656-INDEX('Cohort Summary'!$F$5:$F$14,MATCH($A656,'Cohort Summary'!$A$5:$A$14,0)))/INDEX('Cohort Summary'!$G$5:$G$14,MATCH($A656,'Cohort Summary'!$A$5:$A$14,0))</f>
        <v>-1.00518134715026</v>
      </c>
      <c r="K656" s="42" t="n">
        <f aca="false">(F656-INDEX('Cohort Summary'!$H$5:$H$14,MATCH($A656,'Cohort Summary'!$A$5:$A$14,0)))/INDEX('Cohort Summary'!$I$5:$I$14,MATCH($A656,'Cohort Summary'!$A$5:$A$14,0))</f>
        <v>-1.15771812080537</v>
      </c>
      <c r="L656" s="42" t="n">
        <f aca="false">(G656-INDEX('Cohort Summary'!$J$5:$J$14,MATCH($A656,'Cohort Summary'!$A$5:$A$14,0)))/INDEX('Cohort Summary'!$K$5:$K$14,MATCH($A656,'Cohort Summary'!$A$5:$A$14,0))</f>
        <v>0.827586206896546</v>
      </c>
      <c r="M656" s="42" t="n">
        <f aca="false">MAX(I656:K656)</f>
        <v>1.04472843450479</v>
      </c>
      <c r="N656" s="27" t="s">
        <v>197</v>
      </c>
      <c r="O656" s="27"/>
      <c r="P656" s="27" t="str">
        <f aca="false">A656&amp;"|"&amp;N656</f>
        <v>NURSE-04|normal</v>
      </c>
    </row>
    <row r="657" customFormat="false" ht="15" hidden="false" customHeight="true" outlineLevel="0" collapsed="false">
      <c r="A657" s="27" t="s">
        <v>81</v>
      </c>
      <c r="B657" s="41" t="n">
        <v>46303.3107638889</v>
      </c>
      <c r="C657" s="27" t="s">
        <v>195</v>
      </c>
      <c r="D657" s="27" t="n">
        <v>42.8</v>
      </c>
      <c r="E657" s="27" t="n">
        <v>22.6</v>
      </c>
      <c r="F657" s="27" t="n">
        <v>36.6</v>
      </c>
      <c r="G657" s="27" t="n">
        <v>33.5</v>
      </c>
      <c r="H657" s="27" t="s">
        <v>198</v>
      </c>
      <c r="I657" s="42" t="n">
        <f aca="false">(D657-INDEX('Cohort Summary'!$D$5:$D$14,MATCH($A657,'Cohort Summary'!$A$5:$A$14,0)))/INDEX('Cohort Summary'!$E$5:$E$14,MATCH($A657,'Cohort Summary'!$A$5:$A$14,0))</f>
        <v>-0.968051118210863</v>
      </c>
      <c r="J657" s="42" t="n">
        <f aca="false">(E657-INDEX('Cohort Summary'!$F$5:$F$14,MATCH($A657,'Cohort Summary'!$A$5:$A$14,0)))/INDEX('Cohort Summary'!$G$5:$G$14,MATCH($A657,'Cohort Summary'!$A$5:$A$14,0))</f>
        <v>1.53367875647668</v>
      </c>
      <c r="K657" s="42" t="n">
        <f aca="false">(F657-INDEX('Cohort Summary'!$H$5:$H$14,MATCH($A657,'Cohort Summary'!$A$5:$A$14,0)))/INDEX('Cohort Summary'!$I$5:$I$14,MATCH($A657,'Cohort Summary'!$A$5:$A$14,0))</f>
        <v>1.15771812080537</v>
      </c>
      <c r="L657" s="42" t="n">
        <f aca="false">(G657-INDEX('Cohort Summary'!$J$5:$J$14,MATCH($A657,'Cohort Summary'!$A$5:$A$14,0)))/INDEX('Cohort Summary'!$K$5:$K$14,MATCH($A657,'Cohort Summary'!$A$5:$A$14,0))</f>
        <v>0.310344827586206</v>
      </c>
      <c r="M657" s="42" t="n">
        <f aca="false">MAX(I657:K657)</f>
        <v>1.53367875647668</v>
      </c>
      <c r="N657" s="27" t="s">
        <v>197</v>
      </c>
      <c r="O657" s="27"/>
      <c r="P657" s="27" t="str">
        <f aca="false">A657&amp;"|"&amp;N657</f>
        <v>NURSE-04|normal</v>
      </c>
    </row>
    <row r="658" customFormat="false" ht="15" hidden="false" customHeight="true" outlineLevel="0" collapsed="false">
      <c r="A658" s="27" t="s">
        <v>81</v>
      </c>
      <c r="B658" s="41" t="n">
        <v>46303.3111111111</v>
      </c>
      <c r="C658" s="27" t="s">
        <v>195</v>
      </c>
      <c r="D658" s="27" t="n">
        <v>44.2</v>
      </c>
      <c r="E658" s="27" t="n">
        <v>18.5</v>
      </c>
      <c r="F658" s="27" t="n">
        <v>36.6</v>
      </c>
      <c r="G658" s="27" t="n">
        <v>33.1</v>
      </c>
      <c r="H658" s="27" t="s">
        <v>199</v>
      </c>
      <c r="I658" s="42" t="n">
        <f aca="false">(D658-INDEX('Cohort Summary'!$D$5:$D$14,MATCH($A658,'Cohort Summary'!$A$5:$A$14,0)))/INDEX('Cohort Summary'!$E$5:$E$14,MATCH($A658,'Cohort Summary'!$A$5:$A$14,0))</f>
        <v>-0.520766773162938</v>
      </c>
      <c r="J658" s="42" t="n">
        <f aca="false">(E658-INDEX('Cohort Summary'!$F$5:$F$14,MATCH($A658,'Cohort Summary'!$A$5:$A$14,0)))/INDEX('Cohort Summary'!$G$5:$G$14,MATCH($A658,'Cohort Summary'!$A$5:$A$14,0))</f>
        <v>-0.590673575129534</v>
      </c>
      <c r="K658" s="42" t="n">
        <f aca="false">(F658-INDEX('Cohort Summary'!$H$5:$H$14,MATCH($A658,'Cohort Summary'!$A$5:$A$14,0)))/INDEX('Cohort Summary'!$I$5:$I$14,MATCH($A658,'Cohort Summary'!$A$5:$A$14,0))</f>
        <v>1.15771812080537</v>
      </c>
      <c r="L658" s="42" t="n">
        <f aca="false">(G658-INDEX('Cohort Summary'!$J$5:$J$14,MATCH($A658,'Cohort Summary'!$A$5:$A$14,0)))/INDEX('Cohort Summary'!$K$5:$K$14,MATCH($A658,'Cohort Summary'!$A$5:$A$14,0))</f>
        <v>-0.379310344827584</v>
      </c>
      <c r="M658" s="42" t="n">
        <f aca="false">MAX(I658:K658)</f>
        <v>1.15771812080537</v>
      </c>
      <c r="N658" s="27" t="s">
        <v>197</v>
      </c>
      <c r="O658" s="27"/>
      <c r="P658" s="27" t="str">
        <f aca="false">A658&amp;"|"&amp;N658</f>
        <v>NURSE-04|normal</v>
      </c>
    </row>
    <row r="659" customFormat="false" ht="15" hidden="false" customHeight="true" outlineLevel="0" collapsed="false">
      <c r="A659" s="27" t="s">
        <v>81</v>
      </c>
      <c r="B659" s="41" t="n">
        <v>46303.3114583333</v>
      </c>
      <c r="C659" s="27" t="s">
        <v>195</v>
      </c>
      <c r="D659" s="27" t="n">
        <v>42.5</v>
      </c>
      <c r="E659" s="27" t="n">
        <v>17.8</v>
      </c>
      <c r="F659" s="27" t="n">
        <v>29</v>
      </c>
      <c r="G659" s="27" t="n">
        <v>32.9</v>
      </c>
      <c r="H659" s="27" t="s">
        <v>196</v>
      </c>
      <c r="I659" s="42" t="n">
        <f aca="false">(D659-INDEX('Cohort Summary'!$D$5:$D$14,MATCH($A659,'Cohort Summary'!$A$5:$A$14,0)))/INDEX('Cohort Summary'!$E$5:$E$14,MATCH($A659,'Cohort Summary'!$A$5:$A$14,0))</f>
        <v>-1.06389776357827</v>
      </c>
      <c r="J659" s="42" t="n">
        <f aca="false">(E659-INDEX('Cohort Summary'!$F$5:$F$14,MATCH($A659,'Cohort Summary'!$A$5:$A$14,0)))/INDEX('Cohort Summary'!$G$5:$G$14,MATCH($A659,'Cohort Summary'!$A$5:$A$14,0))</f>
        <v>-0.953367875647668</v>
      </c>
      <c r="K659" s="42" t="n">
        <f aca="false">(F659-INDEX('Cohort Summary'!$H$5:$H$14,MATCH($A659,'Cohort Summary'!$A$5:$A$14,0)))/INDEX('Cohort Summary'!$I$5:$I$14,MATCH($A659,'Cohort Summary'!$A$5:$A$14,0))</f>
        <v>-1.39261744966443</v>
      </c>
      <c r="L659" s="42" t="n">
        <f aca="false">(G659-INDEX('Cohort Summary'!$J$5:$J$14,MATCH($A659,'Cohort Summary'!$A$5:$A$14,0)))/INDEX('Cohort Summary'!$K$5:$K$14,MATCH($A659,'Cohort Summary'!$A$5:$A$14,0))</f>
        <v>-0.724137931034486</v>
      </c>
      <c r="M659" s="42" t="n">
        <f aca="false">MAX(I659:K659)</f>
        <v>-0.953367875647668</v>
      </c>
      <c r="N659" s="27" t="s">
        <v>197</v>
      </c>
      <c r="O659" s="27"/>
      <c r="P659" s="27" t="str">
        <f aca="false">A659&amp;"|"&amp;N659</f>
        <v>NURSE-04|normal</v>
      </c>
    </row>
    <row r="660" customFormat="false" ht="15" hidden="false" customHeight="true" outlineLevel="0" collapsed="false">
      <c r="A660" s="27" t="s">
        <v>81</v>
      </c>
      <c r="B660" s="41" t="n">
        <v>46303.3118055556</v>
      </c>
      <c r="C660" s="27" t="s">
        <v>195</v>
      </c>
      <c r="D660" s="27" t="n">
        <v>46.2</v>
      </c>
      <c r="E660" s="27" t="n">
        <v>19.2</v>
      </c>
      <c r="F660" s="27" t="n">
        <v>28.9</v>
      </c>
      <c r="G660" s="27" t="n">
        <v>33</v>
      </c>
      <c r="H660" s="27" t="s">
        <v>199</v>
      </c>
      <c r="I660" s="42" t="n">
        <f aca="false">(D660-INDEX('Cohort Summary'!$D$5:$D$14,MATCH($A660,'Cohort Summary'!$A$5:$A$14,0)))/INDEX('Cohort Summary'!$E$5:$E$14,MATCH($A660,'Cohort Summary'!$A$5:$A$14,0))</f>
        <v>0.11821086261981</v>
      </c>
      <c r="J660" s="42" t="n">
        <f aca="false">(E660-INDEX('Cohort Summary'!$F$5:$F$14,MATCH($A660,'Cohort Summary'!$A$5:$A$14,0)))/INDEX('Cohort Summary'!$G$5:$G$14,MATCH($A660,'Cohort Summary'!$A$5:$A$14,0))</f>
        <v>-0.2279792746114</v>
      </c>
      <c r="K660" s="42" t="n">
        <f aca="false">(F660-INDEX('Cohort Summary'!$H$5:$H$14,MATCH($A660,'Cohort Summary'!$A$5:$A$14,0)))/INDEX('Cohort Summary'!$I$5:$I$14,MATCH($A660,'Cohort Summary'!$A$5:$A$14,0))</f>
        <v>-1.4261744966443</v>
      </c>
      <c r="L660" s="42" t="n">
        <f aca="false">(G660-INDEX('Cohort Summary'!$J$5:$J$14,MATCH($A660,'Cohort Summary'!$A$5:$A$14,0)))/INDEX('Cohort Summary'!$K$5:$K$14,MATCH($A660,'Cohort Summary'!$A$5:$A$14,0))</f>
        <v>-0.551724137931035</v>
      </c>
      <c r="M660" s="42" t="n">
        <f aca="false">MAX(I660:K660)</f>
        <v>0.11821086261981</v>
      </c>
      <c r="N660" s="27" t="s">
        <v>197</v>
      </c>
      <c r="O660" s="27"/>
      <c r="P660" s="27" t="str">
        <f aca="false">A660&amp;"|"&amp;N660</f>
        <v>NURSE-04|normal</v>
      </c>
    </row>
    <row r="661" customFormat="false" ht="15" hidden="false" customHeight="true" outlineLevel="0" collapsed="false">
      <c r="A661" s="27" t="s">
        <v>81</v>
      </c>
      <c r="B661" s="41" t="n">
        <v>46303.3121527778</v>
      </c>
      <c r="C661" s="27" t="s">
        <v>195</v>
      </c>
      <c r="D661" s="27" t="n">
        <v>48</v>
      </c>
      <c r="E661" s="27" t="n">
        <v>19.1</v>
      </c>
      <c r="F661" s="27" t="n">
        <v>32.8</v>
      </c>
      <c r="G661" s="27" t="n">
        <v>33.8</v>
      </c>
      <c r="H661" s="27" t="s">
        <v>196</v>
      </c>
      <c r="I661" s="42" t="n">
        <f aca="false">(D661-INDEX('Cohort Summary'!$D$5:$D$14,MATCH($A661,'Cohort Summary'!$A$5:$A$14,0)))/INDEX('Cohort Summary'!$E$5:$E$14,MATCH($A661,'Cohort Summary'!$A$5:$A$14,0))</f>
        <v>0.693290734824282</v>
      </c>
      <c r="J661" s="42" t="n">
        <f aca="false">(E661-INDEX('Cohort Summary'!$F$5:$F$14,MATCH($A661,'Cohort Summary'!$A$5:$A$14,0)))/INDEX('Cohort Summary'!$G$5:$G$14,MATCH($A661,'Cohort Summary'!$A$5:$A$14,0))</f>
        <v>-0.279792746113989</v>
      </c>
      <c r="K661" s="42" t="n">
        <f aca="false">(F661-INDEX('Cohort Summary'!$H$5:$H$14,MATCH($A661,'Cohort Summary'!$A$5:$A$14,0)))/INDEX('Cohort Summary'!$I$5:$I$14,MATCH($A661,'Cohort Summary'!$A$5:$A$14,0))</f>
        <v>-0.117449664429531</v>
      </c>
      <c r="L661" s="42" t="n">
        <f aca="false">(G661-INDEX('Cohort Summary'!$J$5:$J$14,MATCH($A661,'Cohort Summary'!$A$5:$A$14,0)))/INDEX('Cohort Summary'!$K$5:$K$14,MATCH($A661,'Cohort Summary'!$A$5:$A$14,0))</f>
        <v>0.827586206896546</v>
      </c>
      <c r="M661" s="42" t="n">
        <f aca="false">MAX(I661:K661)</f>
        <v>0.693290734824282</v>
      </c>
      <c r="N661" s="27" t="s">
        <v>197</v>
      </c>
      <c r="O661" s="27"/>
      <c r="P661" s="27" t="str">
        <f aca="false">A661&amp;"|"&amp;N661</f>
        <v>NURSE-04|normal</v>
      </c>
    </row>
    <row r="662" customFormat="false" ht="15" hidden="false" customHeight="true" outlineLevel="0" collapsed="false">
      <c r="A662" s="27" t="s">
        <v>81</v>
      </c>
      <c r="B662" s="41" t="n">
        <v>46303.3125</v>
      </c>
      <c r="C662" s="27" t="s">
        <v>200</v>
      </c>
      <c r="D662" s="27" t="n">
        <v>42.5</v>
      </c>
      <c r="E662" s="27" t="n">
        <v>20.8</v>
      </c>
      <c r="F662" s="27" t="n">
        <v>31.7</v>
      </c>
      <c r="G662" s="27" t="n">
        <v>33.2</v>
      </c>
      <c r="H662" s="27" t="s">
        <v>198</v>
      </c>
      <c r="I662" s="42" t="n">
        <f aca="false">(D662-INDEX('Cohort Summary'!$D$5:$D$14,MATCH($A662,'Cohort Summary'!$A$5:$A$14,0)))/INDEX('Cohort Summary'!$E$5:$E$14,MATCH($A662,'Cohort Summary'!$A$5:$A$14,0))</f>
        <v>-1.06389776357827</v>
      </c>
      <c r="J662" s="42" t="n">
        <f aca="false">(E662-INDEX('Cohort Summary'!$F$5:$F$14,MATCH($A662,'Cohort Summary'!$A$5:$A$14,0)))/INDEX('Cohort Summary'!$G$5:$G$14,MATCH($A662,'Cohort Summary'!$A$5:$A$14,0))</f>
        <v>0.601036269430052</v>
      </c>
      <c r="K662" s="42" t="n">
        <f aca="false">(F662-INDEX('Cohort Summary'!$H$5:$H$14,MATCH($A662,'Cohort Summary'!$A$5:$A$14,0)))/INDEX('Cohort Summary'!$I$5:$I$14,MATCH($A662,'Cohort Summary'!$A$5:$A$14,0))</f>
        <v>-0.486577181208053</v>
      </c>
      <c r="L662" s="42" t="n">
        <f aca="false">(G662-INDEX('Cohort Summary'!$J$5:$J$14,MATCH($A662,'Cohort Summary'!$A$5:$A$14,0)))/INDEX('Cohort Summary'!$K$5:$K$14,MATCH($A662,'Cohort Summary'!$A$5:$A$14,0))</f>
        <v>-0.206896551724134</v>
      </c>
      <c r="M662" s="42" t="n">
        <f aca="false">MAX(I662:K662)</f>
        <v>0.601036269430052</v>
      </c>
      <c r="N662" s="27" t="s">
        <v>197</v>
      </c>
      <c r="O662" s="27"/>
      <c r="P662" s="27" t="str">
        <f aca="false">A662&amp;"|"&amp;N662</f>
        <v>NURSE-04|normal</v>
      </c>
    </row>
    <row r="663" customFormat="false" ht="15" hidden="false" customHeight="true" outlineLevel="0" collapsed="false">
      <c r="A663" s="27" t="s">
        <v>81</v>
      </c>
      <c r="B663" s="41" t="n">
        <v>46303.3128472222</v>
      </c>
      <c r="C663" s="27" t="s">
        <v>200</v>
      </c>
      <c r="D663" s="27" t="n">
        <v>47.2</v>
      </c>
      <c r="E663" s="27" t="n">
        <v>19.7</v>
      </c>
      <c r="F663" s="27" t="n">
        <v>36</v>
      </c>
      <c r="G663" s="27" t="n">
        <v>32.7</v>
      </c>
      <c r="H663" s="27" t="s">
        <v>196</v>
      </c>
      <c r="I663" s="42" t="n">
        <f aca="false">(D663-INDEX('Cohort Summary'!$D$5:$D$14,MATCH($A663,'Cohort Summary'!$A$5:$A$14,0)))/INDEX('Cohort Summary'!$E$5:$E$14,MATCH($A663,'Cohort Summary'!$A$5:$A$14,0))</f>
        <v>0.437699680511184</v>
      </c>
      <c r="J663" s="42" t="n">
        <f aca="false">(E663-INDEX('Cohort Summary'!$F$5:$F$14,MATCH($A663,'Cohort Summary'!$A$5:$A$14,0)))/INDEX('Cohort Summary'!$G$5:$G$14,MATCH($A663,'Cohort Summary'!$A$5:$A$14,0))</f>
        <v>0.0310880829015537</v>
      </c>
      <c r="K663" s="42" t="n">
        <f aca="false">(F663-INDEX('Cohort Summary'!$H$5:$H$14,MATCH($A663,'Cohort Summary'!$A$5:$A$14,0)))/INDEX('Cohort Summary'!$I$5:$I$14,MATCH($A663,'Cohort Summary'!$A$5:$A$14,0))</f>
        <v>0.956375838926175</v>
      </c>
      <c r="L663" s="42" t="n">
        <f aca="false">(G663-INDEX('Cohort Summary'!$J$5:$J$14,MATCH($A663,'Cohort Summary'!$A$5:$A$14,0)))/INDEX('Cohort Summary'!$K$5:$K$14,MATCH($A663,'Cohort Summary'!$A$5:$A$14,0))</f>
        <v>-1.06896551724138</v>
      </c>
      <c r="M663" s="42" t="n">
        <f aca="false">MAX(I663:K663)</f>
        <v>0.956375838926175</v>
      </c>
      <c r="N663" s="27" t="s">
        <v>197</v>
      </c>
      <c r="O663" s="27"/>
      <c r="P663" s="27" t="str">
        <f aca="false">A663&amp;"|"&amp;N663</f>
        <v>NURSE-04|normal</v>
      </c>
    </row>
    <row r="664" customFormat="false" ht="15" hidden="false" customHeight="true" outlineLevel="0" collapsed="false">
      <c r="A664" s="27" t="s">
        <v>81</v>
      </c>
      <c r="B664" s="41" t="n">
        <v>46303.3131944445</v>
      </c>
      <c r="C664" s="27" t="s">
        <v>200</v>
      </c>
      <c r="D664" s="27" t="n">
        <v>43</v>
      </c>
      <c r="E664" s="27" t="n">
        <v>20</v>
      </c>
      <c r="F664" s="27" t="n">
        <v>28.6</v>
      </c>
      <c r="G664" s="27" t="n">
        <v>32.6</v>
      </c>
      <c r="H664" s="27" t="s">
        <v>196</v>
      </c>
      <c r="I664" s="42" t="n">
        <f aca="false">(D664-INDEX('Cohort Summary'!$D$5:$D$14,MATCH($A664,'Cohort Summary'!$A$5:$A$14,0)))/INDEX('Cohort Summary'!$E$5:$E$14,MATCH($A664,'Cohort Summary'!$A$5:$A$14,0))</f>
        <v>-0.904153354632587</v>
      </c>
      <c r="J664" s="42" t="n">
        <f aca="false">(E664-INDEX('Cohort Summary'!$F$5:$F$14,MATCH($A664,'Cohort Summary'!$A$5:$A$14,0)))/INDEX('Cohort Summary'!$G$5:$G$14,MATCH($A664,'Cohort Summary'!$A$5:$A$14,0))</f>
        <v>0.186528497409326</v>
      </c>
      <c r="K664" s="42" t="n">
        <f aca="false">(F664-INDEX('Cohort Summary'!$H$5:$H$14,MATCH($A664,'Cohort Summary'!$A$5:$A$14,0)))/INDEX('Cohort Summary'!$I$5:$I$14,MATCH($A664,'Cohort Summary'!$A$5:$A$14,0))</f>
        <v>-1.52684563758389</v>
      </c>
      <c r="L664" s="42" t="n">
        <f aca="false">(G664-INDEX('Cohort Summary'!$J$5:$J$14,MATCH($A664,'Cohort Summary'!$A$5:$A$14,0)))/INDEX('Cohort Summary'!$K$5:$K$14,MATCH($A664,'Cohort Summary'!$A$5:$A$14,0))</f>
        <v>-1.24137931034483</v>
      </c>
      <c r="M664" s="42" t="n">
        <f aca="false">MAX(I664:K664)</f>
        <v>0.186528497409326</v>
      </c>
      <c r="N664" s="27" t="s">
        <v>197</v>
      </c>
      <c r="O664" s="27"/>
      <c r="P664" s="27" t="str">
        <f aca="false">A664&amp;"|"&amp;N664</f>
        <v>NURSE-04|normal</v>
      </c>
    </row>
    <row r="665" customFormat="false" ht="15" hidden="false" customHeight="true" outlineLevel="0" collapsed="false">
      <c r="A665" s="27" t="s">
        <v>81</v>
      </c>
      <c r="B665" s="41" t="n">
        <v>46303.3135416667</v>
      </c>
      <c r="C665" s="27" t="s">
        <v>200</v>
      </c>
      <c r="D665" s="27" t="n">
        <v>46.4</v>
      </c>
      <c r="E665" s="27" t="n">
        <v>22.4</v>
      </c>
      <c r="F665" s="27" t="n">
        <v>30.6</v>
      </c>
      <c r="G665" s="27" t="n">
        <v>32.7</v>
      </c>
      <c r="H665" s="27" t="s">
        <v>199</v>
      </c>
      <c r="I665" s="42" t="n">
        <f aca="false">(D665-INDEX('Cohort Summary'!$D$5:$D$14,MATCH($A665,'Cohort Summary'!$A$5:$A$14,0)))/INDEX('Cohort Summary'!$E$5:$E$14,MATCH($A665,'Cohort Summary'!$A$5:$A$14,0))</f>
        <v>0.182108626198083</v>
      </c>
      <c r="J665" s="42" t="n">
        <f aca="false">(E665-INDEX('Cohort Summary'!$F$5:$F$14,MATCH($A665,'Cohort Summary'!$A$5:$A$14,0)))/INDEX('Cohort Summary'!$G$5:$G$14,MATCH($A665,'Cohort Summary'!$A$5:$A$14,0))</f>
        <v>1.4300518134715</v>
      </c>
      <c r="K665" s="42" t="n">
        <f aca="false">(F665-INDEX('Cohort Summary'!$H$5:$H$14,MATCH($A665,'Cohort Summary'!$A$5:$A$14,0)))/INDEX('Cohort Summary'!$I$5:$I$14,MATCH($A665,'Cohort Summary'!$A$5:$A$14,0))</f>
        <v>-0.855704697986576</v>
      </c>
      <c r="L665" s="42" t="n">
        <f aca="false">(G665-INDEX('Cohort Summary'!$J$5:$J$14,MATCH($A665,'Cohort Summary'!$A$5:$A$14,0)))/INDEX('Cohort Summary'!$K$5:$K$14,MATCH($A665,'Cohort Summary'!$A$5:$A$14,0))</f>
        <v>-1.06896551724138</v>
      </c>
      <c r="M665" s="42" t="n">
        <f aca="false">MAX(I665:K665)</f>
        <v>1.4300518134715</v>
      </c>
      <c r="N665" s="27" t="s">
        <v>197</v>
      </c>
      <c r="O665" s="27"/>
      <c r="P665" s="27" t="str">
        <f aca="false">A665&amp;"|"&amp;N665</f>
        <v>NURSE-04|normal</v>
      </c>
    </row>
    <row r="666" customFormat="false" ht="15" hidden="false" customHeight="true" outlineLevel="0" collapsed="false">
      <c r="A666" s="27" t="s">
        <v>81</v>
      </c>
      <c r="B666" s="41" t="n">
        <v>46303.3138888889</v>
      </c>
      <c r="C666" s="27" t="s">
        <v>200</v>
      </c>
      <c r="D666" s="27" t="n">
        <v>41.9</v>
      </c>
      <c r="E666" s="27" t="n">
        <v>20.5</v>
      </c>
      <c r="F666" s="27" t="n">
        <v>36.6</v>
      </c>
      <c r="G666" s="27" t="n">
        <v>32.6</v>
      </c>
      <c r="H666" s="27" t="s">
        <v>199</v>
      </c>
      <c r="I666" s="42" t="n">
        <f aca="false">(D666-INDEX('Cohort Summary'!$D$5:$D$14,MATCH($A666,'Cohort Summary'!$A$5:$A$14,0)))/INDEX('Cohort Summary'!$E$5:$E$14,MATCH($A666,'Cohort Summary'!$A$5:$A$14,0))</f>
        <v>-1.2555910543131</v>
      </c>
      <c r="J666" s="42" t="n">
        <f aca="false">(E666-INDEX('Cohort Summary'!$F$5:$F$14,MATCH($A666,'Cohort Summary'!$A$5:$A$14,0)))/INDEX('Cohort Summary'!$G$5:$G$14,MATCH($A666,'Cohort Summary'!$A$5:$A$14,0))</f>
        <v>0.44559585492228</v>
      </c>
      <c r="K666" s="42" t="n">
        <f aca="false">(F666-INDEX('Cohort Summary'!$H$5:$H$14,MATCH($A666,'Cohort Summary'!$A$5:$A$14,0)))/INDEX('Cohort Summary'!$I$5:$I$14,MATCH($A666,'Cohort Summary'!$A$5:$A$14,0))</f>
        <v>1.15771812080537</v>
      </c>
      <c r="L666" s="42" t="n">
        <f aca="false">(G666-INDEX('Cohort Summary'!$J$5:$J$14,MATCH($A666,'Cohort Summary'!$A$5:$A$14,0)))/INDEX('Cohort Summary'!$K$5:$K$14,MATCH($A666,'Cohort Summary'!$A$5:$A$14,0))</f>
        <v>-1.24137931034483</v>
      </c>
      <c r="M666" s="42" t="n">
        <f aca="false">MAX(I666:K666)</f>
        <v>1.15771812080537</v>
      </c>
      <c r="N666" s="27" t="s">
        <v>197</v>
      </c>
      <c r="O666" s="27"/>
      <c r="P666" s="27" t="str">
        <f aca="false">A666&amp;"|"&amp;N666</f>
        <v>NURSE-04|normal</v>
      </c>
    </row>
    <row r="667" customFormat="false" ht="15" hidden="false" customHeight="true" outlineLevel="0" collapsed="false">
      <c r="A667" s="27" t="s">
        <v>81</v>
      </c>
      <c r="B667" s="41" t="n">
        <v>46303.3142361111</v>
      </c>
      <c r="C667" s="27" t="s">
        <v>200</v>
      </c>
      <c r="D667" s="27" t="n">
        <v>50.6</v>
      </c>
      <c r="E667" s="27" t="n">
        <v>18</v>
      </c>
      <c r="F667" s="27" t="n">
        <v>35.8</v>
      </c>
      <c r="G667" s="27" t="n">
        <v>34</v>
      </c>
      <c r="H667" s="27" t="s">
        <v>196</v>
      </c>
      <c r="I667" s="42" t="n">
        <f aca="false">(D667-INDEX('Cohort Summary'!$D$5:$D$14,MATCH($A667,'Cohort Summary'!$A$5:$A$14,0)))/INDEX('Cohort Summary'!$E$5:$E$14,MATCH($A667,'Cohort Summary'!$A$5:$A$14,0))</f>
        <v>1.52396166134185</v>
      </c>
      <c r="J667" s="42" t="n">
        <f aca="false">(E667-INDEX('Cohort Summary'!$F$5:$F$14,MATCH($A667,'Cohort Summary'!$A$5:$A$14,0)))/INDEX('Cohort Summary'!$G$5:$G$14,MATCH($A667,'Cohort Summary'!$A$5:$A$14,0))</f>
        <v>-0.849740932642487</v>
      </c>
      <c r="K667" s="42" t="n">
        <f aca="false">(F667-INDEX('Cohort Summary'!$H$5:$H$14,MATCH($A667,'Cohort Summary'!$A$5:$A$14,0)))/INDEX('Cohort Summary'!$I$5:$I$14,MATCH($A667,'Cohort Summary'!$A$5:$A$14,0))</f>
        <v>0.889261744966443</v>
      </c>
      <c r="L667" s="42" t="n">
        <f aca="false">(G667-INDEX('Cohort Summary'!$J$5:$J$14,MATCH($A667,'Cohort Summary'!$A$5:$A$14,0)))/INDEX('Cohort Summary'!$K$5:$K$14,MATCH($A667,'Cohort Summary'!$A$5:$A$14,0))</f>
        <v>1.17241379310345</v>
      </c>
      <c r="M667" s="42" t="n">
        <f aca="false">MAX(I667:K667)</f>
        <v>1.52396166134185</v>
      </c>
      <c r="N667" s="27" t="s">
        <v>197</v>
      </c>
      <c r="O667" s="27"/>
      <c r="P667" s="27" t="str">
        <f aca="false">A667&amp;"|"&amp;N667</f>
        <v>NURSE-04|normal</v>
      </c>
    </row>
    <row r="668" customFormat="false" ht="15" hidden="false" customHeight="true" outlineLevel="0" collapsed="false">
      <c r="A668" s="27" t="s">
        <v>81</v>
      </c>
      <c r="B668" s="41" t="n">
        <v>46303.3145833333</v>
      </c>
      <c r="C668" s="27" t="s">
        <v>200</v>
      </c>
      <c r="D668" s="27" t="n">
        <v>45.4</v>
      </c>
      <c r="E668" s="27" t="n">
        <v>18.6</v>
      </c>
      <c r="F668" s="27" t="n">
        <v>35.1</v>
      </c>
      <c r="G668" s="27" t="n">
        <v>32.8</v>
      </c>
      <c r="H668" s="27" t="s">
        <v>199</v>
      </c>
      <c r="I668" s="42" t="n">
        <f aca="false">(D668-INDEX('Cohort Summary'!$D$5:$D$14,MATCH($A668,'Cohort Summary'!$A$5:$A$14,0)))/INDEX('Cohort Summary'!$E$5:$E$14,MATCH($A668,'Cohort Summary'!$A$5:$A$14,0))</f>
        <v>-0.137380191693291</v>
      </c>
      <c r="J668" s="42" t="n">
        <f aca="false">(E668-INDEX('Cohort Summary'!$F$5:$F$14,MATCH($A668,'Cohort Summary'!$A$5:$A$14,0)))/INDEX('Cohort Summary'!$G$5:$G$14,MATCH($A668,'Cohort Summary'!$A$5:$A$14,0))</f>
        <v>-0.538860103626943</v>
      </c>
      <c r="K668" s="42" t="n">
        <f aca="false">(F668-INDEX('Cohort Summary'!$H$5:$H$14,MATCH($A668,'Cohort Summary'!$A$5:$A$14,0)))/INDEX('Cohort Summary'!$I$5:$I$14,MATCH($A668,'Cohort Summary'!$A$5:$A$14,0))</f>
        <v>0.654362416107384</v>
      </c>
      <c r="L668" s="42" t="n">
        <f aca="false">(G668-INDEX('Cohort Summary'!$J$5:$J$14,MATCH($A668,'Cohort Summary'!$A$5:$A$14,0)))/INDEX('Cohort Summary'!$K$5:$K$14,MATCH($A668,'Cohort Summary'!$A$5:$A$14,0))</f>
        <v>-0.896551724137937</v>
      </c>
      <c r="M668" s="42" t="n">
        <f aca="false">MAX(I668:K668)</f>
        <v>0.654362416107384</v>
      </c>
      <c r="N668" s="27" t="s">
        <v>197</v>
      </c>
      <c r="O668" s="27"/>
      <c r="P668" s="27" t="str">
        <f aca="false">A668&amp;"|"&amp;N668</f>
        <v>NURSE-04|normal</v>
      </c>
    </row>
    <row r="669" customFormat="false" ht="15" hidden="false" customHeight="true" outlineLevel="0" collapsed="false">
      <c r="A669" s="27" t="s">
        <v>81</v>
      </c>
      <c r="B669" s="41" t="n">
        <v>46303.3149305556</v>
      </c>
      <c r="C669" s="27" t="s">
        <v>200</v>
      </c>
      <c r="D669" s="27" t="n">
        <v>45.3</v>
      </c>
      <c r="E669" s="27" t="n">
        <v>20.3</v>
      </c>
      <c r="F669" s="27" t="n">
        <v>30.6</v>
      </c>
      <c r="G669" s="27" t="n">
        <v>32.7</v>
      </c>
      <c r="H669" s="27" t="s">
        <v>196</v>
      </c>
      <c r="I669" s="42" t="n">
        <f aca="false">(D669-INDEX('Cohort Summary'!$D$5:$D$14,MATCH($A669,'Cohort Summary'!$A$5:$A$14,0)))/INDEX('Cohort Summary'!$E$5:$E$14,MATCH($A669,'Cohort Summary'!$A$5:$A$14,0))</f>
        <v>-0.169329073482428</v>
      </c>
      <c r="J669" s="42" t="n">
        <f aca="false">(E669-INDEX('Cohort Summary'!$F$5:$F$14,MATCH($A669,'Cohort Summary'!$A$5:$A$14,0)))/INDEX('Cohort Summary'!$G$5:$G$14,MATCH($A669,'Cohort Summary'!$A$5:$A$14,0))</f>
        <v>0.341968911917099</v>
      </c>
      <c r="K669" s="42" t="n">
        <f aca="false">(F669-INDEX('Cohort Summary'!$H$5:$H$14,MATCH($A669,'Cohort Summary'!$A$5:$A$14,0)))/INDEX('Cohort Summary'!$I$5:$I$14,MATCH($A669,'Cohort Summary'!$A$5:$A$14,0))</f>
        <v>-0.855704697986576</v>
      </c>
      <c r="L669" s="42" t="n">
        <f aca="false">(G669-INDEX('Cohort Summary'!$J$5:$J$14,MATCH($A669,'Cohort Summary'!$A$5:$A$14,0)))/INDEX('Cohort Summary'!$K$5:$K$14,MATCH($A669,'Cohort Summary'!$A$5:$A$14,0))</f>
        <v>-1.06896551724138</v>
      </c>
      <c r="M669" s="42" t="n">
        <f aca="false">MAX(I669:K669)</f>
        <v>0.341968911917099</v>
      </c>
      <c r="N669" s="27" t="s">
        <v>197</v>
      </c>
      <c r="O669" s="27"/>
      <c r="P669" s="27" t="str">
        <f aca="false">A669&amp;"|"&amp;N669</f>
        <v>NURSE-04|normal</v>
      </c>
    </row>
    <row r="670" customFormat="false" ht="15" hidden="false" customHeight="true" outlineLevel="0" collapsed="false">
      <c r="A670" s="27" t="s">
        <v>81</v>
      </c>
      <c r="B670" s="41" t="n">
        <v>46303.3152777778</v>
      </c>
      <c r="C670" s="27" t="s">
        <v>200</v>
      </c>
      <c r="D670" s="27" t="n">
        <v>54.3</v>
      </c>
      <c r="E670" s="27" t="n">
        <v>20.3</v>
      </c>
      <c r="F670" s="27" t="n">
        <v>47.8</v>
      </c>
      <c r="G670" s="27" t="n">
        <v>36.4</v>
      </c>
      <c r="H670" s="27" t="s">
        <v>198</v>
      </c>
      <c r="I670" s="42" t="n">
        <f aca="false">(D670-INDEX('Cohort Summary'!$D$5:$D$14,MATCH($A670,'Cohort Summary'!$A$5:$A$14,0)))/INDEX('Cohort Summary'!$E$5:$E$14,MATCH($A670,'Cohort Summary'!$A$5:$A$14,0))</f>
        <v>2.70607028753994</v>
      </c>
      <c r="J670" s="42" t="n">
        <f aca="false">(E670-INDEX('Cohort Summary'!$F$5:$F$14,MATCH($A670,'Cohort Summary'!$A$5:$A$14,0)))/INDEX('Cohort Summary'!$G$5:$G$14,MATCH($A670,'Cohort Summary'!$A$5:$A$14,0))</f>
        <v>0.341968911917099</v>
      </c>
      <c r="K670" s="42" t="n">
        <f aca="false">(F670-INDEX('Cohort Summary'!$H$5:$H$14,MATCH($A670,'Cohort Summary'!$A$5:$A$14,0)))/INDEX('Cohort Summary'!$I$5:$I$14,MATCH($A670,'Cohort Summary'!$A$5:$A$14,0))</f>
        <v>4.91610738255034</v>
      </c>
      <c r="L670" s="42" t="n">
        <f aca="false">(G670-INDEX('Cohort Summary'!$J$5:$J$14,MATCH($A670,'Cohort Summary'!$A$5:$A$14,0)))/INDEX('Cohort Summary'!$K$5:$K$14,MATCH($A670,'Cohort Summary'!$A$5:$A$14,0))</f>
        <v>5.31034482758621</v>
      </c>
      <c r="M670" s="42" t="n">
        <f aca="false">MAX(I670:K670)</f>
        <v>4.91610738255034</v>
      </c>
      <c r="N670" s="27" t="s">
        <v>212</v>
      </c>
      <c r="O670" s="27" t="s">
        <v>231</v>
      </c>
      <c r="P670" s="27" t="str">
        <f aca="false">A670&amp;"|"&amp;N670</f>
        <v>NURSE-04|alert</v>
      </c>
    </row>
    <row r="671" customFormat="false" ht="15" hidden="false" customHeight="true" outlineLevel="0" collapsed="false">
      <c r="A671" s="27" t="s">
        <v>81</v>
      </c>
      <c r="B671" s="41" t="n">
        <v>46303.315625</v>
      </c>
      <c r="C671" s="27" t="s">
        <v>200</v>
      </c>
      <c r="D671" s="27" t="n">
        <v>56.7</v>
      </c>
      <c r="E671" s="27" t="n">
        <v>20.7</v>
      </c>
      <c r="F671" s="27" t="n">
        <v>41.3</v>
      </c>
      <c r="G671" s="27" t="n">
        <v>34.8</v>
      </c>
      <c r="H671" s="27" t="s">
        <v>198</v>
      </c>
      <c r="I671" s="42" t="n">
        <f aca="false">(D671-INDEX('Cohort Summary'!$D$5:$D$14,MATCH($A671,'Cohort Summary'!$A$5:$A$14,0)))/INDEX('Cohort Summary'!$E$5:$E$14,MATCH($A671,'Cohort Summary'!$A$5:$A$14,0))</f>
        <v>3.47284345047924</v>
      </c>
      <c r="J671" s="42" t="n">
        <f aca="false">(E671-INDEX('Cohort Summary'!$F$5:$F$14,MATCH($A671,'Cohort Summary'!$A$5:$A$14,0)))/INDEX('Cohort Summary'!$G$5:$G$14,MATCH($A671,'Cohort Summary'!$A$5:$A$14,0))</f>
        <v>0.549222797927461</v>
      </c>
      <c r="K671" s="42" t="n">
        <f aca="false">(F671-INDEX('Cohort Summary'!$H$5:$H$14,MATCH($A671,'Cohort Summary'!$A$5:$A$14,0)))/INDEX('Cohort Summary'!$I$5:$I$14,MATCH($A671,'Cohort Summary'!$A$5:$A$14,0))</f>
        <v>2.73489932885906</v>
      </c>
      <c r="L671" s="42" t="n">
        <f aca="false">(G671-INDEX('Cohort Summary'!$J$5:$J$14,MATCH($A671,'Cohort Summary'!$A$5:$A$14,0)))/INDEX('Cohort Summary'!$K$5:$K$14,MATCH($A671,'Cohort Summary'!$A$5:$A$14,0))</f>
        <v>2.55172413793103</v>
      </c>
      <c r="M671" s="42" t="n">
        <f aca="false">MAX(I671:K671)</f>
        <v>3.47284345047924</v>
      </c>
      <c r="N671" s="27" t="s">
        <v>212</v>
      </c>
      <c r="O671" s="27" t="s">
        <v>232</v>
      </c>
      <c r="P671" s="27" t="str">
        <f aca="false">A671&amp;"|"&amp;N671</f>
        <v>NURSE-04|alert</v>
      </c>
    </row>
    <row r="672" customFormat="false" ht="15" hidden="false" customHeight="true" outlineLevel="0" collapsed="false">
      <c r="A672" s="27" t="s">
        <v>81</v>
      </c>
      <c r="B672" s="41" t="n">
        <v>46303.3159722222</v>
      </c>
      <c r="C672" s="27" t="s">
        <v>200</v>
      </c>
      <c r="D672" s="27" t="n">
        <v>56.8</v>
      </c>
      <c r="E672" s="27" t="n">
        <v>19.7</v>
      </c>
      <c r="F672" s="27" t="n">
        <v>43</v>
      </c>
      <c r="G672" s="27" t="n">
        <v>36.5</v>
      </c>
      <c r="H672" s="27" t="s">
        <v>198</v>
      </c>
      <c r="I672" s="42" t="n">
        <f aca="false">(D672-INDEX('Cohort Summary'!$D$5:$D$14,MATCH($A672,'Cohort Summary'!$A$5:$A$14,0)))/INDEX('Cohort Summary'!$E$5:$E$14,MATCH($A672,'Cohort Summary'!$A$5:$A$14,0))</f>
        <v>3.50479233226837</v>
      </c>
      <c r="J672" s="42" t="n">
        <f aca="false">(E672-INDEX('Cohort Summary'!$F$5:$F$14,MATCH($A672,'Cohort Summary'!$A$5:$A$14,0)))/INDEX('Cohort Summary'!$G$5:$G$14,MATCH($A672,'Cohort Summary'!$A$5:$A$14,0))</f>
        <v>0.0310880829015537</v>
      </c>
      <c r="K672" s="42" t="n">
        <f aca="false">(F672-INDEX('Cohort Summary'!$H$5:$H$14,MATCH($A672,'Cohort Summary'!$A$5:$A$14,0)))/INDEX('Cohort Summary'!$I$5:$I$14,MATCH($A672,'Cohort Summary'!$A$5:$A$14,0))</f>
        <v>3.30536912751678</v>
      </c>
      <c r="L672" s="42" t="n">
        <f aca="false">(G672-INDEX('Cohort Summary'!$J$5:$J$14,MATCH($A672,'Cohort Summary'!$A$5:$A$14,0)))/INDEX('Cohort Summary'!$K$5:$K$14,MATCH($A672,'Cohort Summary'!$A$5:$A$14,0))</f>
        <v>5.48275862068966</v>
      </c>
      <c r="M672" s="42" t="n">
        <f aca="false">MAX(I672:K672)</f>
        <v>3.50479233226837</v>
      </c>
      <c r="N672" s="27" t="s">
        <v>212</v>
      </c>
      <c r="O672" s="27" t="s">
        <v>233</v>
      </c>
      <c r="P672" s="27" t="str">
        <f aca="false">A672&amp;"|"&amp;N672</f>
        <v>NURSE-04|alert</v>
      </c>
    </row>
    <row r="673" customFormat="false" ht="15" hidden="false" customHeight="true" outlineLevel="0" collapsed="false">
      <c r="A673" s="27" t="s">
        <v>81</v>
      </c>
      <c r="B673" s="41" t="n">
        <v>46303.3163194444</v>
      </c>
      <c r="C673" s="27" t="s">
        <v>200</v>
      </c>
      <c r="D673" s="27" t="n">
        <v>54.1</v>
      </c>
      <c r="E673" s="27" t="n">
        <v>19.9</v>
      </c>
      <c r="F673" s="27" t="n">
        <v>47.4</v>
      </c>
      <c r="G673" s="27" t="n">
        <v>36.1</v>
      </c>
      <c r="H673" s="27" t="s">
        <v>198</v>
      </c>
      <c r="I673" s="42" t="n">
        <f aca="false">(D673-INDEX('Cohort Summary'!$D$5:$D$14,MATCH($A673,'Cohort Summary'!$A$5:$A$14,0)))/INDEX('Cohort Summary'!$E$5:$E$14,MATCH($A673,'Cohort Summary'!$A$5:$A$14,0))</f>
        <v>2.64217252396166</v>
      </c>
      <c r="J673" s="42" t="n">
        <f aca="false">(E673-INDEX('Cohort Summary'!$F$5:$F$14,MATCH($A673,'Cohort Summary'!$A$5:$A$14,0)))/INDEX('Cohort Summary'!$G$5:$G$14,MATCH($A673,'Cohort Summary'!$A$5:$A$14,0))</f>
        <v>0.134715025906735</v>
      </c>
      <c r="K673" s="42" t="n">
        <f aca="false">(F673-INDEX('Cohort Summary'!$H$5:$H$14,MATCH($A673,'Cohort Summary'!$A$5:$A$14,0)))/INDEX('Cohort Summary'!$I$5:$I$14,MATCH($A673,'Cohort Summary'!$A$5:$A$14,0))</f>
        <v>4.78187919463087</v>
      </c>
      <c r="L673" s="42" t="n">
        <f aca="false">(G673-INDEX('Cohort Summary'!$J$5:$J$14,MATCH($A673,'Cohort Summary'!$A$5:$A$14,0)))/INDEX('Cohort Summary'!$K$5:$K$14,MATCH($A673,'Cohort Summary'!$A$5:$A$14,0))</f>
        <v>4.79310344827587</v>
      </c>
      <c r="M673" s="42" t="n">
        <f aca="false">MAX(I673:K673)</f>
        <v>4.78187919463087</v>
      </c>
      <c r="N673" s="27" t="s">
        <v>212</v>
      </c>
      <c r="O673" s="27" t="s">
        <v>234</v>
      </c>
      <c r="P673" s="27" t="str">
        <f aca="false">A673&amp;"|"&amp;N673</f>
        <v>NURSE-04|alert</v>
      </c>
    </row>
    <row r="674" customFormat="false" ht="15" hidden="false" customHeight="true" outlineLevel="0" collapsed="false">
      <c r="A674" s="27" t="s">
        <v>81</v>
      </c>
      <c r="B674" s="41" t="n">
        <v>46303.3166666667</v>
      </c>
      <c r="C674" s="27" t="s">
        <v>200</v>
      </c>
      <c r="D674" s="27" t="n">
        <v>57.1</v>
      </c>
      <c r="E674" s="27" t="n">
        <v>19.3</v>
      </c>
      <c r="F674" s="27" t="n">
        <v>46.9</v>
      </c>
      <c r="G674" s="27" t="n">
        <v>35.6</v>
      </c>
      <c r="H674" s="27" t="s">
        <v>198</v>
      </c>
      <c r="I674" s="42" t="n">
        <f aca="false">(D674-INDEX('Cohort Summary'!$D$5:$D$14,MATCH($A674,'Cohort Summary'!$A$5:$A$14,0)))/INDEX('Cohort Summary'!$E$5:$E$14,MATCH($A674,'Cohort Summary'!$A$5:$A$14,0))</f>
        <v>3.60063897763578</v>
      </c>
      <c r="J674" s="42" t="n">
        <f aca="false">(E674-INDEX('Cohort Summary'!$F$5:$F$14,MATCH($A674,'Cohort Summary'!$A$5:$A$14,0)))/INDEX('Cohort Summary'!$G$5:$G$14,MATCH($A674,'Cohort Summary'!$A$5:$A$14,0))</f>
        <v>-0.176165803108808</v>
      </c>
      <c r="K674" s="42" t="n">
        <f aca="false">(F674-INDEX('Cohort Summary'!$H$5:$H$14,MATCH($A674,'Cohort Summary'!$A$5:$A$14,0)))/INDEX('Cohort Summary'!$I$5:$I$14,MATCH($A674,'Cohort Summary'!$A$5:$A$14,0))</f>
        <v>4.61409395973154</v>
      </c>
      <c r="L674" s="42" t="n">
        <f aca="false">(G674-INDEX('Cohort Summary'!$J$5:$J$14,MATCH($A674,'Cohort Summary'!$A$5:$A$14,0)))/INDEX('Cohort Summary'!$K$5:$K$14,MATCH($A674,'Cohort Summary'!$A$5:$A$14,0))</f>
        <v>3.93103448275862</v>
      </c>
      <c r="M674" s="42" t="n">
        <f aca="false">MAX(I674:K674)</f>
        <v>4.61409395973154</v>
      </c>
      <c r="N674" s="27" t="s">
        <v>212</v>
      </c>
      <c r="O674" s="27" t="s">
        <v>235</v>
      </c>
      <c r="P674" s="27" t="str">
        <f aca="false">A674&amp;"|"&amp;N674</f>
        <v>NURSE-04|alert</v>
      </c>
    </row>
    <row r="675" customFormat="false" ht="15" hidden="false" customHeight="true" outlineLevel="0" collapsed="false">
      <c r="A675" s="27" t="s">
        <v>81</v>
      </c>
      <c r="B675" s="41" t="n">
        <v>46303.3170138889</v>
      </c>
      <c r="C675" s="27" t="s">
        <v>200</v>
      </c>
      <c r="D675" s="27" t="n">
        <v>54.4</v>
      </c>
      <c r="E675" s="27" t="n">
        <v>21.3</v>
      </c>
      <c r="F675" s="27" t="n">
        <v>38.1</v>
      </c>
      <c r="G675" s="27" t="n">
        <v>35.2</v>
      </c>
      <c r="H675" s="27" t="s">
        <v>198</v>
      </c>
      <c r="I675" s="42" t="n">
        <f aca="false">(D675-INDEX('Cohort Summary'!$D$5:$D$14,MATCH($A675,'Cohort Summary'!$A$5:$A$14,0)))/INDEX('Cohort Summary'!$E$5:$E$14,MATCH($A675,'Cohort Summary'!$A$5:$A$14,0))</f>
        <v>2.73801916932907</v>
      </c>
      <c r="J675" s="42" t="n">
        <f aca="false">(E675-INDEX('Cohort Summary'!$F$5:$F$14,MATCH($A675,'Cohort Summary'!$A$5:$A$14,0)))/INDEX('Cohort Summary'!$G$5:$G$14,MATCH($A675,'Cohort Summary'!$A$5:$A$14,0))</f>
        <v>0.860103626943005</v>
      </c>
      <c r="K675" s="42" t="n">
        <f aca="false">(F675-INDEX('Cohort Summary'!$H$5:$H$14,MATCH($A675,'Cohort Summary'!$A$5:$A$14,0)))/INDEX('Cohort Summary'!$I$5:$I$14,MATCH($A675,'Cohort Summary'!$A$5:$A$14,0))</f>
        <v>1.66107382550336</v>
      </c>
      <c r="L675" s="42" t="n">
        <f aca="false">(G675-INDEX('Cohort Summary'!$J$5:$J$14,MATCH($A675,'Cohort Summary'!$A$5:$A$14,0)))/INDEX('Cohort Summary'!$K$5:$K$14,MATCH($A675,'Cohort Summary'!$A$5:$A$14,0))</f>
        <v>3.24137931034483</v>
      </c>
      <c r="M675" s="42" t="n">
        <f aca="false">MAX(I675:K675)</f>
        <v>2.73801916932907</v>
      </c>
      <c r="N675" s="27" t="s">
        <v>212</v>
      </c>
      <c r="O675" s="27" t="s">
        <v>236</v>
      </c>
      <c r="P675" s="27" t="str">
        <f aca="false">A675&amp;"|"&amp;N675</f>
        <v>NURSE-04|alert</v>
      </c>
    </row>
    <row r="676" customFormat="false" ht="15" hidden="false" customHeight="true" outlineLevel="0" collapsed="false">
      <c r="A676" s="27" t="s">
        <v>81</v>
      </c>
      <c r="B676" s="41" t="n">
        <v>46303.3173611111</v>
      </c>
      <c r="C676" s="27" t="s">
        <v>200</v>
      </c>
      <c r="D676" s="27" t="n">
        <v>45</v>
      </c>
      <c r="E676" s="27" t="n">
        <v>16.3</v>
      </c>
      <c r="F676" s="27" t="n">
        <v>34.8</v>
      </c>
      <c r="G676" s="27" t="n">
        <v>33.3</v>
      </c>
      <c r="H676" s="27" t="s">
        <v>199</v>
      </c>
      <c r="I676" s="42" t="n">
        <f aca="false">(D676-INDEX('Cohort Summary'!$D$5:$D$14,MATCH($A676,'Cohort Summary'!$A$5:$A$14,0)))/INDEX('Cohort Summary'!$E$5:$E$14,MATCH($A676,'Cohort Summary'!$A$5:$A$14,0))</f>
        <v>-0.26517571884984</v>
      </c>
      <c r="J676" s="42" t="n">
        <f aca="false">(E676-INDEX('Cohort Summary'!$F$5:$F$14,MATCH($A676,'Cohort Summary'!$A$5:$A$14,0)))/INDEX('Cohort Summary'!$G$5:$G$14,MATCH($A676,'Cohort Summary'!$A$5:$A$14,0))</f>
        <v>-1.73056994818653</v>
      </c>
      <c r="K676" s="42" t="n">
        <f aca="false">(F676-INDEX('Cohort Summary'!$H$5:$H$14,MATCH($A676,'Cohort Summary'!$A$5:$A$14,0)))/INDEX('Cohort Summary'!$I$5:$I$14,MATCH($A676,'Cohort Summary'!$A$5:$A$14,0))</f>
        <v>0.553691275167785</v>
      </c>
      <c r="L676" s="42" t="n">
        <f aca="false">(G676-INDEX('Cohort Summary'!$J$5:$J$14,MATCH($A676,'Cohort Summary'!$A$5:$A$14,0)))/INDEX('Cohort Summary'!$K$5:$K$14,MATCH($A676,'Cohort Summary'!$A$5:$A$14,0))</f>
        <v>-0.034482758620695</v>
      </c>
      <c r="M676" s="42" t="n">
        <f aca="false">MAX(I676:K676)</f>
        <v>0.553691275167785</v>
      </c>
      <c r="N676" s="27" t="s">
        <v>197</v>
      </c>
      <c r="O676" s="27"/>
      <c r="P676" s="27" t="str">
        <f aca="false">A676&amp;"|"&amp;N676</f>
        <v>NURSE-04|normal</v>
      </c>
    </row>
    <row r="677" customFormat="false" ht="15" hidden="false" customHeight="true" outlineLevel="0" collapsed="false">
      <c r="A677" s="27" t="s">
        <v>81</v>
      </c>
      <c r="B677" s="41" t="n">
        <v>46303.3177083333</v>
      </c>
      <c r="C677" s="27" t="s">
        <v>200</v>
      </c>
      <c r="D677" s="27" t="n">
        <v>48.7</v>
      </c>
      <c r="E677" s="27" t="n">
        <v>16.8</v>
      </c>
      <c r="F677" s="27" t="n">
        <v>30.2</v>
      </c>
      <c r="G677" s="27" t="n">
        <v>32.4</v>
      </c>
      <c r="H677" s="27" t="s">
        <v>198</v>
      </c>
      <c r="I677" s="42" t="n">
        <f aca="false">(D677-INDEX('Cohort Summary'!$D$5:$D$14,MATCH($A677,'Cohort Summary'!$A$5:$A$14,0)))/INDEX('Cohort Summary'!$E$5:$E$14,MATCH($A677,'Cohort Summary'!$A$5:$A$14,0))</f>
        <v>0.916932907348244</v>
      </c>
      <c r="J677" s="42" t="n">
        <f aca="false">(E677-INDEX('Cohort Summary'!$F$5:$F$14,MATCH($A677,'Cohort Summary'!$A$5:$A$14,0)))/INDEX('Cohort Summary'!$G$5:$G$14,MATCH($A677,'Cohort Summary'!$A$5:$A$14,0))</f>
        <v>-1.47150259067358</v>
      </c>
      <c r="K677" s="42" t="n">
        <f aca="false">(F677-INDEX('Cohort Summary'!$H$5:$H$14,MATCH($A677,'Cohort Summary'!$A$5:$A$14,0)))/INDEX('Cohort Summary'!$I$5:$I$14,MATCH($A677,'Cohort Summary'!$A$5:$A$14,0))</f>
        <v>-0.98993288590604</v>
      </c>
      <c r="L677" s="42" t="n">
        <f aca="false">(G677-INDEX('Cohort Summary'!$J$5:$J$14,MATCH($A677,'Cohort Summary'!$A$5:$A$14,0)))/INDEX('Cohort Summary'!$K$5:$K$14,MATCH($A677,'Cohort Summary'!$A$5:$A$14,0))</f>
        <v>-1.58620689655173</v>
      </c>
      <c r="M677" s="42" t="n">
        <f aca="false">MAX(I677:K677)</f>
        <v>0.916932907348244</v>
      </c>
      <c r="N677" s="27" t="s">
        <v>197</v>
      </c>
      <c r="O677" s="27"/>
      <c r="P677" s="27" t="str">
        <f aca="false">A677&amp;"|"&amp;N677</f>
        <v>NURSE-04|normal</v>
      </c>
    </row>
    <row r="678" customFormat="false" ht="15" hidden="false" customHeight="true" outlineLevel="0" collapsed="false">
      <c r="A678" s="27" t="s">
        <v>81</v>
      </c>
      <c r="B678" s="41" t="n">
        <v>46303.3180555556</v>
      </c>
      <c r="C678" s="27" t="s">
        <v>200</v>
      </c>
      <c r="D678" s="27" t="n">
        <v>42</v>
      </c>
      <c r="E678" s="27" t="n">
        <v>16.6</v>
      </c>
      <c r="F678" s="27" t="n">
        <v>35.5</v>
      </c>
      <c r="G678" s="27" t="n">
        <v>33.3</v>
      </c>
      <c r="H678" s="27" t="s">
        <v>198</v>
      </c>
      <c r="I678" s="42" t="n">
        <f aca="false">(D678-INDEX('Cohort Summary'!$D$5:$D$14,MATCH($A678,'Cohort Summary'!$A$5:$A$14,0)))/INDEX('Cohort Summary'!$E$5:$E$14,MATCH($A678,'Cohort Summary'!$A$5:$A$14,0))</f>
        <v>-1.22364217252396</v>
      </c>
      <c r="J678" s="42" t="n">
        <f aca="false">(E678-INDEX('Cohort Summary'!$F$5:$F$14,MATCH($A678,'Cohort Summary'!$A$5:$A$14,0)))/INDEX('Cohort Summary'!$G$5:$G$14,MATCH($A678,'Cohort Summary'!$A$5:$A$14,0))</f>
        <v>-1.57512953367876</v>
      </c>
      <c r="K678" s="42" t="n">
        <f aca="false">(F678-INDEX('Cohort Summary'!$H$5:$H$14,MATCH($A678,'Cohort Summary'!$A$5:$A$14,0)))/INDEX('Cohort Summary'!$I$5:$I$14,MATCH($A678,'Cohort Summary'!$A$5:$A$14,0))</f>
        <v>0.788590604026846</v>
      </c>
      <c r="L678" s="42" t="n">
        <f aca="false">(G678-INDEX('Cohort Summary'!$J$5:$J$14,MATCH($A678,'Cohort Summary'!$A$5:$A$14,0)))/INDEX('Cohort Summary'!$K$5:$K$14,MATCH($A678,'Cohort Summary'!$A$5:$A$14,0))</f>
        <v>-0.034482758620695</v>
      </c>
      <c r="M678" s="42" t="n">
        <f aca="false">MAX(I678:K678)</f>
        <v>0.788590604026846</v>
      </c>
      <c r="N678" s="27" t="s">
        <v>197</v>
      </c>
      <c r="O678" s="27"/>
      <c r="P678" s="27" t="str">
        <f aca="false">A678&amp;"|"&amp;N678</f>
        <v>NURSE-04|normal</v>
      </c>
    </row>
    <row r="679" customFormat="false" ht="15" hidden="false" customHeight="true" outlineLevel="0" collapsed="false">
      <c r="A679" s="27" t="s">
        <v>81</v>
      </c>
      <c r="B679" s="41" t="n">
        <v>46303.3184027778</v>
      </c>
      <c r="C679" s="27" t="s">
        <v>200</v>
      </c>
      <c r="D679" s="27" t="n">
        <v>49.2</v>
      </c>
      <c r="E679" s="27" t="n">
        <v>17.4</v>
      </c>
      <c r="F679" s="27" t="n">
        <v>31.4</v>
      </c>
      <c r="G679" s="27" t="n">
        <v>33.9</v>
      </c>
      <c r="H679" s="27" t="s">
        <v>196</v>
      </c>
      <c r="I679" s="42" t="n">
        <f aca="false">(D679-INDEX('Cohort Summary'!$D$5:$D$14,MATCH($A679,'Cohort Summary'!$A$5:$A$14,0)))/INDEX('Cohort Summary'!$E$5:$E$14,MATCH($A679,'Cohort Summary'!$A$5:$A$14,0))</f>
        <v>1.07667731629393</v>
      </c>
      <c r="J679" s="42" t="n">
        <f aca="false">(E679-INDEX('Cohort Summary'!$F$5:$F$14,MATCH($A679,'Cohort Summary'!$A$5:$A$14,0)))/INDEX('Cohort Summary'!$G$5:$G$14,MATCH($A679,'Cohort Summary'!$A$5:$A$14,0))</f>
        <v>-1.16062176165803</v>
      </c>
      <c r="K679" s="42" t="n">
        <f aca="false">(F679-INDEX('Cohort Summary'!$H$5:$H$14,MATCH($A679,'Cohort Summary'!$A$5:$A$14,0)))/INDEX('Cohort Summary'!$I$5:$I$14,MATCH($A679,'Cohort Summary'!$A$5:$A$14,0))</f>
        <v>-0.587248322147651</v>
      </c>
      <c r="L679" s="42" t="n">
        <f aca="false">(G679-INDEX('Cohort Summary'!$J$5:$J$14,MATCH($A679,'Cohort Summary'!$A$5:$A$14,0)))/INDEX('Cohort Summary'!$K$5:$K$14,MATCH($A679,'Cohort Summary'!$A$5:$A$14,0))</f>
        <v>0.999999999999997</v>
      </c>
      <c r="M679" s="42" t="n">
        <f aca="false">MAX(I679:K679)</f>
        <v>1.07667731629393</v>
      </c>
      <c r="N679" s="27" t="s">
        <v>197</v>
      </c>
      <c r="O679" s="27"/>
      <c r="P679" s="27" t="str">
        <f aca="false">A679&amp;"|"&amp;N679</f>
        <v>NURSE-04|normal</v>
      </c>
    </row>
    <row r="680" customFormat="false" ht="15" hidden="false" customHeight="true" outlineLevel="0" collapsed="false">
      <c r="A680" s="27" t="s">
        <v>81</v>
      </c>
      <c r="B680" s="41" t="n">
        <v>46303.31875</v>
      </c>
      <c r="C680" s="27" t="s">
        <v>200</v>
      </c>
      <c r="D680" s="27" t="n">
        <v>47.9</v>
      </c>
      <c r="E680" s="27" t="n">
        <v>18.9</v>
      </c>
      <c r="F680" s="27" t="n">
        <v>33.8</v>
      </c>
      <c r="G680" s="27" t="n">
        <v>34.2</v>
      </c>
      <c r="H680" s="27" t="s">
        <v>198</v>
      </c>
      <c r="I680" s="42" t="n">
        <f aca="false">(D680-INDEX('Cohort Summary'!$D$5:$D$14,MATCH($A680,'Cohort Summary'!$A$5:$A$14,0)))/INDEX('Cohort Summary'!$E$5:$E$14,MATCH($A680,'Cohort Summary'!$A$5:$A$14,0))</f>
        <v>0.661341853035144</v>
      </c>
      <c r="J680" s="42" t="n">
        <f aca="false">(E680-INDEX('Cohort Summary'!$F$5:$F$14,MATCH($A680,'Cohort Summary'!$A$5:$A$14,0)))/INDEX('Cohort Summary'!$G$5:$G$14,MATCH($A680,'Cohort Summary'!$A$5:$A$14,0))</f>
        <v>-0.383419689119172</v>
      </c>
      <c r="K680" s="42" t="n">
        <f aca="false">(F680-INDEX('Cohort Summary'!$H$5:$H$14,MATCH($A680,'Cohort Summary'!$A$5:$A$14,0)))/INDEX('Cohort Summary'!$I$5:$I$14,MATCH($A680,'Cohort Summary'!$A$5:$A$14,0))</f>
        <v>0.218120805369127</v>
      </c>
      <c r="L680" s="42" t="n">
        <f aca="false">(G680-INDEX('Cohort Summary'!$J$5:$J$14,MATCH($A680,'Cohort Summary'!$A$5:$A$14,0)))/INDEX('Cohort Summary'!$K$5:$K$14,MATCH($A680,'Cohort Summary'!$A$5:$A$14,0))</f>
        <v>1.51724137931035</v>
      </c>
      <c r="M680" s="42" t="n">
        <f aca="false">MAX(I680:K680)</f>
        <v>0.661341853035144</v>
      </c>
      <c r="N680" s="27" t="s">
        <v>197</v>
      </c>
      <c r="O680" s="27"/>
      <c r="P680" s="27" t="str">
        <f aca="false">A680&amp;"|"&amp;N680</f>
        <v>NURSE-04|normal</v>
      </c>
    </row>
    <row r="681" customFormat="false" ht="15" hidden="false" customHeight="true" outlineLevel="0" collapsed="false">
      <c r="A681" s="27" t="s">
        <v>81</v>
      </c>
      <c r="B681" s="41" t="n">
        <v>46303.3190972222</v>
      </c>
      <c r="C681" s="27" t="s">
        <v>200</v>
      </c>
      <c r="D681" s="27" t="n">
        <v>49.7</v>
      </c>
      <c r="E681" s="27" t="n">
        <v>17</v>
      </c>
      <c r="F681" s="27" t="n">
        <v>31.3</v>
      </c>
      <c r="G681" s="27" t="n">
        <v>33.2</v>
      </c>
      <c r="H681" s="27" t="s">
        <v>198</v>
      </c>
      <c r="I681" s="42" t="n">
        <f aca="false">(D681-INDEX('Cohort Summary'!$D$5:$D$14,MATCH($A681,'Cohort Summary'!$A$5:$A$14,0)))/INDEX('Cohort Summary'!$E$5:$E$14,MATCH($A681,'Cohort Summary'!$A$5:$A$14,0))</f>
        <v>1.23642172523962</v>
      </c>
      <c r="J681" s="42" t="n">
        <f aca="false">(E681-INDEX('Cohort Summary'!$F$5:$F$14,MATCH($A681,'Cohort Summary'!$A$5:$A$14,0)))/INDEX('Cohort Summary'!$G$5:$G$14,MATCH($A681,'Cohort Summary'!$A$5:$A$14,0))</f>
        <v>-1.36787564766839</v>
      </c>
      <c r="K681" s="42" t="n">
        <f aca="false">(F681-INDEX('Cohort Summary'!$H$5:$H$14,MATCH($A681,'Cohort Summary'!$A$5:$A$14,0)))/INDEX('Cohort Summary'!$I$5:$I$14,MATCH($A681,'Cohort Summary'!$A$5:$A$14,0))</f>
        <v>-0.620805369127516</v>
      </c>
      <c r="L681" s="42" t="n">
        <f aca="false">(G681-INDEX('Cohort Summary'!$J$5:$J$14,MATCH($A681,'Cohort Summary'!$A$5:$A$14,0)))/INDEX('Cohort Summary'!$K$5:$K$14,MATCH($A681,'Cohort Summary'!$A$5:$A$14,0))</f>
        <v>-0.206896551724134</v>
      </c>
      <c r="M681" s="42" t="n">
        <f aca="false">MAX(I681:K681)</f>
        <v>1.23642172523962</v>
      </c>
      <c r="N681" s="27" t="s">
        <v>197</v>
      </c>
      <c r="O681" s="27"/>
      <c r="P681" s="27" t="str">
        <f aca="false">A681&amp;"|"&amp;N681</f>
        <v>NURSE-04|normal</v>
      </c>
    </row>
    <row r="682" customFormat="false" ht="15" hidden="false" customHeight="true" outlineLevel="0" collapsed="false">
      <c r="A682" s="27" t="s">
        <v>81</v>
      </c>
      <c r="B682" s="41" t="n">
        <v>46303.3194444445</v>
      </c>
      <c r="C682" s="27" t="s">
        <v>200</v>
      </c>
      <c r="D682" s="27" t="n">
        <v>42.9</v>
      </c>
      <c r="E682" s="27" t="n">
        <v>19.8</v>
      </c>
      <c r="F682" s="27" t="n">
        <v>33.2</v>
      </c>
      <c r="G682" s="27" t="n">
        <v>32.4</v>
      </c>
      <c r="H682" s="27" t="s">
        <v>199</v>
      </c>
      <c r="I682" s="42" t="n">
        <f aca="false">(D682-INDEX('Cohort Summary'!$D$5:$D$14,MATCH($A682,'Cohort Summary'!$A$5:$A$14,0)))/INDEX('Cohort Summary'!$E$5:$E$14,MATCH($A682,'Cohort Summary'!$A$5:$A$14,0))</f>
        <v>-0.936102236421725</v>
      </c>
      <c r="J682" s="42" t="n">
        <f aca="false">(E682-INDEX('Cohort Summary'!$F$5:$F$14,MATCH($A682,'Cohort Summary'!$A$5:$A$14,0)))/INDEX('Cohort Summary'!$G$5:$G$14,MATCH($A682,'Cohort Summary'!$A$5:$A$14,0))</f>
        <v>0.0829015544041452</v>
      </c>
      <c r="K682" s="42" t="n">
        <f aca="false">(F682-INDEX('Cohort Summary'!$H$5:$H$14,MATCH($A682,'Cohort Summary'!$A$5:$A$14,0)))/INDEX('Cohort Summary'!$I$5:$I$14,MATCH($A682,'Cohort Summary'!$A$5:$A$14,0))</f>
        <v>0.0167785234899343</v>
      </c>
      <c r="L682" s="42" t="n">
        <f aca="false">(G682-INDEX('Cohort Summary'!$J$5:$J$14,MATCH($A682,'Cohort Summary'!$A$5:$A$14,0)))/INDEX('Cohort Summary'!$K$5:$K$14,MATCH($A682,'Cohort Summary'!$A$5:$A$14,0))</f>
        <v>-1.58620689655173</v>
      </c>
      <c r="M682" s="42" t="n">
        <f aca="false">MAX(I682:K682)</f>
        <v>0.0829015544041452</v>
      </c>
      <c r="N682" s="27" t="s">
        <v>197</v>
      </c>
      <c r="O682" s="27"/>
      <c r="P682" s="27" t="str">
        <f aca="false">A682&amp;"|"&amp;N682</f>
        <v>NURSE-04|normal</v>
      </c>
    </row>
    <row r="683" customFormat="false" ht="15" hidden="false" customHeight="true" outlineLevel="0" collapsed="false">
      <c r="A683" s="27" t="s">
        <v>81</v>
      </c>
      <c r="B683" s="41" t="n">
        <v>46303.3197916667</v>
      </c>
      <c r="C683" s="27" t="s">
        <v>200</v>
      </c>
      <c r="D683" s="27" t="n">
        <v>43.6</v>
      </c>
      <c r="E683" s="27" t="n">
        <v>22</v>
      </c>
      <c r="F683" s="27" t="n">
        <v>33.6</v>
      </c>
      <c r="G683" s="27" t="n">
        <v>33.2</v>
      </c>
      <c r="H683" s="27" t="s">
        <v>199</v>
      </c>
      <c r="I683" s="42" t="n">
        <f aca="false">(D683-INDEX('Cohort Summary'!$D$5:$D$14,MATCH($A683,'Cohort Summary'!$A$5:$A$14,0)))/INDEX('Cohort Summary'!$E$5:$E$14,MATCH($A683,'Cohort Summary'!$A$5:$A$14,0))</f>
        <v>-0.712460063897763</v>
      </c>
      <c r="J683" s="42" t="n">
        <f aca="false">(E683-INDEX('Cohort Summary'!$F$5:$F$14,MATCH($A683,'Cohort Summary'!$A$5:$A$14,0)))/INDEX('Cohort Summary'!$G$5:$G$14,MATCH($A683,'Cohort Summary'!$A$5:$A$14,0))</f>
        <v>1.22279792746114</v>
      </c>
      <c r="K683" s="42" t="n">
        <f aca="false">(F683-INDEX('Cohort Summary'!$H$5:$H$14,MATCH($A683,'Cohort Summary'!$A$5:$A$14,0)))/INDEX('Cohort Summary'!$I$5:$I$14,MATCH($A683,'Cohort Summary'!$A$5:$A$14,0))</f>
        <v>0.151006711409397</v>
      </c>
      <c r="L683" s="42" t="n">
        <f aca="false">(G683-INDEX('Cohort Summary'!$J$5:$J$14,MATCH($A683,'Cohort Summary'!$A$5:$A$14,0)))/INDEX('Cohort Summary'!$K$5:$K$14,MATCH($A683,'Cohort Summary'!$A$5:$A$14,0))</f>
        <v>-0.206896551724134</v>
      </c>
      <c r="M683" s="42" t="n">
        <f aca="false">MAX(I683:K683)</f>
        <v>1.22279792746114</v>
      </c>
      <c r="N683" s="27" t="s">
        <v>197</v>
      </c>
      <c r="O683" s="27"/>
      <c r="P683" s="27" t="str">
        <f aca="false">A683&amp;"|"&amp;N683</f>
        <v>NURSE-04|normal</v>
      </c>
    </row>
    <row r="684" customFormat="false" ht="15" hidden="false" customHeight="true" outlineLevel="0" collapsed="false">
      <c r="A684" s="27" t="s">
        <v>81</v>
      </c>
      <c r="B684" s="41" t="n">
        <v>46303.3201388889</v>
      </c>
      <c r="C684" s="27" t="s">
        <v>200</v>
      </c>
      <c r="D684" s="27" t="n">
        <v>47.8</v>
      </c>
      <c r="E684" s="27" t="n">
        <v>18.1</v>
      </c>
      <c r="F684" s="27" t="n">
        <v>30.5</v>
      </c>
      <c r="G684" s="27" t="n">
        <v>33</v>
      </c>
      <c r="H684" s="27" t="s">
        <v>199</v>
      </c>
      <c r="I684" s="42" t="n">
        <f aca="false">(D684-INDEX('Cohort Summary'!$D$5:$D$14,MATCH($A684,'Cohort Summary'!$A$5:$A$14,0)))/INDEX('Cohort Summary'!$E$5:$E$14,MATCH($A684,'Cohort Summary'!$A$5:$A$14,0))</f>
        <v>0.629392971246006</v>
      </c>
      <c r="J684" s="42" t="n">
        <f aca="false">(E684-INDEX('Cohort Summary'!$F$5:$F$14,MATCH($A684,'Cohort Summary'!$A$5:$A$14,0)))/INDEX('Cohort Summary'!$G$5:$G$14,MATCH($A684,'Cohort Summary'!$A$5:$A$14,0))</f>
        <v>-0.797927461139896</v>
      </c>
      <c r="K684" s="42" t="n">
        <f aca="false">(F684-INDEX('Cohort Summary'!$H$5:$H$14,MATCH($A684,'Cohort Summary'!$A$5:$A$14,0)))/INDEX('Cohort Summary'!$I$5:$I$14,MATCH($A684,'Cohort Summary'!$A$5:$A$14,0))</f>
        <v>-0.889261744966443</v>
      </c>
      <c r="L684" s="42" t="n">
        <f aca="false">(G684-INDEX('Cohort Summary'!$J$5:$J$14,MATCH($A684,'Cohort Summary'!$A$5:$A$14,0)))/INDEX('Cohort Summary'!$K$5:$K$14,MATCH($A684,'Cohort Summary'!$A$5:$A$14,0))</f>
        <v>-0.551724137931035</v>
      </c>
      <c r="M684" s="42" t="n">
        <f aca="false">MAX(I684:K684)</f>
        <v>0.629392971246006</v>
      </c>
      <c r="N684" s="27" t="s">
        <v>197</v>
      </c>
      <c r="O684" s="27"/>
      <c r="P684" s="27" t="str">
        <f aca="false">A684&amp;"|"&amp;N684</f>
        <v>NURSE-04|normal</v>
      </c>
    </row>
    <row r="685" customFormat="false" ht="15" hidden="false" customHeight="true" outlineLevel="0" collapsed="false">
      <c r="A685" s="27" t="s">
        <v>81</v>
      </c>
      <c r="B685" s="41" t="n">
        <v>46303.3204861111</v>
      </c>
      <c r="C685" s="27" t="s">
        <v>200</v>
      </c>
      <c r="D685" s="27" t="n">
        <v>49.6</v>
      </c>
      <c r="E685" s="27" t="n">
        <v>17.8</v>
      </c>
      <c r="F685" s="27" t="n">
        <v>30</v>
      </c>
      <c r="G685" s="27" t="n">
        <v>32.3</v>
      </c>
      <c r="H685" s="27" t="s">
        <v>196</v>
      </c>
      <c r="I685" s="42" t="n">
        <f aca="false">(D685-INDEX('Cohort Summary'!$D$5:$D$14,MATCH($A685,'Cohort Summary'!$A$5:$A$14,0)))/INDEX('Cohort Summary'!$E$5:$E$14,MATCH($A685,'Cohort Summary'!$A$5:$A$14,0))</f>
        <v>1.20447284345048</v>
      </c>
      <c r="J685" s="42" t="n">
        <f aca="false">(E685-INDEX('Cohort Summary'!$F$5:$F$14,MATCH($A685,'Cohort Summary'!$A$5:$A$14,0)))/INDEX('Cohort Summary'!$G$5:$G$14,MATCH($A685,'Cohort Summary'!$A$5:$A$14,0))</f>
        <v>-0.953367875647668</v>
      </c>
      <c r="K685" s="42" t="n">
        <f aca="false">(F685-INDEX('Cohort Summary'!$H$5:$H$14,MATCH($A685,'Cohort Summary'!$A$5:$A$14,0)))/INDEX('Cohort Summary'!$I$5:$I$14,MATCH($A685,'Cohort Summary'!$A$5:$A$14,0))</f>
        <v>-1.05704697986577</v>
      </c>
      <c r="L685" s="42" t="n">
        <f aca="false">(G685-INDEX('Cohort Summary'!$J$5:$J$14,MATCH($A685,'Cohort Summary'!$A$5:$A$14,0)))/INDEX('Cohort Summary'!$K$5:$K$14,MATCH($A685,'Cohort Summary'!$A$5:$A$14,0))</f>
        <v>-1.75862068965518</v>
      </c>
      <c r="M685" s="42" t="n">
        <f aca="false">MAX(I685:K685)</f>
        <v>1.20447284345048</v>
      </c>
      <c r="N685" s="27" t="s">
        <v>197</v>
      </c>
      <c r="O685" s="27"/>
      <c r="P685" s="27" t="str">
        <f aca="false">A685&amp;"|"&amp;N685</f>
        <v>NURSE-04|normal</v>
      </c>
    </row>
    <row r="686" customFormat="false" ht="15" hidden="false" customHeight="true" outlineLevel="0" collapsed="false">
      <c r="A686" s="27" t="s">
        <v>81</v>
      </c>
      <c r="B686" s="41" t="n">
        <v>46303.3208333333</v>
      </c>
      <c r="C686" s="27" t="s">
        <v>200</v>
      </c>
      <c r="D686" s="27" t="n">
        <v>47.5</v>
      </c>
      <c r="E686" s="27" t="n">
        <v>22.5</v>
      </c>
      <c r="F686" s="27" t="n">
        <v>34.6</v>
      </c>
      <c r="G686" s="27" t="n">
        <v>33.6</v>
      </c>
      <c r="H686" s="27" t="s">
        <v>198</v>
      </c>
      <c r="I686" s="42" t="n">
        <f aca="false">(D686-INDEX('Cohort Summary'!$D$5:$D$14,MATCH($A686,'Cohort Summary'!$A$5:$A$14,0)))/INDEX('Cohort Summary'!$E$5:$E$14,MATCH($A686,'Cohort Summary'!$A$5:$A$14,0))</f>
        <v>0.533546325878595</v>
      </c>
      <c r="J686" s="42" t="n">
        <f aca="false">(E686-INDEX('Cohort Summary'!$F$5:$F$14,MATCH($A686,'Cohort Summary'!$A$5:$A$14,0)))/INDEX('Cohort Summary'!$G$5:$G$14,MATCH($A686,'Cohort Summary'!$A$5:$A$14,0))</f>
        <v>1.48186528497409</v>
      </c>
      <c r="K686" s="42" t="n">
        <f aca="false">(F686-INDEX('Cohort Summary'!$H$5:$H$14,MATCH($A686,'Cohort Summary'!$A$5:$A$14,0)))/INDEX('Cohort Summary'!$I$5:$I$14,MATCH($A686,'Cohort Summary'!$A$5:$A$14,0))</f>
        <v>0.486577181208055</v>
      </c>
      <c r="L686" s="42" t="n">
        <f aca="false">(G686-INDEX('Cohort Summary'!$J$5:$J$14,MATCH($A686,'Cohort Summary'!$A$5:$A$14,0)))/INDEX('Cohort Summary'!$K$5:$K$14,MATCH($A686,'Cohort Summary'!$A$5:$A$14,0))</f>
        <v>0.482758620689657</v>
      </c>
      <c r="M686" s="42" t="n">
        <f aca="false">MAX(I686:K686)</f>
        <v>1.48186528497409</v>
      </c>
      <c r="N686" s="27" t="s">
        <v>197</v>
      </c>
      <c r="O686" s="27"/>
      <c r="P686" s="27" t="str">
        <f aca="false">A686&amp;"|"&amp;N686</f>
        <v>NURSE-04|normal</v>
      </c>
    </row>
    <row r="687" customFormat="false" ht="15" hidden="false" customHeight="true" outlineLevel="0" collapsed="false">
      <c r="A687" s="27" t="s">
        <v>81</v>
      </c>
      <c r="B687" s="41" t="n">
        <v>46303.3211805556</v>
      </c>
      <c r="C687" s="27" t="s">
        <v>200</v>
      </c>
      <c r="D687" s="27" t="n">
        <v>44.7</v>
      </c>
      <c r="E687" s="27" t="n">
        <v>21.6</v>
      </c>
      <c r="F687" s="27" t="n">
        <v>30</v>
      </c>
      <c r="G687" s="27" t="n">
        <v>34</v>
      </c>
      <c r="H687" s="27" t="s">
        <v>196</v>
      </c>
      <c r="I687" s="42" t="n">
        <f aca="false">(D687-INDEX('Cohort Summary'!$D$5:$D$14,MATCH($A687,'Cohort Summary'!$A$5:$A$14,0)))/INDEX('Cohort Summary'!$E$5:$E$14,MATCH($A687,'Cohort Summary'!$A$5:$A$14,0))</f>
        <v>-0.361022364217251</v>
      </c>
      <c r="J687" s="42" t="n">
        <f aca="false">(E687-INDEX('Cohort Summary'!$F$5:$F$14,MATCH($A687,'Cohort Summary'!$A$5:$A$14,0)))/INDEX('Cohort Summary'!$G$5:$G$14,MATCH($A687,'Cohort Summary'!$A$5:$A$14,0))</f>
        <v>1.01554404145078</v>
      </c>
      <c r="K687" s="42" t="n">
        <f aca="false">(F687-INDEX('Cohort Summary'!$H$5:$H$14,MATCH($A687,'Cohort Summary'!$A$5:$A$14,0)))/INDEX('Cohort Summary'!$I$5:$I$14,MATCH($A687,'Cohort Summary'!$A$5:$A$14,0))</f>
        <v>-1.05704697986577</v>
      </c>
      <c r="L687" s="42" t="n">
        <f aca="false">(G687-INDEX('Cohort Summary'!$J$5:$J$14,MATCH($A687,'Cohort Summary'!$A$5:$A$14,0)))/INDEX('Cohort Summary'!$K$5:$K$14,MATCH($A687,'Cohort Summary'!$A$5:$A$14,0))</f>
        <v>1.17241379310345</v>
      </c>
      <c r="M687" s="42" t="n">
        <f aca="false">MAX(I687:K687)</f>
        <v>1.01554404145078</v>
      </c>
      <c r="N687" s="27" t="s">
        <v>197</v>
      </c>
      <c r="O687" s="27"/>
      <c r="P687" s="27" t="str">
        <f aca="false">A687&amp;"|"&amp;N687</f>
        <v>NURSE-04|normal</v>
      </c>
    </row>
    <row r="688" customFormat="false" ht="15" hidden="false" customHeight="true" outlineLevel="0" collapsed="false">
      <c r="A688" s="27" t="s">
        <v>81</v>
      </c>
      <c r="B688" s="41" t="n">
        <v>46303.3215277778</v>
      </c>
      <c r="C688" s="27" t="s">
        <v>200</v>
      </c>
      <c r="D688" s="27" t="n">
        <v>47.6</v>
      </c>
      <c r="E688" s="27" t="n">
        <v>21.1</v>
      </c>
      <c r="F688" s="27" t="n">
        <v>28.1</v>
      </c>
      <c r="G688" s="27" t="n">
        <v>32.3</v>
      </c>
      <c r="H688" s="27" t="s">
        <v>196</v>
      </c>
      <c r="I688" s="42" t="n">
        <f aca="false">(D688-INDEX('Cohort Summary'!$D$5:$D$14,MATCH($A688,'Cohort Summary'!$A$5:$A$14,0)))/INDEX('Cohort Summary'!$E$5:$E$14,MATCH($A688,'Cohort Summary'!$A$5:$A$14,0))</f>
        <v>0.565495207667733</v>
      </c>
      <c r="J688" s="42" t="n">
        <f aca="false">(E688-INDEX('Cohort Summary'!$F$5:$F$14,MATCH($A688,'Cohort Summary'!$A$5:$A$14,0)))/INDEX('Cohort Summary'!$G$5:$G$14,MATCH($A688,'Cohort Summary'!$A$5:$A$14,0))</f>
        <v>0.756476683937824</v>
      </c>
      <c r="K688" s="42" t="n">
        <f aca="false">(F688-INDEX('Cohort Summary'!$H$5:$H$14,MATCH($A688,'Cohort Summary'!$A$5:$A$14,0)))/INDEX('Cohort Summary'!$I$5:$I$14,MATCH($A688,'Cohort Summary'!$A$5:$A$14,0))</f>
        <v>-1.69463087248322</v>
      </c>
      <c r="L688" s="42" t="n">
        <f aca="false">(G688-INDEX('Cohort Summary'!$J$5:$J$14,MATCH($A688,'Cohort Summary'!$A$5:$A$14,0)))/INDEX('Cohort Summary'!$K$5:$K$14,MATCH($A688,'Cohort Summary'!$A$5:$A$14,0))</f>
        <v>-1.75862068965518</v>
      </c>
      <c r="M688" s="42" t="n">
        <f aca="false">MAX(I688:K688)</f>
        <v>0.756476683937824</v>
      </c>
      <c r="N688" s="27" t="s">
        <v>197</v>
      </c>
      <c r="O688" s="27"/>
      <c r="P688" s="27" t="str">
        <f aca="false">A688&amp;"|"&amp;N688</f>
        <v>NURSE-04|normal</v>
      </c>
    </row>
    <row r="689" customFormat="false" ht="15" hidden="false" customHeight="true" outlineLevel="0" collapsed="false">
      <c r="A689" s="27" t="s">
        <v>81</v>
      </c>
      <c r="B689" s="41" t="n">
        <v>46303.321875</v>
      </c>
      <c r="C689" s="27" t="s">
        <v>200</v>
      </c>
      <c r="D689" s="27" t="n">
        <v>49.2</v>
      </c>
      <c r="E689" s="27" t="n">
        <v>16.2</v>
      </c>
      <c r="F689" s="27" t="n">
        <v>30.2</v>
      </c>
      <c r="G689" s="27" t="n">
        <v>33.1</v>
      </c>
      <c r="H689" s="27" t="s">
        <v>198</v>
      </c>
      <c r="I689" s="42" t="n">
        <f aca="false">(D689-INDEX('Cohort Summary'!$D$5:$D$14,MATCH($A689,'Cohort Summary'!$A$5:$A$14,0)))/INDEX('Cohort Summary'!$E$5:$E$14,MATCH($A689,'Cohort Summary'!$A$5:$A$14,0))</f>
        <v>1.07667731629393</v>
      </c>
      <c r="J689" s="42" t="n">
        <f aca="false">(E689-INDEX('Cohort Summary'!$F$5:$F$14,MATCH($A689,'Cohort Summary'!$A$5:$A$14,0)))/INDEX('Cohort Summary'!$G$5:$G$14,MATCH($A689,'Cohort Summary'!$A$5:$A$14,0))</f>
        <v>-1.78238341968912</v>
      </c>
      <c r="K689" s="42" t="n">
        <f aca="false">(F689-INDEX('Cohort Summary'!$H$5:$H$14,MATCH($A689,'Cohort Summary'!$A$5:$A$14,0)))/INDEX('Cohort Summary'!$I$5:$I$14,MATCH($A689,'Cohort Summary'!$A$5:$A$14,0))</f>
        <v>-0.98993288590604</v>
      </c>
      <c r="L689" s="42" t="n">
        <f aca="false">(G689-INDEX('Cohort Summary'!$J$5:$J$14,MATCH($A689,'Cohort Summary'!$A$5:$A$14,0)))/INDEX('Cohort Summary'!$K$5:$K$14,MATCH($A689,'Cohort Summary'!$A$5:$A$14,0))</f>
        <v>-0.379310344827584</v>
      </c>
      <c r="M689" s="42" t="n">
        <f aca="false">MAX(I689:K689)</f>
        <v>1.07667731629393</v>
      </c>
      <c r="N689" s="27" t="s">
        <v>197</v>
      </c>
      <c r="O689" s="27"/>
      <c r="P689" s="27" t="str">
        <f aca="false">A689&amp;"|"&amp;N689</f>
        <v>NURSE-04|normal</v>
      </c>
    </row>
    <row r="690" customFormat="false" ht="15" hidden="false" customHeight="true" outlineLevel="0" collapsed="false">
      <c r="A690" s="27" t="s">
        <v>81</v>
      </c>
      <c r="B690" s="41" t="n">
        <v>46303.3222222222</v>
      </c>
      <c r="C690" s="27" t="s">
        <v>200</v>
      </c>
      <c r="D690" s="27" t="n">
        <v>48.1</v>
      </c>
      <c r="E690" s="27" t="n">
        <v>21.6</v>
      </c>
      <c r="F690" s="27" t="n">
        <v>33.9</v>
      </c>
      <c r="G690" s="27" t="n">
        <v>33.1</v>
      </c>
      <c r="H690" s="27" t="s">
        <v>196</v>
      </c>
      <c r="I690" s="42" t="n">
        <f aca="false">(D690-INDEX('Cohort Summary'!$D$5:$D$14,MATCH($A690,'Cohort Summary'!$A$5:$A$14,0)))/INDEX('Cohort Summary'!$E$5:$E$14,MATCH($A690,'Cohort Summary'!$A$5:$A$14,0))</f>
        <v>0.72523961661342</v>
      </c>
      <c r="J690" s="42" t="n">
        <f aca="false">(E690-INDEX('Cohort Summary'!$F$5:$F$14,MATCH($A690,'Cohort Summary'!$A$5:$A$14,0)))/INDEX('Cohort Summary'!$G$5:$G$14,MATCH($A690,'Cohort Summary'!$A$5:$A$14,0))</f>
        <v>1.01554404145078</v>
      </c>
      <c r="K690" s="42" t="n">
        <f aca="false">(F690-INDEX('Cohort Summary'!$H$5:$H$14,MATCH($A690,'Cohort Summary'!$A$5:$A$14,0)))/INDEX('Cohort Summary'!$I$5:$I$14,MATCH($A690,'Cohort Summary'!$A$5:$A$14,0))</f>
        <v>0.251677852348993</v>
      </c>
      <c r="L690" s="42" t="n">
        <f aca="false">(G690-INDEX('Cohort Summary'!$J$5:$J$14,MATCH($A690,'Cohort Summary'!$A$5:$A$14,0)))/INDEX('Cohort Summary'!$K$5:$K$14,MATCH($A690,'Cohort Summary'!$A$5:$A$14,0))</f>
        <v>-0.379310344827584</v>
      </c>
      <c r="M690" s="42" t="n">
        <f aca="false">MAX(I690:K690)</f>
        <v>1.01554404145078</v>
      </c>
      <c r="N690" s="27" t="s">
        <v>197</v>
      </c>
      <c r="O690" s="27"/>
      <c r="P690" s="27" t="str">
        <f aca="false">A690&amp;"|"&amp;N690</f>
        <v>NURSE-04|normal</v>
      </c>
    </row>
    <row r="691" customFormat="false" ht="15" hidden="false" customHeight="true" outlineLevel="0" collapsed="false">
      <c r="A691" s="27" t="s">
        <v>81</v>
      </c>
      <c r="B691" s="41" t="n">
        <v>46303.3225694444</v>
      </c>
      <c r="C691" s="27" t="s">
        <v>200</v>
      </c>
      <c r="D691" s="27" t="n">
        <v>45.4</v>
      </c>
      <c r="E691" s="27" t="n">
        <v>22.1</v>
      </c>
      <c r="F691" s="27" t="n">
        <v>28.6</v>
      </c>
      <c r="G691" s="27" t="n">
        <v>33.1</v>
      </c>
      <c r="H691" s="27" t="s">
        <v>196</v>
      </c>
      <c r="I691" s="42" t="n">
        <f aca="false">(D691-INDEX('Cohort Summary'!$D$5:$D$14,MATCH($A691,'Cohort Summary'!$A$5:$A$14,0)))/INDEX('Cohort Summary'!$E$5:$E$14,MATCH($A691,'Cohort Summary'!$A$5:$A$14,0))</f>
        <v>-0.137380191693291</v>
      </c>
      <c r="J691" s="42" t="n">
        <f aca="false">(E691-INDEX('Cohort Summary'!$F$5:$F$14,MATCH($A691,'Cohort Summary'!$A$5:$A$14,0)))/INDEX('Cohort Summary'!$G$5:$G$14,MATCH($A691,'Cohort Summary'!$A$5:$A$14,0))</f>
        <v>1.27461139896373</v>
      </c>
      <c r="K691" s="42" t="n">
        <f aca="false">(F691-INDEX('Cohort Summary'!$H$5:$H$14,MATCH($A691,'Cohort Summary'!$A$5:$A$14,0)))/INDEX('Cohort Summary'!$I$5:$I$14,MATCH($A691,'Cohort Summary'!$A$5:$A$14,0))</f>
        <v>-1.52684563758389</v>
      </c>
      <c r="L691" s="42" t="n">
        <f aca="false">(G691-INDEX('Cohort Summary'!$J$5:$J$14,MATCH($A691,'Cohort Summary'!$A$5:$A$14,0)))/INDEX('Cohort Summary'!$K$5:$K$14,MATCH($A691,'Cohort Summary'!$A$5:$A$14,0))</f>
        <v>-0.379310344827584</v>
      </c>
      <c r="M691" s="42" t="n">
        <f aca="false">MAX(I691:K691)</f>
        <v>1.27461139896373</v>
      </c>
      <c r="N691" s="27" t="s">
        <v>197</v>
      </c>
      <c r="O691" s="27"/>
      <c r="P691" s="27" t="str">
        <f aca="false">A691&amp;"|"&amp;N691</f>
        <v>NURSE-04|normal</v>
      </c>
    </row>
    <row r="692" customFormat="false" ht="15" hidden="false" customHeight="true" outlineLevel="0" collapsed="false">
      <c r="A692" s="27" t="s">
        <v>81</v>
      </c>
      <c r="B692" s="41" t="n">
        <v>46303.3229166667</v>
      </c>
      <c r="C692" s="27" t="s">
        <v>200</v>
      </c>
      <c r="D692" s="27" t="n">
        <v>42.2</v>
      </c>
      <c r="E692" s="27" t="n">
        <v>17</v>
      </c>
      <c r="F692" s="27" t="n">
        <v>36.8</v>
      </c>
      <c r="G692" s="27" t="n">
        <v>33.8</v>
      </c>
      <c r="H692" s="27" t="s">
        <v>199</v>
      </c>
      <c r="I692" s="42" t="n">
        <f aca="false">(D692-INDEX('Cohort Summary'!$D$5:$D$14,MATCH($A692,'Cohort Summary'!$A$5:$A$14,0)))/INDEX('Cohort Summary'!$E$5:$E$14,MATCH($A692,'Cohort Summary'!$A$5:$A$14,0))</f>
        <v>-1.15974440894569</v>
      </c>
      <c r="J692" s="42" t="n">
        <f aca="false">(E692-INDEX('Cohort Summary'!$F$5:$F$14,MATCH($A692,'Cohort Summary'!$A$5:$A$14,0)))/INDEX('Cohort Summary'!$G$5:$G$14,MATCH($A692,'Cohort Summary'!$A$5:$A$14,0))</f>
        <v>-1.36787564766839</v>
      </c>
      <c r="K692" s="42" t="n">
        <f aca="false">(F692-INDEX('Cohort Summary'!$H$5:$H$14,MATCH($A692,'Cohort Summary'!$A$5:$A$14,0)))/INDEX('Cohort Summary'!$I$5:$I$14,MATCH($A692,'Cohort Summary'!$A$5:$A$14,0))</f>
        <v>1.2248322147651</v>
      </c>
      <c r="L692" s="42" t="n">
        <f aca="false">(G692-INDEX('Cohort Summary'!$J$5:$J$14,MATCH($A692,'Cohort Summary'!$A$5:$A$14,0)))/INDEX('Cohort Summary'!$K$5:$K$14,MATCH($A692,'Cohort Summary'!$A$5:$A$14,0))</f>
        <v>0.827586206896546</v>
      </c>
      <c r="M692" s="42" t="n">
        <f aca="false">MAX(I692:K692)</f>
        <v>1.2248322147651</v>
      </c>
      <c r="N692" s="27" t="s">
        <v>197</v>
      </c>
      <c r="O692" s="27"/>
      <c r="P692" s="27" t="str">
        <f aca="false">A692&amp;"|"&amp;N692</f>
        <v>NURSE-04|normal</v>
      </c>
    </row>
    <row r="693" customFormat="false" ht="15" hidden="false" customHeight="true" outlineLevel="0" collapsed="false">
      <c r="A693" s="27" t="s">
        <v>81</v>
      </c>
      <c r="B693" s="41" t="n">
        <v>46303.3232638889</v>
      </c>
      <c r="C693" s="27" t="s">
        <v>200</v>
      </c>
      <c r="D693" s="27" t="n">
        <v>42.8</v>
      </c>
      <c r="E693" s="27" t="n">
        <v>22.5</v>
      </c>
      <c r="F693" s="27" t="n">
        <v>33.6</v>
      </c>
      <c r="G693" s="27" t="n">
        <v>33.8</v>
      </c>
      <c r="H693" s="27" t="s">
        <v>199</v>
      </c>
      <c r="I693" s="42" t="n">
        <f aca="false">(D693-INDEX('Cohort Summary'!$D$5:$D$14,MATCH($A693,'Cohort Summary'!$A$5:$A$14,0)))/INDEX('Cohort Summary'!$E$5:$E$14,MATCH($A693,'Cohort Summary'!$A$5:$A$14,0))</f>
        <v>-0.968051118210863</v>
      </c>
      <c r="J693" s="42" t="n">
        <f aca="false">(E693-INDEX('Cohort Summary'!$F$5:$F$14,MATCH($A693,'Cohort Summary'!$A$5:$A$14,0)))/INDEX('Cohort Summary'!$G$5:$G$14,MATCH($A693,'Cohort Summary'!$A$5:$A$14,0))</f>
        <v>1.48186528497409</v>
      </c>
      <c r="K693" s="42" t="n">
        <f aca="false">(F693-INDEX('Cohort Summary'!$H$5:$H$14,MATCH($A693,'Cohort Summary'!$A$5:$A$14,0)))/INDEX('Cohort Summary'!$I$5:$I$14,MATCH($A693,'Cohort Summary'!$A$5:$A$14,0))</f>
        <v>0.151006711409397</v>
      </c>
      <c r="L693" s="42" t="n">
        <f aca="false">(G693-INDEX('Cohort Summary'!$J$5:$J$14,MATCH($A693,'Cohort Summary'!$A$5:$A$14,0)))/INDEX('Cohort Summary'!$K$5:$K$14,MATCH($A693,'Cohort Summary'!$A$5:$A$14,0))</f>
        <v>0.827586206896546</v>
      </c>
      <c r="M693" s="42" t="n">
        <f aca="false">MAX(I693:K693)</f>
        <v>1.48186528497409</v>
      </c>
      <c r="N693" s="27" t="s">
        <v>197</v>
      </c>
      <c r="O693" s="27"/>
      <c r="P693" s="27" t="str">
        <f aca="false">A693&amp;"|"&amp;N693</f>
        <v>NURSE-04|normal</v>
      </c>
    </row>
    <row r="694" customFormat="false" ht="15" hidden="false" customHeight="true" outlineLevel="0" collapsed="false">
      <c r="A694" s="27" t="s">
        <v>81</v>
      </c>
      <c r="B694" s="41" t="n">
        <v>46303.3236111111</v>
      </c>
      <c r="C694" s="27" t="s">
        <v>200</v>
      </c>
      <c r="D694" s="27" t="n">
        <v>43.2</v>
      </c>
      <c r="E694" s="27" t="n">
        <v>21</v>
      </c>
      <c r="F694" s="27" t="n">
        <v>35.5</v>
      </c>
      <c r="G694" s="27" t="n">
        <v>33.8</v>
      </c>
      <c r="H694" s="27" t="s">
        <v>196</v>
      </c>
      <c r="I694" s="42" t="n">
        <f aca="false">(D694-INDEX('Cohort Summary'!$D$5:$D$14,MATCH($A694,'Cohort Summary'!$A$5:$A$14,0)))/INDEX('Cohort Summary'!$E$5:$E$14,MATCH($A694,'Cohort Summary'!$A$5:$A$14,0))</f>
        <v>-0.840255591054312</v>
      </c>
      <c r="J694" s="42" t="n">
        <f aca="false">(E694-INDEX('Cohort Summary'!$F$5:$F$14,MATCH($A694,'Cohort Summary'!$A$5:$A$14,0)))/INDEX('Cohort Summary'!$G$5:$G$14,MATCH($A694,'Cohort Summary'!$A$5:$A$14,0))</f>
        <v>0.704663212435233</v>
      </c>
      <c r="K694" s="42" t="n">
        <f aca="false">(F694-INDEX('Cohort Summary'!$H$5:$H$14,MATCH($A694,'Cohort Summary'!$A$5:$A$14,0)))/INDEX('Cohort Summary'!$I$5:$I$14,MATCH($A694,'Cohort Summary'!$A$5:$A$14,0))</f>
        <v>0.788590604026846</v>
      </c>
      <c r="L694" s="42" t="n">
        <f aca="false">(G694-INDEX('Cohort Summary'!$J$5:$J$14,MATCH($A694,'Cohort Summary'!$A$5:$A$14,0)))/INDEX('Cohort Summary'!$K$5:$K$14,MATCH($A694,'Cohort Summary'!$A$5:$A$14,0))</f>
        <v>0.827586206896546</v>
      </c>
      <c r="M694" s="42" t="n">
        <f aca="false">MAX(I694:K694)</f>
        <v>0.788590604026846</v>
      </c>
      <c r="N694" s="27" t="s">
        <v>197</v>
      </c>
      <c r="O694" s="27"/>
      <c r="P694" s="27" t="str">
        <f aca="false">A694&amp;"|"&amp;N694</f>
        <v>NURSE-04|normal</v>
      </c>
    </row>
    <row r="695" customFormat="false" ht="15" hidden="false" customHeight="true" outlineLevel="0" collapsed="false">
      <c r="A695" s="27" t="s">
        <v>81</v>
      </c>
      <c r="B695" s="41" t="n">
        <v>46303.3239583333</v>
      </c>
      <c r="C695" s="27" t="s">
        <v>200</v>
      </c>
      <c r="D695" s="27" t="n">
        <v>49.4</v>
      </c>
      <c r="E695" s="27" t="n">
        <v>17</v>
      </c>
      <c r="F695" s="27" t="n">
        <v>37.2</v>
      </c>
      <c r="G695" s="27" t="n">
        <v>32.6</v>
      </c>
      <c r="H695" s="27" t="s">
        <v>198</v>
      </c>
      <c r="I695" s="42" t="n">
        <f aca="false">(D695-INDEX('Cohort Summary'!$D$5:$D$14,MATCH($A695,'Cohort Summary'!$A$5:$A$14,0)))/INDEX('Cohort Summary'!$E$5:$E$14,MATCH($A695,'Cohort Summary'!$A$5:$A$14,0))</f>
        <v>1.1405750798722</v>
      </c>
      <c r="J695" s="42" t="n">
        <f aca="false">(E695-INDEX('Cohort Summary'!$F$5:$F$14,MATCH($A695,'Cohort Summary'!$A$5:$A$14,0)))/INDEX('Cohort Summary'!$G$5:$G$14,MATCH($A695,'Cohort Summary'!$A$5:$A$14,0))</f>
        <v>-1.36787564766839</v>
      </c>
      <c r="K695" s="42" t="n">
        <f aca="false">(F695-INDEX('Cohort Summary'!$H$5:$H$14,MATCH($A695,'Cohort Summary'!$A$5:$A$14,0)))/INDEX('Cohort Summary'!$I$5:$I$14,MATCH($A695,'Cohort Summary'!$A$5:$A$14,0))</f>
        <v>1.35906040268457</v>
      </c>
      <c r="L695" s="42" t="n">
        <f aca="false">(G695-INDEX('Cohort Summary'!$J$5:$J$14,MATCH($A695,'Cohort Summary'!$A$5:$A$14,0)))/INDEX('Cohort Summary'!$K$5:$K$14,MATCH($A695,'Cohort Summary'!$A$5:$A$14,0))</f>
        <v>-1.24137931034483</v>
      </c>
      <c r="M695" s="42" t="n">
        <f aca="false">MAX(I695:K695)</f>
        <v>1.35906040268457</v>
      </c>
      <c r="N695" s="27" t="s">
        <v>197</v>
      </c>
      <c r="O695" s="27"/>
      <c r="P695" s="27" t="str">
        <f aca="false">A695&amp;"|"&amp;N695</f>
        <v>NURSE-04|normal</v>
      </c>
    </row>
    <row r="696" customFormat="false" ht="15" hidden="false" customHeight="true" outlineLevel="0" collapsed="false">
      <c r="A696" s="27" t="s">
        <v>81</v>
      </c>
      <c r="B696" s="41" t="n">
        <v>46303.3243055556</v>
      </c>
      <c r="C696" s="27" t="s">
        <v>200</v>
      </c>
      <c r="D696" s="27" t="n">
        <v>45.7</v>
      </c>
      <c r="E696" s="27" t="n">
        <v>17.4</v>
      </c>
      <c r="F696" s="27" t="n">
        <v>28.9</v>
      </c>
      <c r="G696" s="27" t="n">
        <v>32.3</v>
      </c>
      <c r="H696" s="27" t="s">
        <v>198</v>
      </c>
      <c r="I696" s="42" t="n">
        <f aca="false">(D696-INDEX('Cohort Summary'!$D$5:$D$14,MATCH($A696,'Cohort Summary'!$A$5:$A$14,0)))/INDEX('Cohort Summary'!$E$5:$E$14,MATCH($A696,'Cohort Summary'!$A$5:$A$14,0))</f>
        <v>-0.0415335463258771</v>
      </c>
      <c r="J696" s="42" t="n">
        <f aca="false">(E696-INDEX('Cohort Summary'!$F$5:$F$14,MATCH($A696,'Cohort Summary'!$A$5:$A$14,0)))/INDEX('Cohort Summary'!$G$5:$G$14,MATCH($A696,'Cohort Summary'!$A$5:$A$14,0))</f>
        <v>-1.16062176165803</v>
      </c>
      <c r="K696" s="42" t="n">
        <f aca="false">(F696-INDEX('Cohort Summary'!$H$5:$H$14,MATCH($A696,'Cohort Summary'!$A$5:$A$14,0)))/INDEX('Cohort Summary'!$I$5:$I$14,MATCH($A696,'Cohort Summary'!$A$5:$A$14,0))</f>
        <v>-1.4261744966443</v>
      </c>
      <c r="L696" s="42" t="n">
        <f aca="false">(G696-INDEX('Cohort Summary'!$J$5:$J$14,MATCH($A696,'Cohort Summary'!$A$5:$A$14,0)))/INDEX('Cohort Summary'!$K$5:$K$14,MATCH($A696,'Cohort Summary'!$A$5:$A$14,0))</f>
        <v>-1.75862068965518</v>
      </c>
      <c r="M696" s="42" t="n">
        <f aca="false">MAX(I696:K696)</f>
        <v>-0.0415335463258771</v>
      </c>
      <c r="N696" s="27" t="s">
        <v>197</v>
      </c>
      <c r="O696" s="27"/>
      <c r="P696" s="27" t="str">
        <f aca="false">A696&amp;"|"&amp;N696</f>
        <v>NURSE-04|normal</v>
      </c>
    </row>
    <row r="697" customFormat="false" ht="15" hidden="false" customHeight="true" outlineLevel="0" collapsed="false">
      <c r="A697" s="27" t="s">
        <v>81</v>
      </c>
      <c r="B697" s="41" t="n">
        <v>46303.3246527778</v>
      </c>
      <c r="C697" s="27" t="s">
        <v>200</v>
      </c>
      <c r="D697" s="27" t="n">
        <v>47.6</v>
      </c>
      <c r="E697" s="27" t="n">
        <v>17.8</v>
      </c>
      <c r="F697" s="27" t="n">
        <v>37.1</v>
      </c>
      <c r="G697" s="27" t="n">
        <v>33.6</v>
      </c>
      <c r="H697" s="27" t="s">
        <v>198</v>
      </c>
      <c r="I697" s="42" t="n">
        <f aca="false">(D697-INDEX('Cohort Summary'!$D$5:$D$14,MATCH($A697,'Cohort Summary'!$A$5:$A$14,0)))/INDEX('Cohort Summary'!$E$5:$E$14,MATCH($A697,'Cohort Summary'!$A$5:$A$14,0))</f>
        <v>0.565495207667733</v>
      </c>
      <c r="J697" s="42" t="n">
        <f aca="false">(E697-INDEX('Cohort Summary'!$F$5:$F$14,MATCH($A697,'Cohort Summary'!$A$5:$A$14,0)))/INDEX('Cohort Summary'!$G$5:$G$14,MATCH($A697,'Cohort Summary'!$A$5:$A$14,0))</f>
        <v>-0.953367875647668</v>
      </c>
      <c r="K697" s="42" t="n">
        <f aca="false">(F697-INDEX('Cohort Summary'!$H$5:$H$14,MATCH($A697,'Cohort Summary'!$A$5:$A$14,0)))/INDEX('Cohort Summary'!$I$5:$I$14,MATCH($A697,'Cohort Summary'!$A$5:$A$14,0))</f>
        <v>1.3255033557047</v>
      </c>
      <c r="L697" s="42" t="n">
        <f aca="false">(G697-INDEX('Cohort Summary'!$J$5:$J$14,MATCH($A697,'Cohort Summary'!$A$5:$A$14,0)))/INDEX('Cohort Summary'!$K$5:$K$14,MATCH($A697,'Cohort Summary'!$A$5:$A$14,0))</f>
        <v>0.482758620689657</v>
      </c>
      <c r="M697" s="42" t="n">
        <f aca="false">MAX(I697:K697)</f>
        <v>1.3255033557047</v>
      </c>
      <c r="N697" s="27" t="s">
        <v>197</v>
      </c>
      <c r="O697" s="27"/>
      <c r="P697" s="27" t="str">
        <f aca="false">A697&amp;"|"&amp;N697</f>
        <v>NURSE-04|normal</v>
      </c>
    </row>
    <row r="698" customFormat="false" ht="15" hidden="false" customHeight="true" outlineLevel="0" collapsed="false">
      <c r="A698" s="27" t="s">
        <v>81</v>
      </c>
      <c r="B698" s="41" t="n">
        <v>46303.325</v>
      </c>
      <c r="C698" s="27" t="s">
        <v>200</v>
      </c>
      <c r="D698" s="27" t="n">
        <v>49.7</v>
      </c>
      <c r="E698" s="27" t="n">
        <v>22.5</v>
      </c>
      <c r="F698" s="27" t="n">
        <v>29.3</v>
      </c>
      <c r="G698" s="27" t="n">
        <v>32.5</v>
      </c>
      <c r="H698" s="27" t="s">
        <v>199</v>
      </c>
      <c r="I698" s="42" t="n">
        <f aca="false">(D698-INDEX('Cohort Summary'!$D$5:$D$14,MATCH($A698,'Cohort Summary'!$A$5:$A$14,0)))/INDEX('Cohort Summary'!$E$5:$E$14,MATCH($A698,'Cohort Summary'!$A$5:$A$14,0))</f>
        <v>1.23642172523962</v>
      </c>
      <c r="J698" s="42" t="n">
        <f aca="false">(E698-INDEX('Cohort Summary'!$F$5:$F$14,MATCH($A698,'Cohort Summary'!$A$5:$A$14,0)))/INDEX('Cohort Summary'!$G$5:$G$14,MATCH($A698,'Cohort Summary'!$A$5:$A$14,0))</f>
        <v>1.48186528497409</v>
      </c>
      <c r="K698" s="42" t="n">
        <f aca="false">(F698-INDEX('Cohort Summary'!$H$5:$H$14,MATCH($A698,'Cohort Summary'!$A$5:$A$14,0)))/INDEX('Cohort Summary'!$I$5:$I$14,MATCH($A698,'Cohort Summary'!$A$5:$A$14,0))</f>
        <v>-1.29194630872483</v>
      </c>
      <c r="L698" s="42" t="n">
        <f aca="false">(G698-INDEX('Cohort Summary'!$J$5:$J$14,MATCH($A698,'Cohort Summary'!$A$5:$A$14,0)))/INDEX('Cohort Summary'!$K$5:$K$14,MATCH($A698,'Cohort Summary'!$A$5:$A$14,0))</f>
        <v>-1.41379310344828</v>
      </c>
      <c r="M698" s="42" t="n">
        <f aca="false">MAX(I698:K698)</f>
        <v>1.48186528497409</v>
      </c>
      <c r="N698" s="27" t="s">
        <v>197</v>
      </c>
      <c r="O698" s="27"/>
      <c r="P698" s="27" t="str">
        <f aca="false">A698&amp;"|"&amp;N698</f>
        <v>NURSE-04|normal</v>
      </c>
    </row>
    <row r="699" customFormat="false" ht="15" hidden="false" customHeight="true" outlineLevel="0" collapsed="false">
      <c r="A699" s="27" t="s">
        <v>81</v>
      </c>
      <c r="B699" s="41" t="n">
        <v>46303.3253472222</v>
      </c>
      <c r="C699" s="27" t="s">
        <v>200</v>
      </c>
      <c r="D699" s="27" t="n">
        <v>43.9</v>
      </c>
      <c r="E699" s="27" t="n">
        <v>17.6</v>
      </c>
      <c r="F699" s="27" t="n">
        <v>33.8</v>
      </c>
      <c r="G699" s="27" t="n">
        <v>32.8</v>
      </c>
      <c r="H699" s="27" t="s">
        <v>196</v>
      </c>
      <c r="I699" s="42" t="n">
        <f aca="false">(D699-INDEX('Cohort Summary'!$D$5:$D$14,MATCH($A699,'Cohort Summary'!$A$5:$A$14,0)))/INDEX('Cohort Summary'!$E$5:$E$14,MATCH($A699,'Cohort Summary'!$A$5:$A$14,0))</f>
        <v>-0.616613418530351</v>
      </c>
      <c r="J699" s="42" t="n">
        <f aca="false">(E699-INDEX('Cohort Summary'!$F$5:$F$14,MATCH($A699,'Cohort Summary'!$A$5:$A$14,0)))/INDEX('Cohort Summary'!$G$5:$G$14,MATCH($A699,'Cohort Summary'!$A$5:$A$14,0))</f>
        <v>-1.05699481865285</v>
      </c>
      <c r="K699" s="42" t="n">
        <f aca="false">(F699-INDEX('Cohort Summary'!$H$5:$H$14,MATCH($A699,'Cohort Summary'!$A$5:$A$14,0)))/INDEX('Cohort Summary'!$I$5:$I$14,MATCH($A699,'Cohort Summary'!$A$5:$A$14,0))</f>
        <v>0.218120805369127</v>
      </c>
      <c r="L699" s="42" t="n">
        <f aca="false">(G699-INDEX('Cohort Summary'!$J$5:$J$14,MATCH($A699,'Cohort Summary'!$A$5:$A$14,0)))/INDEX('Cohort Summary'!$K$5:$K$14,MATCH($A699,'Cohort Summary'!$A$5:$A$14,0))</f>
        <v>-0.896551724137937</v>
      </c>
      <c r="M699" s="42" t="n">
        <f aca="false">MAX(I699:K699)</f>
        <v>0.218120805369127</v>
      </c>
      <c r="N699" s="27" t="s">
        <v>197</v>
      </c>
      <c r="O699" s="27"/>
      <c r="P699" s="27" t="str">
        <f aca="false">A699&amp;"|"&amp;N699</f>
        <v>NURSE-04|normal</v>
      </c>
    </row>
    <row r="700" customFormat="false" ht="15" hidden="false" customHeight="true" outlineLevel="0" collapsed="false">
      <c r="A700" s="27" t="s">
        <v>81</v>
      </c>
      <c r="B700" s="41" t="n">
        <v>46303.3256944444</v>
      </c>
      <c r="C700" s="27" t="s">
        <v>200</v>
      </c>
      <c r="D700" s="27" t="n">
        <v>48.2</v>
      </c>
      <c r="E700" s="27" t="n">
        <v>18.2</v>
      </c>
      <c r="F700" s="27" t="n">
        <v>30.6</v>
      </c>
      <c r="G700" s="27" t="n">
        <v>33.3</v>
      </c>
      <c r="H700" s="27" t="s">
        <v>198</v>
      </c>
      <c r="I700" s="42" t="n">
        <f aca="false">(D700-INDEX('Cohort Summary'!$D$5:$D$14,MATCH($A700,'Cohort Summary'!$A$5:$A$14,0)))/INDEX('Cohort Summary'!$E$5:$E$14,MATCH($A700,'Cohort Summary'!$A$5:$A$14,0))</f>
        <v>0.757188498402557</v>
      </c>
      <c r="J700" s="42" t="n">
        <f aca="false">(E700-INDEX('Cohort Summary'!$F$5:$F$14,MATCH($A700,'Cohort Summary'!$A$5:$A$14,0)))/INDEX('Cohort Summary'!$G$5:$G$14,MATCH($A700,'Cohort Summary'!$A$5:$A$14,0))</f>
        <v>-0.746113989637306</v>
      </c>
      <c r="K700" s="42" t="n">
        <f aca="false">(F700-INDEX('Cohort Summary'!$H$5:$H$14,MATCH($A700,'Cohort Summary'!$A$5:$A$14,0)))/INDEX('Cohort Summary'!$I$5:$I$14,MATCH($A700,'Cohort Summary'!$A$5:$A$14,0))</f>
        <v>-0.855704697986576</v>
      </c>
      <c r="L700" s="42" t="n">
        <f aca="false">(G700-INDEX('Cohort Summary'!$J$5:$J$14,MATCH($A700,'Cohort Summary'!$A$5:$A$14,0)))/INDEX('Cohort Summary'!$K$5:$K$14,MATCH($A700,'Cohort Summary'!$A$5:$A$14,0))</f>
        <v>-0.034482758620695</v>
      </c>
      <c r="M700" s="42" t="n">
        <f aca="false">MAX(I700:K700)</f>
        <v>0.757188498402557</v>
      </c>
      <c r="N700" s="27" t="s">
        <v>197</v>
      </c>
      <c r="O700" s="27"/>
      <c r="P700" s="27" t="str">
        <f aca="false">A700&amp;"|"&amp;N700</f>
        <v>NURSE-04|normal</v>
      </c>
    </row>
    <row r="701" customFormat="false" ht="15" hidden="false" customHeight="true" outlineLevel="0" collapsed="false">
      <c r="A701" s="27" t="s">
        <v>81</v>
      </c>
      <c r="B701" s="41" t="n">
        <v>46303.3260416667</v>
      </c>
      <c r="C701" s="27" t="s">
        <v>200</v>
      </c>
      <c r="D701" s="27" t="n">
        <v>42.5</v>
      </c>
      <c r="E701" s="27" t="n">
        <v>21.6</v>
      </c>
      <c r="F701" s="27" t="n">
        <v>37.8</v>
      </c>
      <c r="G701" s="27" t="n">
        <v>33</v>
      </c>
      <c r="H701" s="27" t="s">
        <v>198</v>
      </c>
      <c r="I701" s="42" t="n">
        <f aca="false">(D701-INDEX('Cohort Summary'!$D$5:$D$14,MATCH($A701,'Cohort Summary'!$A$5:$A$14,0)))/INDEX('Cohort Summary'!$E$5:$E$14,MATCH($A701,'Cohort Summary'!$A$5:$A$14,0))</f>
        <v>-1.06389776357827</v>
      </c>
      <c r="J701" s="42" t="n">
        <f aca="false">(E701-INDEX('Cohort Summary'!$F$5:$F$14,MATCH($A701,'Cohort Summary'!$A$5:$A$14,0)))/INDEX('Cohort Summary'!$G$5:$G$14,MATCH($A701,'Cohort Summary'!$A$5:$A$14,0))</f>
        <v>1.01554404145078</v>
      </c>
      <c r="K701" s="42" t="n">
        <f aca="false">(F701-INDEX('Cohort Summary'!$H$5:$H$14,MATCH($A701,'Cohort Summary'!$A$5:$A$14,0)))/INDEX('Cohort Summary'!$I$5:$I$14,MATCH($A701,'Cohort Summary'!$A$5:$A$14,0))</f>
        <v>1.56040268456376</v>
      </c>
      <c r="L701" s="42" t="n">
        <f aca="false">(G701-INDEX('Cohort Summary'!$J$5:$J$14,MATCH($A701,'Cohort Summary'!$A$5:$A$14,0)))/INDEX('Cohort Summary'!$K$5:$K$14,MATCH($A701,'Cohort Summary'!$A$5:$A$14,0))</f>
        <v>-0.551724137931035</v>
      </c>
      <c r="M701" s="42" t="n">
        <f aca="false">MAX(I701:K701)</f>
        <v>1.56040268456376</v>
      </c>
      <c r="N701" s="27" t="s">
        <v>197</v>
      </c>
      <c r="O701" s="27"/>
      <c r="P701" s="27" t="str">
        <f aca="false">A701&amp;"|"&amp;N701</f>
        <v>NURSE-04|normal</v>
      </c>
    </row>
    <row r="702" customFormat="false" ht="15" hidden="false" customHeight="true" outlineLevel="0" collapsed="false">
      <c r="A702" s="27" t="s">
        <v>81</v>
      </c>
      <c r="B702" s="41" t="n">
        <v>46303.3263888889</v>
      </c>
      <c r="C702" s="27" t="s">
        <v>200</v>
      </c>
      <c r="D702" s="27" t="n">
        <v>44.3</v>
      </c>
      <c r="E702" s="27" t="n">
        <v>17.1</v>
      </c>
      <c r="F702" s="27" t="n">
        <v>30.9</v>
      </c>
      <c r="G702" s="27" t="n">
        <v>33.5</v>
      </c>
      <c r="H702" s="27" t="s">
        <v>196</v>
      </c>
      <c r="I702" s="42" t="n">
        <f aca="false">(D702-INDEX('Cohort Summary'!$D$5:$D$14,MATCH($A702,'Cohort Summary'!$A$5:$A$14,0)))/INDEX('Cohort Summary'!$E$5:$E$14,MATCH($A702,'Cohort Summary'!$A$5:$A$14,0))</f>
        <v>-0.488817891373802</v>
      </c>
      <c r="J702" s="42" t="n">
        <f aca="false">(E702-INDEX('Cohort Summary'!$F$5:$F$14,MATCH($A702,'Cohort Summary'!$A$5:$A$14,0)))/INDEX('Cohort Summary'!$G$5:$G$14,MATCH($A702,'Cohort Summary'!$A$5:$A$14,0))</f>
        <v>-1.3160621761658</v>
      </c>
      <c r="K702" s="42" t="n">
        <f aca="false">(F702-INDEX('Cohort Summary'!$H$5:$H$14,MATCH($A702,'Cohort Summary'!$A$5:$A$14,0)))/INDEX('Cohort Summary'!$I$5:$I$14,MATCH($A702,'Cohort Summary'!$A$5:$A$14,0))</f>
        <v>-0.75503355704698</v>
      </c>
      <c r="L702" s="42" t="n">
        <f aca="false">(G702-INDEX('Cohort Summary'!$J$5:$J$14,MATCH($A702,'Cohort Summary'!$A$5:$A$14,0)))/INDEX('Cohort Summary'!$K$5:$K$14,MATCH($A702,'Cohort Summary'!$A$5:$A$14,0))</f>
        <v>0.310344827586206</v>
      </c>
      <c r="M702" s="42" t="n">
        <f aca="false">MAX(I702:K702)</f>
        <v>-0.488817891373802</v>
      </c>
      <c r="N702" s="27" t="s">
        <v>197</v>
      </c>
      <c r="O702" s="27"/>
      <c r="P702" s="27" t="str">
        <f aca="false">A702&amp;"|"&amp;N702</f>
        <v>NURSE-04|normal</v>
      </c>
    </row>
    <row r="703" customFormat="false" ht="15" hidden="false" customHeight="true" outlineLevel="0" collapsed="false">
      <c r="A703" s="27" t="s">
        <v>81</v>
      </c>
      <c r="B703" s="41" t="n">
        <v>46303.3267361111</v>
      </c>
      <c r="C703" s="27" t="s">
        <v>200</v>
      </c>
      <c r="D703" s="27" t="n">
        <v>41.9</v>
      </c>
      <c r="E703" s="27" t="n">
        <v>19.3</v>
      </c>
      <c r="F703" s="27" t="n">
        <v>35.3</v>
      </c>
      <c r="G703" s="27" t="n">
        <v>33.1</v>
      </c>
      <c r="H703" s="27" t="s">
        <v>196</v>
      </c>
      <c r="I703" s="42" t="n">
        <f aca="false">(D703-INDEX('Cohort Summary'!$D$5:$D$14,MATCH($A703,'Cohort Summary'!$A$5:$A$14,0)))/INDEX('Cohort Summary'!$E$5:$E$14,MATCH($A703,'Cohort Summary'!$A$5:$A$14,0))</f>
        <v>-1.2555910543131</v>
      </c>
      <c r="J703" s="42" t="n">
        <f aca="false">(E703-INDEX('Cohort Summary'!$F$5:$F$14,MATCH($A703,'Cohort Summary'!$A$5:$A$14,0)))/INDEX('Cohort Summary'!$G$5:$G$14,MATCH($A703,'Cohort Summary'!$A$5:$A$14,0))</f>
        <v>-0.176165803108808</v>
      </c>
      <c r="K703" s="42" t="n">
        <f aca="false">(F703-INDEX('Cohort Summary'!$H$5:$H$14,MATCH($A703,'Cohort Summary'!$A$5:$A$14,0)))/INDEX('Cohort Summary'!$I$5:$I$14,MATCH($A703,'Cohort Summary'!$A$5:$A$14,0))</f>
        <v>0.721476510067114</v>
      </c>
      <c r="L703" s="42" t="n">
        <f aca="false">(G703-INDEX('Cohort Summary'!$J$5:$J$14,MATCH($A703,'Cohort Summary'!$A$5:$A$14,0)))/INDEX('Cohort Summary'!$K$5:$K$14,MATCH($A703,'Cohort Summary'!$A$5:$A$14,0))</f>
        <v>-0.379310344827584</v>
      </c>
      <c r="M703" s="42" t="n">
        <f aca="false">MAX(I703:K703)</f>
        <v>0.721476510067114</v>
      </c>
      <c r="N703" s="27" t="s">
        <v>197</v>
      </c>
      <c r="O703" s="27"/>
      <c r="P703" s="27" t="str">
        <f aca="false">A703&amp;"|"&amp;N703</f>
        <v>NURSE-04|normal</v>
      </c>
    </row>
    <row r="704" customFormat="false" ht="15" hidden="false" customHeight="true" outlineLevel="0" collapsed="false">
      <c r="A704" s="27" t="s">
        <v>81</v>
      </c>
      <c r="B704" s="41" t="n">
        <v>46303.3270833333</v>
      </c>
      <c r="C704" s="27" t="s">
        <v>200</v>
      </c>
      <c r="D704" s="27" t="n">
        <v>45</v>
      </c>
      <c r="E704" s="27" t="n">
        <v>16.3</v>
      </c>
      <c r="F704" s="27" t="n">
        <v>31.5</v>
      </c>
      <c r="G704" s="27" t="n">
        <v>33.5</v>
      </c>
      <c r="H704" s="27" t="s">
        <v>198</v>
      </c>
      <c r="I704" s="42" t="n">
        <f aca="false">(D704-INDEX('Cohort Summary'!$D$5:$D$14,MATCH($A704,'Cohort Summary'!$A$5:$A$14,0)))/INDEX('Cohort Summary'!$E$5:$E$14,MATCH($A704,'Cohort Summary'!$A$5:$A$14,0))</f>
        <v>-0.26517571884984</v>
      </c>
      <c r="J704" s="42" t="n">
        <f aca="false">(E704-INDEX('Cohort Summary'!$F$5:$F$14,MATCH($A704,'Cohort Summary'!$A$5:$A$14,0)))/INDEX('Cohort Summary'!$G$5:$G$14,MATCH($A704,'Cohort Summary'!$A$5:$A$14,0))</f>
        <v>-1.73056994818653</v>
      </c>
      <c r="K704" s="42" t="n">
        <f aca="false">(F704-INDEX('Cohort Summary'!$H$5:$H$14,MATCH($A704,'Cohort Summary'!$A$5:$A$14,0)))/INDEX('Cohort Summary'!$I$5:$I$14,MATCH($A704,'Cohort Summary'!$A$5:$A$14,0))</f>
        <v>-0.553691275167785</v>
      </c>
      <c r="L704" s="42" t="n">
        <f aca="false">(G704-INDEX('Cohort Summary'!$J$5:$J$14,MATCH($A704,'Cohort Summary'!$A$5:$A$14,0)))/INDEX('Cohort Summary'!$K$5:$K$14,MATCH($A704,'Cohort Summary'!$A$5:$A$14,0))</f>
        <v>0.310344827586206</v>
      </c>
      <c r="M704" s="42" t="n">
        <f aca="false">MAX(I704:K704)</f>
        <v>-0.26517571884984</v>
      </c>
      <c r="N704" s="27" t="s">
        <v>197</v>
      </c>
      <c r="O704" s="27"/>
      <c r="P704" s="27" t="str">
        <f aca="false">A704&amp;"|"&amp;N704</f>
        <v>NURSE-04|normal</v>
      </c>
    </row>
    <row r="705" customFormat="false" ht="15" hidden="false" customHeight="true" outlineLevel="0" collapsed="false">
      <c r="A705" s="27" t="s">
        <v>81</v>
      </c>
      <c r="B705" s="41" t="n">
        <v>46303.3274305556</v>
      </c>
      <c r="C705" s="27" t="s">
        <v>200</v>
      </c>
      <c r="D705" s="27" t="n">
        <v>51</v>
      </c>
      <c r="E705" s="27" t="n">
        <v>22.6</v>
      </c>
      <c r="F705" s="27" t="n">
        <v>33.3</v>
      </c>
      <c r="G705" s="27" t="n">
        <v>32.8</v>
      </c>
      <c r="H705" s="27" t="s">
        <v>199</v>
      </c>
      <c r="I705" s="42" t="n">
        <f aca="false">(D705-INDEX('Cohort Summary'!$D$5:$D$14,MATCH($A705,'Cohort Summary'!$A$5:$A$14,0)))/INDEX('Cohort Summary'!$E$5:$E$14,MATCH($A705,'Cohort Summary'!$A$5:$A$14,0))</f>
        <v>1.6517571884984</v>
      </c>
      <c r="J705" s="42" t="n">
        <f aca="false">(E705-INDEX('Cohort Summary'!$F$5:$F$14,MATCH($A705,'Cohort Summary'!$A$5:$A$14,0)))/INDEX('Cohort Summary'!$G$5:$G$14,MATCH($A705,'Cohort Summary'!$A$5:$A$14,0))</f>
        <v>1.53367875647668</v>
      </c>
      <c r="K705" s="42" t="n">
        <f aca="false">(F705-INDEX('Cohort Summary'!$H$5:$H$14,MATCH($A705,'Cohort Summary'!$A$5:$A$14,0)))/INDEX('Cohort Summary'!$I$5:$I$14,MATCH($A705,'Cohort Summary'!$A$5:$A$14,0))</f>
        <v>0.0503355704697982</v>
      </c>
      <c r="L705" s="42" t="n">
        <f aca="false">(G705-INDEX('Cohort Summary'!$J$5:$J$14,MATCH($A705,'Cohort Summary'!$A$5:$A$14,0)))/INDEX('Cohort Summary'!$K$5:$K$14,MATCH($A705,'Cohort Summary'!$A$5:$A$14,0))</f>
        <v>-0.896551724137937</v>
      </c>
      <c r="M705" s="42" t="n">
        <f aca="false">MAX(I705:K705)</f>
        <v>1.6517571884984</v>
      </c>
      <c r="N705" s="27" t="s">
        <v>197</v>
      </c>
      <c r="O705" s="27"/>
      <c r="P705" s="27" t="str">
        <f aca="false">A705&amp;"|"&amp;N705</f>
        <v>NURSE-04|normal</v>
      </c>
    </row>
    <row r="706" customFormat="false" ht="15" hidden="false" customHeight="true" outlineLevel="0" collapsed="false">
      <c r="A706" s="27" t="s">
        <v>81</v>
      </c>
      <c r="B706" s="41" t="n">
        <v>46303.3277777778</v>
      </c>
      <c r="C706" s="27" t="s">
        <v>200</v>
      </c>
      <c r="D706" s="27" t="n">
        <v>41.2</v>
      </c>
      <c r="E706" s="27" t="n">
        <v>21.5</v>
      </c>
      <c r="F706" s="27" t="n">
        <v>36.9</v>
      </c>
      <c r="G706" s="27" t="n">
        <v>34</v>
      </c>
      <c r="H706" s="27" t="s">
        <v>198</v>
      </c>
      <c r="I706" s="42" t="n">
        <f aca="false">(D706-INDEX('Cohort Summary'!$D$5:$D$14,MATCH($A706,'Cohort Summary'!$A$5:$A$14,0)))/INDEX('Cohort Summary'!$E$5:$E$14,MATCH($A706,'Cohort Summary'!$A$5:$A$14,0))</f>
        <v>-1.47923322683706</v>
      </c>
      <c r="J706" s="42" t="n">
        <f aca="false">(E706-INDEX('Cohort Summary'!$F$5:$F$14,MATCH($A706,'Cohort Summary'!$A$5:$A$14,0)))/INDEX('Cohort Summary'!$G$5:$G$14,MATCH($A706,'Cohort Summary'!$A$5:$A$14,0))</f>
        <v>0.963730569948186</v>
      </c>
      <c r="K706" s="42" t="n">
        <f aca="false">(F706-INDEX('Cohort Summary'!$H$5:$H$14,MATCH($A706,'Cohort Summary'!$A$5:$A$14,0)))/INDEX('Cohort Summary'!$I$5:$I$14,MATCH($A706,'Cohort Summary'!$A$5:$A$14,0))</f>
        <v>1.25838926174497</v>
      </c>
      <c r="L706" s="42" t="n">
        <f aca="false">(G706-INDEX('Cohort Summary'!$J$5:$J$14,MATCH($A706,'Cohort Summary'!$A$5:$A$14,0)))/INDEX('Cohort Summary'!$K$5:$K$14,MATCH($A706,'Cohort Summary'!$A$5:$A$14,0))</f>
        <v>1.17241379310345</v>
      </c>
      <c r="M706" s="42" t="n">
        <f aca="false">MAX(I706:K706)</f>
        <v>1.25838926174497</v>
      </c>
      <c r="N706" s="27" t="s">
        <v>197</v>
      </c>
      <c r="O706" s="27"/>
      <c r="P706" s="27" t="str">
        <f aca="false">A706&amp;"|"&amp;N706</f>
        <v>NURSE-04|normal</v>
      </c>
    </row>
    <row r="707" customFormat="false" ht="15" hidden="false" customHeight="true" outlineLevel="0" collapsed="false">
      <c r="A707" s="27" t="s">
        <v>81</v>
      </c>
      <c r="B707" s="41" t="n">
        <v>46303.328125</v>
      </c>
      <c r="C707" s="27" t="s">
        <v>200</v>
      </c>
      <c r="D707" s="27" t="n">
        <v>45.8</v>
      </c>
      <c r="E707" s="27" t="n">
        <v>22</v>
      </c>
      <c r="F707" s="27" t="n">
        <v>34</v>
      </c>
      <c r="G707" s="27" t="n">
        <v>33.3</v>
      </c>
      <c r="H707" s="27" t="s">
        <v>198</v>
      </c>
      <c r="I707" s="42" t="n">
        <f aca="false">(D707-INDEX('Cohort Summary'!$D$5:$D$14,MATCH($A707,'Cohort Summary'!$A$5:$A$14,0)))/INDEX('Cohort Summary'!$E$5:$E$14,MATCH($A707,'Cohort Summary'!$A$5:$A$14,0))</f>
        <v>-0.00958466453674158</v>
      </c>
      <c r="J707" s="42" t="n">
        <f aca="false">(E707-INDEX('Cohort Summary'!$F$5:$F$14,MATCH($A707,'Cohort Summary'!$A$5:$A$14,0)))/INDEX('Cohort Summary'!$G$5:$G$14,MATCH($A707,'Cohort Summary'!$A$5:$A$14,0))</f>
        <v>1.22279792746114</v>
      </c>
      <c r="K707" s="42" t="n">
        <f aca="false">(F707-INDEX('Cohort Summary'!$H$5:$H$14,MATCH($A707,'Cohort Summary'!$A$5:$A$14,0)))/INDEX('Cohort Summary'!$I$5:$I$14,MATCH($A707,'Cohort Summary'!$A$5:$A$14,0))</f>
        <v>0.28523489932886</v>
      </c>
      <c r="L707" s="42" t="n">
        <f aca="false">(G707-INDEX('Cohort Summary'!$J$5:$J$14,MATCH($A707,'Cohort Summary'!$A$5:$A$14,0)))/INDEX('Cohort Summary'!$K$5:$K$14,MATCH($A707,'Cohort Summary'!$A$5:$A$14,0))</f>
        <v>-0.034482758620695</v>
      </c>
      <c r="M707" s="42" t="n">
        <f aca="false">MAX(I707:K707)</f>
        <v>1.22279792746114</v>
      </c>
      <c r="N707" s="27" t="s">
        <v>197</v>
      </c>
      <c r="O707" s="27"/>
      <c r="P707" s="27" t="str">
        <f aca="false">A707&amp;"|"&amp;N707</f>
        <v>NURSE-04|normal</v>
      </c>
    </row>
    <row r="708" customFormat="false" ht="15" hidden="false" customHeight="true" outlineLevel="0" collapsed="false">
      <c r="A708" s="27" t="s">
        <v>81</v>
      </c>
      <c r="B708" s="41" t="n">
        <v>46303.3284722222</v>
      </c>
      <c r="C708" s="27" t="s">
        <v>200</v>
      </c>
      <c r="D708" s="27" t="n">
        <v>43</v>
      </c>
      <c r="E708" s="27" t="n">
        <v>19.3</v>
      </c>
      <c r="F708" s="27" t="n">
        <v>35.7</v>
      </c>
      <c r="G708" s="27" t="n">
        <v>33.7</v>
      </c>
      <c r="H708" s="27" t="s">
        <v>198</v>
      </c>
      <c r="I708" s="42" t="n">
        <f aca="false">(D708-INDEX('Cohort Summary'!$D$5:$D$14,MATCH($A708,'Cohort Summary'!$A$5:$A$14,0)))/INDEX('Cohort Summary'!$E$5:$E$14,MATCH($A708,'Cohort Summary'!$A$5:$A$14,0))</f>
        <v>-0.904153354632587</v>
      </c>
      <c r="J708" s="42" t="n">
        <f aca="false">(E708-INDEX('Cohort Summary'!$F$5:$F$14,MATCH($A708,'Cohort Summary'!$A$5:$A$14,0)))/INDEX('Cohort Summary'!$G$5:$G$14,MATCH($A708,'Cohort Summary'!$A$5:$A$14,0))</f>
        <v>-0.176165803108808</v>
      </c>
      <c r="K708" s="42" t="n">
        <f aca="false">(F708-INDEX('Cohort Summary'!$H$5:$H$14,MATCH($A708,'Cohort Summary'!$A$5:$A$14,0)))/INDEX('Cohort Summary'!$I$5:$I$14,MATCH($A708,'Cohort Summary'!$A$5:$A$14,0))</f>
        <v>0.855704697986579</v>
      </c>
      <c r="L708" s="42" t="n">
        <f aca="false">(G708-INDEX('Cohort Summary'!$J$5:$J$14,MATCH($A708,'Cohort Summary'!$A$5:$A$14,0)))/INDEX('Cohort Summary'!$K$5:$K$14,MATCH($A708,'Cohort Summary'!$A$5:$A$14,0))</f>
        <v>0.655172413793108</v>
      </c>
      <c r="M708" s="42" t="n">
        <f aca="false">MAX(I708:K708)</f>
        <v>0.855704697986579</v>
      </c>
      <c r="N708" s="27" t="s">
        <v>197</v>
      </c>
      <c r="O708" s="27"/>
      <c r="P708" s="27" t="str">
        <f aca="false">A708&amp;"|"&amp;N708</f>
        <v>NURSE-04|normal</v>
      </c>
    </row>
    <row r="709" customFormat="false" ht="15" hidden="false" customHeight="true" outlineLevel="0" collapsed="false">
      <c r="A709" s="27" t="s">
        <v>81</v>
      </c>
      <c r="B709" s="41" t="n">
        <v>46303.3288194445</v>
      </c>
      <c r="C709" s="27" t="s">
        <v>200</v>
      </c>
      <c r="D709" s="27" t="n">
        <v>46.8</v>
      </c>
      <c r="E709" s="27" t="n">
        <v>18.1</v>
      </c>
      <c r="F709" s="27" t="n">
        <v>33.8</v>
      </c>
      <c r="G709" s="27" t="n">
        <v>32.4</v>
      </c>
      <c r="H709" s="27" t="s">
        <v>198</v>
      </c>
      <c r="I709" s="42" t="n">
        <f aca="false">(D709-INDEX('Cohort Summary'!$D$5:$D$14,MATCH($A709,'Cohort Summary'!$A$5:$A$14,0)))/INDEX('Cohort Summary'!$E$5:$E$14,MATCH($A709,'Cohort Summary'!$A$5:$A$14,0))</f>
        <v>0.309904153354632</v>
      </c>
      <c r="J709" s="42" t="n">
        <f aca="false">(E709-INDEX('Cohort Summary'!$F$5:$F$14,MATCH($A709,'Cohort Summary'!$A$5:$A$14,0)))/INDEX('Cohort Summary'!$G$5:$G$14,MATCH($A709,'Cohort Summary'!$A$5:$A$14,0))</f>
        <v>-0.797927461139896</v>
      </c>
      <c r="K709" s="42" t="n">
        <f aca="false">(F709-INDEX('Cohort Summary'!$H$5:$H$14,MATCH($A709,'Cohort Summary'!$A$5:$A$14,0)))/INDEX('Cohort Summary'!$I$5:$I$14,MATCH($A709,'Cohort Summary'!$A$5:$A$14,0))</f>
        <v>0.218120805369127</v>
      </c>
      <c r="L709" s="42" t="n">
        <f aca="false">(G709-INDEX('Cohort Summary'!$J$5:$J$14,MATCH($A709,'Cohort Summary'!$A$5:$A$14,0)))/INDEX('Cohort Summary'!$K$5:$K$14,MATCH($A709,'Cohort Summary'!$A$5:$A$14,0))</f>
        <v>-1.58620689655173</v>
      </c>
      <c r="M709" s="42" t="n">
        <f aca="false">MAX(I709:K709)</f>
        <v>0.309904153354632</v>
      </c>
      <c r="N709" s="27" t="s">
        <v>197</v>
      </c>
      <c r="O709" s="27"/>
      <c r="P709" s="27" t="str">
        <f aca="false">A709&amp;"|"&amp;N709</f>
        <v>NURSE-04|normal</v>
      </c>
    </row>
    <row r="710" customFormat="false" ht="15" hidden="false" customHeight="true" outlineLevel="0" collapsed="false">
      <c r="A710" s="27" t="s">
        <v>81</v>
      </c>
      <c r="B710" s="41" t="n">
        <v>46303.3291666667</v>
      </c>
      <c r="C710" s="27" t="s">
        <v>200</v>
      </c>
      <c r="D710" s="27" t="n">
        <v>44.4</v>
      </c>
      <c r="E710" s="27" t="n">
        <v>22.6</v>
      </c>
      <c r="F710" s="27" t="n">
        <v>34.6</v>
      </c>
      <c r="G710" s="27" t="n">
        <v>32.3</v>
      </c>
      <c r="H710" s="27" t="s">
        <v>199</v>
      </c>
      <c r="I710" s="42" t="n">
        <f aca="false">(D710-INDEX('Cohort Summary'!$D$5:$D$14,MATCH($A710,'Cohort Summary'!$A$5:$A$14,0)))/INDEX('Cohort Summary'!$E$5:$E$14,MATCH($A710,'Cohort Summary'!$A$5:$A$14,0))</f>
        <v>-0.456869009584665</v>
      </c>
      <c r="J710" s="42" t="n">
        <f aca="false">(E710-INDEX('Cohort Summary'!$F$5:$F$14,MATCH($A710,'Cohort Summary'!$A$5:$A$14,0)))/INDEX('Cohort Summary'!$G$5:$G$14,MATCH($A710,'Cohort Summary'!$A$5:$A$14,0))</f>
        <v>1.53367875647668</v>
      </c>
      <c r="K710" s="42" t="n">
        <f aca="false">(F710-INDEX('Cohort Summary'!$H$5:$H$14,MATCH($A710,'Cohort Summary'!$A$5:$A$14,0)))/INDEX('Cohort Summary'!$I$5:$I$14,MATCH($A710,'Cohort Summary'!$A$5:$A$14,0))</f>
        <v>0.486577181208055</v>
      </c>
      <c r="L710" s="42" t="n">
        <f aca="false">(G710-INDEX('Cohort Summary'!$J$5:$J$14,MATCH($A710,'Cohort Summary'!$A$5:$A$14,0)))/INDEX('Cohort Summary'!$K$5:$K$14,MATCH($A710,'Cohort Summary'!$A$5:$A$14,0))</f>
        <v>-1.75862068965518</v>
      </c>
      <c r="M710" s="42" t="n">
        <f aca="false">MAX(I710:K710)</f>
        <v>1.53367875647668</v>
      </c>
      <c r="N710" s="27" t="s">
        <v>197</v>
      </c>
      <c r="O710" s="27"/>
      <c r="P710" s="27" t="str">
        <f aca="false">A710&amp;"|"&amp;N710</f>
        <v>NURSE-04|normal</v>
      </c>
    </row>
    <row r="711" customFormat="false" ht="15" hidden="false" customHeight="true" outlineLevel="0" collapsed="false">
      <c r="A711" s="27" t="s">
        <v>81</v>
      </c>
      <c r="B711" s="41" t="n">
        <v>46303.3295138889</v>
      </c>
      <c r="C711" s="27" t="s">
        <v>200</v>
      </c>
      <c r="D711" s="27" t="n">
        <v>44.5</v>
      </c>
      <c r="E711" s="27" t="n">
        <v>19.4</v>
      </c>
      <c r="F711" s="27" t="n">
        <v>31.3</v>
      </c>
      <c r="G711" s="27" t="n">
        <v>32.9</v>
      </c>
      <c r="H711" s="27" t="s">
        <v>198</v>
      </c>
      <c r="I711" s="42" t="n">
        <f aca="false">(D711-INDEX('Cohort Summary'!$D$5:$D$14,MATCH($A711,'Cohort Summary'!$A$5:$A$14,0)))/INDEX('Cohort Summary'!$E$5:$E$14,MATCH($A711,'Cohort Summary'!$A$5:$A$14,0))</f>
        <v>-0.424920127795527</v>
      </c>
      <c r="J711" s="42" t="n">
        <f aca="false">(E711-INDEX('Cohort Summary'!$F$5:$F$14,MATCH($A711,'Cohort Summary'!$A$5:$A$14,0)))/INDEX('Cohort Summary'!$G$5:$G$14,MATCH($A711,'Cohort Summary'!$A$5:$A$14,0))</f>
        <v>-0.124352331606219</v>
      </c>
      <c r="K711" s="42" t="n">
        <f aca="false">(F711-INDEX('Cohort Summary'!$H$5:$H$14,MATCH($A711,'Cohort Summary'!$A$5:$A$14,0)))/INDEX('Cohort Summary'!$I$5:$I$14,MATCH($A711,'Cohort Summary'!$A$5:$A$14,0))</f>
        <v>-0.620805369127516</v>
      </c>
      <c r="L711" s="42" t="n">
        <f aca="false">(G711-INDEX('Cohort Summary'!$J$5:$J$14,MATCH($A711,'Cohort Summary'!$A$5:$A$14,0)))/INDEX('Cohort Summary'!$K$5:$K$14,MATCH($A711,'Cohort Summary'!$A$5:$A$14,0))</f>
        <v>-0.724137931034486</v>
      </c>
      <c r="M711" s="42" t="n">
        <f aca="false">MAX(I711:K711)</f>
        <v>-0.124352331606219</v>
      </c>
      <c r="N711" s="27" t="s">
        <v>197</v>
      </c>
      <c r="O711" s="27"/>
      <c r="P711" s="27" t="str">
        <f aca="false">A711&amp;"|"&amp;N711</f>
        <v>NURSE-04|normal</v>
      </c>
    </row>
    <row r="712" customFormat="false" ht="15" hidden="false" customHeight="true" outlineLevel="0" collapsed="false">
      <c r="A712" s="27" t="s">
        <v>81</v>
      </c>
      <c r="B712" s="41" t="n">
        <v>46303.3298611111</v>
      </c>
      <c r="C712" s="27" t="s">
        <v>200</v>
      </c>
      <c r="D712" s="27" t="n">
        <v>48.9</v>
      </c>
      <c r="E712" s="27" t="n">
        <v>18.1</v>
      </c>
      <c r="F712" s="27" t="n">
        <v>28.7</v>
      </c>
      <c r="G712" s="27" t="n">
        <v>33.3</v>
      </c>
      <c r="H712" s="27" t="s">
        <v>198</v>
      </c>
      <c r="I712" s="42" t="n">
        <f aca="false">(D712-INDEX('Cohort Summary'!$D$5:$D$14,MATCH($A712,'Cohort Summary'!$A$5:$A$14,0)))/INDEX('Cohort Summary'!$E$5:$E$14,MATCH($A712,'Cohort Summary'!$A$5:$A$14,0))</f>
        <v>0.980830670926518</v>
      </c>
      <c r="J712" s="42" t="n">
        <f aca="false">(E712-INDEX('Cohort Summary'!$F$5:$F$14,MATCH($A712,'Cohort Summary'!$A$5:$A$14,0)))/INDEX('Cohort Summary'!$G$5:$G$14,MATCH($A712,'Cohort Summary'!$A$5:$A$14,0))</f>
        <v>-0.797927461139896</v>
      </c>
      <c r="K712" s="42" t="n">
        <f aca="false">(F712-INDEX('Cohort Summary'!$H$5:$H$14,MATCH($A712,'Cohort Summary'!$A$5:$A$14,0)))/INDEX('Cohort Summary'!$I$5:$I$14,MATCH($A712,'Cohort Summary'!$A$5:$A$14,0))</f>
        <v>-1.49328859060403</v>
      </c>
      <c r="L712" s="42" t="n">
        <f aca="false">(G712-INDEX('Cohort Summary'!$J$5:$J$14,MATCH($A712,'Cohort Summary'!$A$5:$A$14,0)))/INDEX('Cohort Summary'!$K$5:$K$14,MATCH($A712,'Cohort Summary'!$A$5:$A$14,0))</f>
        <v>-0.034482758620695</v>
      </c>
      <c r="M712" s="42" t="n">
        <f aca="false">MAX(I712:K712)</f>
        <v>0.980830670926518</v>
      </c>
      <c r="N712" s="27" t="s">
        <v>197</v>
      </c>
      <c r="O712" s="27"/>
      <c r="P712" s="27" t="str">
        <f aca="false">A712&amp;"|"&amp;N712</f>
        <v>NURSE-04|normal</v>
      </c>
    </row>
    <row r="713" customFormat="false" ht="15" hidden="false" customHeight="true" outlineLevel="0" collapsed="false">
      <c r="A713" s="27" t="s">
        <v>81</v>
      </c>
      <c r="B713" s="41" t="n">
        <v>46303.3302083333</v>
      </c>
      <c r="C713" s="27" t="s">
        <v>200</v>
      </c>
      <c r="D713" s="27" t="n">
        <v>48.5</v>
      </c>
      <c r="E713" s="27" t="n">
        <v>16.8</v>
      </c>
      <c r="F713" s="27" t="n">
        <v>29.6</v>
      </c>
      <c r="G713" s="27" t="n">
        <v>33</v>
      </c>
      <c r="H713" s="27" t="s">
        <v>198</v>
      </c>
      <c r="I713" s="42" t="n">
        <f aca="false">(D713-INDEX('Cohort Summary'!$D$5:$D$14,MATCH($A713,'Cohort Summary'!$A$5:$A$14,0)))/INDEX('Cohort Summary'!$E$5:$E$14,MATCH($A713,'Cohort Summary'!$A$5:$A$14,0))</f>
        <v>0.853035143769969</v>
      </c>
      <c r="J713" s="42" t="n">
        <f aca="false">(E713-INDEX('Cohort Summary'!$F$5:$F$14,MATCH($A713,'Cohort Summary'!$A$5:$A$14,0)))/INDEX('Cohort Summary'!$G$5:$G$14,MATCH($A713,'Cohort Summary'!$A$5:$A$14,0))</f>
        <v>-1.47150259067358</v>
      </c>
      <c r="K713" s="42" t="n">
        <f aca="false">(F713-INDEX('Cohort Summary'!$H$5:$H$14,MATCH($A713,'Cohort Summary'!$A$5:$A$14,0)))/INDEX('Cohort Summary'!$I$5:$I$14,MATCH($A713,'Cohort Summary'!$A$5:$A$14,0))</f>
        <v>-1.19127516778523</v>
      </c>
      <c r="L713" s="42" t="n">
        <f aca="false">(G713-INDEX('Cohort Summary'!$J$5:$J$14,MATCH($A713,'Cohort Summary'!$A$5:$A$14,0)))/INDEX('Cohort Summary'!$K$5:$K$14,MATCH($A713,'Cohort Summary'!$A$5:$A$14,0))</f>
        <v>-0.551724137931035</v>
      </c>
      <c r="M713" s="42" t="n">
        <f aca="false">MAX(I713:K713)</f>
        <v>0.853035143769969</v>
      </c>
      <c r="N713" s="27" t="s">
        <v>197</v>
      </c>
      <c r="O713" s="27"/>
      <c r="P713" s="27" t="str">
        <f aca="false">A713&amp;"|"&amp;N713</f>
        <v>NURSE-04|normal</v>
      </c>
    </row>
    <row r="714" customFormat="false" ht="15" hidden="false" customHeight="true" outlineLevel="0" collapsed="false">
      <c r="A714" s="27" t="s">
        <v>81</v>
      </c>
      <c r="B714" s="41" t="n">
        <v>46303.3305555556</v>
      </c>
      <c r="C714" s="27" t="s">
        <v>200</v>
      </c>
      <c r="D714" s="27" t="n">
        <v>41.3</v>
      </c>
      <c r="E714" s="27" t="n">
        <v>19.6</v>
      </c>
      <c r="F714" s="27" t="n">
        <v>29</v>
      </c>
      <c r="G714" s="27" t="n">
        <v>33.5</v>
      </c>
      <c r="H714" s="27" t="s">
        <v>198</v>
      </c>
      <c r="I714" s="42" t="n">
        <f aca="false">(D714-INDEX('Cohort Summary'!$D$5:$D$14,MATCH($A714,'Cohort Summary'!$A$5:$A$14,0)))/INDEX('Cohort Summary'!$E$5:$E$14,MATCH($A714,'Cohort Summary'!$A$5:$A$14,0))</f>
        <v>-1.44728434504792</v>
      </c>
      <c r="J714" s="42" t="n">
        <f aca="false">(E714-INDEX('Cohort Summary'!$F$5:$F$14,MATCH($A714,'Cohort Summary'!$A$5:$A$14,0)))/INDEX('Cohort Summary'!$G$5:$G$14,MATCH($A714,'Cohort Summary'!$A$5:$A$14,0))</f>
        <v>-0.0207253886010358</v>
      </c>
      <c r="K714" s="42" t="n">
        <f aca="false">(F714-INDEX('Cohort Summary'!$H$5:$H$14,MATCH($A714,'Cohort Summary'!$A$5:$A$14,0)))/INDEX('Cohort Summary'!$I$5:$I$14,MATCH($A714,'Cohort Summary'!$A$5:$A$14,0))</f>
        <v>-1.39261744966443</v>
      </c>
      <c r="L714" s="42" t="n">
        <f aca="false">(G714-INDEX('Cohort Summary'!$J$5:$J$14,MATCH($A714,'Cohort Summary'!$A$5:$A$14,0)))/INDEX('Cohort Summary'!$K$5:$K$14,MATCH($A714,'Cohort Summary'!$A$5:$A$14,0))</f>
        <v>0.310344827586206</v>
      </c>
      <c r="M714" s="42" t="n">
        <f aca="false">MAX(I714:K714)</f>
        <v>-0.0207253886010358</v>
      </c>
      <c r="N714" s="27" t="s">
        <v>197</v>
      </c>
      <c r="O714" s="27"/>
      <c r="P714" s="27" t="str">
        <f aca="false">A714&amp;"|"&amp;N714</f>
        <v>NURSE-04|normal</v>
      </c>
    </row>
    <row r="715" customFormat="false" ht="15" hidden="false" customHeight="true" outlineLevel="0" collapsed="false">
      <c r="A715" s="27" t="s">
        <v>81</v>
      </c>
      <c r="B715" s="41" t="n">
        <v>46303.3309027778</v>
      </c>
      <c r="C715" s="27" t="s">
        <v>200</v>
      </c>
      <c r="D715" s="27" t="n">
        <v>45.2</v>
      </c>
      <c r="E715" s="27" t="n">
        <v>21.9</v>
      </c>
      <c r="F715" s="27" t="n">
        <v>28.8</v>
      </c>
      <c r="G715" s="27" t="n">
        <v>33.7</v>
      </c>
      <c r="H715" s="27" t="s">
        <v>196</v>
      </c>
      <c r="I715" s="42" t="n">
        <f aca="false">(D715-INDEX('Cohort Summary'!$D$5:$D$14,MATCH($A715,'Cohort Summary'!$A$5:$A$14,0)))/INDEX('Cohort Summary'!$E$5:$E$14,MATCH($A715,'Cohort Summary'!$A$5:$A$14,0))</f>
        <v>-0.201277955271564</v>
      </c>
      <c r="J715" s="42" t="n">
        <f aca="false">(E715-INDEX('Cohort Summary'!$F$5:$F$14,MATCH($A715,'Cohort Summary'!$A$5:$A$14,0)))/INDEX('Cohort Summary'!$G$5:$G$14,MATCH($A715,'Cohort Summary'!$A$5:$A$14,0))</f>
        <v>1.17098445595855</v>
      </c>
      <c r="K715" s="42" t="n">
        <f aca="false">(F715-INDEX('Cohort Summary'!$H$5:$H$14,MATCH($A715,'Cohort Summary'!$A$5:$A$14,0)))/INDEX('Cohort Summary'!$I$5:$I$14,MATCH($A715,'Cohort Summary'!$A$5:$A$14,0))</f>
        <v>-1.45973154362416</v>
      </c>
      <c r="L715" s="42" t="n">
        <f aca="false">(G715-INDEX('Cohort Summary'!$J$5:$J$14,MATCH($A715,'Cohort Summary'!$A$5:$A$14,0)))/INDEX('Cohort Summary'!$K$5:$K$14,MATCH($A715,'Cohort Summary'!$A$5:$A$14,0))</f>
        <v>0.655172413793108</v>
      </c>
      <c r="M715" s="42" t="n">
        <f aca="false">MAX(I715:K715)</f>
        <v>1.17098445595855</v>
      </c>
      <c r="N715" s="27" t="s">
        <v>197</v>
      </c>
      <c r="O715" s="27"/>
      <c r="P715" s="27" t="str">
        <f aca="false">A715&amp;"|"&amp;N715</f>
        <v>NURSE-04|normal</v>
      </c>
    </row>
    <row r="716" customFormat="false" ht="15" hidden="false" customHeight="true" outlineLevel="0" collapsed="false">
      <c r="A716" s="27" t="s">
        <v>81</v>
      </c>
      <c r="B716" s="41" t="n">
        <v>46303.33125</v>
      </c>
      <c r="C716" s="27" t="s">
        <v>200</v>
      </c>
      <c r="D716" s="27" t="n">
        <v>42.6</v>
      </c>
      <c r="E716" s="27" t="n">
        <v>17.2</v>
      </c>
      <c r="F716" s="27" t="n">
        <v>37.4</v>
      </c>
      <c r="G716" s="27" t="n">
        <v>32.9</v>
      </c>
      <c r="H716" s="27" t="s">
        <v>196</v>
      </c>
      <c r="I716" s="42" t="n">
        <f aca="false">(D716-INDEX('Cohort Summary'!$D$5:$D$14,MATCH($A716,'Cohort Summary'!$A$5:$A$14,0)))/INDEX('Cohort Summary'!$E$5:$E$14,MATCH($A716,'Cohort Summary'!$A$5:$A$14,0))</f>
        <v>-1.03194888178914</v>
      </c>
      <c r="J716" s="42" t="n">
        <f aca="false">(E716-INDEX('Cohort Summary'!$F$5:$F$14,MATCH($A716,'Cohort Summary'!$A$5:$A$14,0)))/INDEX('Cohort Summary'!$G$5:$G$14,MATCH($A716,'Cohort Summary'!$A$5:$A$14,0))</f>
        <v>-1.26424870466321</v>
      </c>
      <c r="K716" s="42" t="n">
        <f aca="false">(F716-INDEX('Cohort Summary'!$H$5:$H$14,MATCH($A716,'Cohort Summary'!$A$5:$A$14,0)))/INDEX('Cohort Summary'!$I$5:$I$14,MATCH($A716,'Cohort Summary'!$A$5:$A$14,0))</f>
        <v>1.4261744966443</v>
      </c>
      <c r="L716" s="42" t="n">
        <f aca="false">(G716-INDEX('Cohort Summary'!$J$5:$J$14,MATCH($A716,'Cohort Summary'!$A$5:$A$14,0)))/INDEX('Cohort Summary'!$K$5:$K$14,MATCH($A716,'Cohort Summary'!$A$5:$A$14,0))</f>
        <v>-0.724137931034486</v>
      </c>
      <c r="M716" s="42" t="n">
        <f aca="false">MAX(I716:K716)</f>
        <v>1.4261744966443</v>
      </c>
      <c r="N716" s="27" t="s">
        <v>197</v>
      </c>
      <c r="O716" s="27"/>
      <c r="P716" s="27" t="str">
        <f aca="false">A716&amp;"|"&amp;N716</f>
        <v>NURSE-04|normal</v>
      </c>
    </row>
    <row r="717" customFormat="false" ht="15" hidden="false" customHeight="true" outlineLevel="0" collapsed="false">
      <c r="A717" s="27" t="s">
        <v>81</v>
      </c>
      <c r="B717" s="41" t="n">
        <v>46303.3315972222</v>
      </c>
      <c r="C717" s="27" t="s">
        <v>200</v>
      </c>
      <c r="D717" s="27" t="n">
        <v>63.7</v>
      </c>
      <c r="E717" s="27" t="n">
        <v>19.4</v>
      </c>
      <c r="F717" s="27" t="n">
        <v>41.5</v>
      </c>
      <c r="G717" s="27" t="n">
        <v>35.4</v>
      </c>
      <c r="H717" s="27" t="s">
        <v>198</v>
      </c>
      <c r="I717" s="42" t="n">
        <f aca="false">(D717-INDEX('Cohort Summary'!$D$5:$D$14,MATCH($A717,'Cohort Summary'!$A$5:$A$14,0)))/INDEX('Cohort Summary'!$E$5:$E$14,MATCH($A717,'Cohort Summary'!$A$5:$A$14,0))</f>
        <v>5.70926517571885</v>
      </c>
      <c r="J717" s="42" t="n">
        <f aca="false">(E717-INDEX('Cohort Summary'!$F$5:$F$14,MATCH($A717,'Cohort Summary'!$A$5:$A$14,0)))/INDEX('Cohort Summary'!$G$5:$G$14,MATCH($A717,'Cohort Summary'!$A$5:$A$14,0))</f>
        <v>-0.124352331606219</v>
      </c>
      <c r="K717" s="42" t="n">
        <f aca="false">(F717-INDEX('Cohort Summary'!$H$5:$H$14,MATCH($A717,'Cohort Summary'!$A$5:$A$14,0)))/INDEX('Cohort Summary'!$I$5:$I$14,MATCH($A717,'Cohort Summary'!$A$5:$A$14,0))</f>
        <v>2.80201342281879</v>
      </c>
      <c r="L717" s="42" t="n">
        <f aca="false">(G717-INDEX('Cohort Summary'!$J$5:$J$14,MATCH($A717,'Cohort Summary'!$A$5:$A$14,0)))/INDEX('Cohort Summary'!$K$5:$K$14,MATCH($A717,'Cohort Summary'!$A$5:$A$14,0))</f>
        <v>3.58620689655172</v>
      </c>
      <c r="M717" s="42" t="n">
        <f aca="false">MAX(I717:K717)</f>
        <v>5.70926517571885</v>
      </c>
      <c r="N717" s="27" t="s">
        <v>212</v>
      </c>
      <c r="O717" s="27" t="s">
        <v>237</v>
      </c>
      <c r="P717" s="27" t="str">
        <f aca="false">A717&amp;"|"&amp;N717</f>
        <v>NURSE-04|alert</v>
      </c>
    </row>
    <row r="718" customFormat="false" ht="15" hidden="false" customHeight="true" outlineLevel="0" collapsed="false">
      <c r="A718" s="27" t="s">
        <v>81</v>
      </c>
      <c r="B718" s="41" t="n">
        <v>46303.3319444444</v>
      </c>
      <c r="C718" s="27" t="s">
        <v>200</v>
      </c>
      <c r="D718" s="27" t="n">
        <v>56.2</v>
      </c>
      <c r="E718" s="27" t="n">
        <v>19.5</v>
      </c>
      <c r="F718" s="27" t="n">
        <v>45.4</v>
      </c>
      <c r="G718" s="27" t="n">
        <v>35.4</v>
      </c>
      <c r="H718" s="27" t="s">
        <v>198</v>
      </c>
      <c r="I718" s="42" t="n">
        <f aca="false">(D718-INDEX('Cohort Summary'!$D$5:$D$14,MATCH($A718,'Cohort Summary'!$A$5:$A$14,0)))/INDEX('Cohort Summary'!$E$5:$E$14,MATCH($A718,'Cohort Summary'!$A$5:$A$14,0))</f>
        <v>3.31309904153355</v>
      </c>
      <c r="J718" s="42" t="n">
        <f aca="false">(E718-INDEX('Cohort Summary'!$F$5:$F$14,MATCH($A718,'Cohort Summary'!$A$5:$A$14,0)))/INDEX('Cohort Summary'!$G$5:$G$14,MATCH($A718,'Cohort Summary'!$A$5:$A$14,0))</f>
        <v>-0.0725388601036272</v>
      </c>
      <c r="K718" s="42" t="n">
        <f aca="false">(F718-INDEX('Cohort Summary'!$H$5:$H$14,MATCH($A718,'Cohort Summary'!$A$5:$A$14,0)))/INDEX('Cohort Summary'!$I$5:$I$14,MATCH($A718,'Cohort Summary'!$A$5:$A$14,0))</f>
        <v>4.11073825503356</v>
      </c>
      <c r="L718" s="42" t="n">
        <f aca="false">(G718-INDEX('Cohort Summary'!$J$5:$J$14,MATCH($A718,'Cohort Summary'!$A$5:$A$14,0)))/INDEX('Cohort Summary'!$K$5:$K$14,MATCH($A718,'Cohort Summary'!$A$5:$A$14,0))</f>
        <v>3.58620689655172</v>
      </c>
      <c r="M718" s="42" t="n">
        <f aca="false">MAX(I718:K718)</f>
        <v>4.11073825503356</v>
      </c>
      <c r="N718" s="27" t="s">
        <v>212</v>
      </c>
      <c r="O718" s="27" t="s">
        <v>238</v>
      </c>
      <c r="P718" s="27" t="str">
        <f aca="false">A718&amp;"|"&amp;N718</f>
        <v>NURSE-04|alert</v>
      </c>
    </row>
    <row r="719" customFormat="false" ht="15" hidden="false" customHeight="true" outlineLevel="0" collapsed="false">
      <c r="A719" s="27" t="s">
        <v>81</v>
      </c>
      <c r="B719" s="41" t="n">
        <v>46303.3322916667</v>
      </c>
      <c r="C719" s="27" t="s">
        <v>200</v>
      </c>
      <c r="D719" s="27" t="n">
        <v>57.5</v>
      </c>
      <c r="E719" s="27" t="n">
        <v>20</v>
      </c>
      <c r="F719" s="27" t="n">
        <v>40.4</v>
      </c>
      <c r="G719" s="27" t="n">
        <v>35.7</v>
      </c>
      <c r="H719" s="27" t="s">
        <v>198</v>
      </c>
      <c r="I719" s="42" t="n">
        <f aca="false">(D719-INDEX('Cohort Summary'!$D$5:$D$14,MATCH($A719,'Cohort Summary'!$A$5:$A$14,0)))/INDEX('Cohort Summary'!$E$5:$E$14,MATCH($A719,'Cohort Summary'!$A$5:$A$14,0))</f>
        <v>3.72843450479233</v>
      </c>
      <c r="J719" s="42" t="n">
        <f aca="false">(E719-INDEX('Cohort Summary'!$F$5:$F$14,MATCH($A719,'Cohort Summary'!$A$5:$A$14,0)))/INDEX('Cohort Summary'!$G$5:$G$14,MATCH($A719,'Cohort Summary'!$A$5:$A$14,0))</f>
        <v>0.186528497409326</v>
      </c>
      <c r="K719" s="42" t="n">
        <f aca="false">(F719-INDEX('Cohort Summary'!$H$5:$H$14,MATCH($A719,'Cohort Summary'!$A$5:$A$14,0)))/INDEX('Cohort Summary'!$I$5:$I$14,MATCH($A719,'Cohort Summary'!$A$5:$A$14,0))</f>
        <v>2.43288590604027</v>
      </c>
      <c r="L719" s="42" t="n">
        <f aca="false">(G719-INDEX('Cohort Summary'!$J$5:$J$14,MATCH($A719,'Cohort Summary'!$A$5:$A$14,0)))/INDEX('Cohort Summary'!$K$5:$K$14,MATCH($A719,'Cohort Summary'!$A$5:$A$14,0))</f>
        <v>4.10344827586207</v>
      </c>
      <c r="M719" s="42" t="n">
        <f aca="false">MAX(I719:K719)</f>
        <v>3.72843450479233</v>
      </c>
      <c r="N719" s="27" t="s">
        <v>212</v>
      </c>
      <c r="O719" s="27" t="s">
        <v>239</v>
      </c>
      <c r="P719" s="27" t="str">
        <f aca="false">A719&amp;"|"&amp;N719</f>
        <v>NURSE-04|alert</v>
      </c>
    </row>
    <row r="720" customFormat="false" ht="15" hidden="false" customHeight="true" outlineLevel="0" collapsed="false">
      <c r="A720" s="27" t="s">
        <v>81</v>
      </c>
      <c r="B720" s="41" t="n">
        <v>46303.3326388889</v>
      </c>
      <c r="C720" s="27" t="s">
        <v>200</v>
      </c>
      <c r="D720" s="27" t="n">
        <v>57.8</v>
      </c>
      <c r="E720" s="27" t="n">
        <v>19.9</v>
      </c>
      <c r="F720" s="27" t="n">
        <v>49.9</v>
      </c>
      <c r="G720" s="27" t="n">
        <v>37</v>
      </c>
      <c r="H720" s="27" t="s">
        <v>198</v>
      </c>
      <c r="I720" s="42" t="n">
        <f aca="false">(D720-INDEX('Cohort Summary'!$D$5:$D$14,MATCH($A720,'Cohort Summary'!$A$5:$A$14,0)))/INDEX('Cohort Summary'!$E$5:$E$14,MATCH($A720,'Cohort Summary'!$A$5:$A$14,0))</f>
        <v>3.82428115015974</v>
      </c>
      <c r="J720" s="42" t="n">
        <f aca="false">(E720-INDEX('Cohort Summary'!$F$5:$F$14,MATCH($A720,'Cohort Summary'!$A$5:$A$14,0)))/INDEX('Cohort Summary'!$G$5:$G$14,MATCH($A720,'Cohort Summary'!$A$5:$A$14,0))</f>
        <v>0.134715025906735</v>
      </c>
      <c r="K720" s="42" t="n">
        <f aca="false">(F720-INDEX('Cohort Summary'!$H$5:$H$14,MATCH($A720,'Cohort Summary'!$A$5:$A$14,0)))/INDEX('Cohort Summary'!$I$5:$I$14,MATCH($A720,'Cohort Summary'!$A$5:$A$14,0))</f>
        <v>5.62080536912752</v>
      </c>
      <c r="L720" s="42" t="n">
        <f aca="false">(G720-INDEX('Cohort Summary'!$J$5:$J$14,MATCH($A720,'Cohort Summary'!$A$5:$A$14,0)))/INDEX('Cohort Summary'!$K$5:$K$14,MATCH($A720,'Cohort Summary'!$A$5:$A$14,0))</f>
        <v>6.3448275862069</v>
      </c>
      <c r="M720" s="42" t="n">
        <f aca="false">MAX(I720:K720)</f>
        <v>5.62080536912752</v>
      </c>
      <c r="N720" s="27" t="s">
        <v>212</v>
      </c>
      <c r="O720" s="27" t="s">
        <v>240</v>
      </c>
      <c r="P720" s="27" t="str">
        <f aca="false">A720&amp;"|"&amp;N720</f>
        <v>NURSE-04|alert</v>
      </c>
    </row>
    <row r="721" customFormat="false" ht="15" hidden="false" customHeight="true" outlineLevel="0" collapsed="false">
      <c r="A721" s="27" t="s">
        <v>81</v>
      </c>
      <c r="B721" s="41" t="n">
        <v>46303.3329861111</v>
      </c>
      <c r="C721" s="27" t="s">
        <v>200</v>
      </c>
      <c r="D721" s="27" t="n">
        <v>63.7</v>
      </c>
      <c r="E721" s="27" t="n">
        <v>19.5</v>
      </c>
      <c r="F721" s="27" t="n">
        <v>48.9</v>
      </c>
      <c r="G721" s="27" t="n">
        <v>35.2</v>
      </c>
      <c r="H721" s="27" t="s">
        <v>198</v>
      </c>
      <c r="I721" s="42" t="n">
        <f aca="false">(D721-INDEX('Cohort Summary'!$D$5:$D$14,MATCH($A721,'Cohort Summary'!$A$5:$A$14,0)))/INDEX('Cohort Summary'!$E$5:$E$14,MATCH($A721,'Cohort Summary'!$A$5:$A$14,0))</f>
        <v>5.70926517571885</v>
      </c>
      <c r="J721" s="42" t="n">
        <f aca="false">(E721-INDEX('Cohort Summary'!$F$5:$F$14,MATCH($A721,'Cohort Summary'!$A$5:$A$14,0)))/INDEX('Cohort Summary'!$G$5:$G$14,MATCH($A721,'Cohort Summary'!$A$5:$A$14,0))</f>
        <v>-0.0725388601036272</v>
      </c>
      <c r="K721" s="42" t="n">
        <f aca="false">(F721-INDEX('Cohort Summary'!$H$5:$H$14,MATCH($A721,'Cohort Summary'!$A$5:$A$14,0)))/INDEX('Cohort Summary'!$I$5:$I$14,MATCH($A721,'Cohort Summary'!$A$5:$A$14,0))</f>
        <v>5.28523489932886</v>
      </c>
      <c r="L721" s="42" t="n">
        <f aca="false">(G721-INDEX('Cohort Summary'!$J$5:$J$14,MATCH($A721,'Cohort Summary'!$A$5:$A$14,0)))/INDEX('Cohort Summary'!$K$5:$K$14,MATCH($A721,'Cohort Summary'!$A$5:$A$14,0))</f>
        <v>3.24137931034483</v>
      </c>
      <c r="M721" s="42" t="n">
        <f aca="false">MAX(I721:K721)</f>
        <v>5.70926517571885</v>
      </c>
      <c r="N721" s="27" t="s">
        <v>212</v>
      </c>
      <c r="O721" s="27" t="s">
        <v>241</v>
      </c>
      <c r="P721" s="27" t="str">
        <f aca="false">A721&amp;"|"&amp;N721</f>
        <v>NURSE-04|alert</v>
      </c>
    </row>
    <row r="722" customFormat="false" ht="15" hidden="false" customHeight="true" outlineLevel="0" collapsed="false">
      <c r="A722" s="27" t="s">
        <v>81</v>
      </c>
      <c r="B722" s="41" t="n">
        <v>46303.3333333333</v>
      </c>
      <c r="C722" s="27" t="s">
        <v>200</v>
      </c>
      <c r="D722" s="27" t="n">
        <v>59.9</v>
      </c>
      <c r="E722" s="27" t="n">
        <v>21.5</v>
      </c>
      <c r="F722" s="27" t="n">
        <v>45.7</v>
      </c>
      <c r="G722" s="27" t="n">
        <v>36.6</v>
      </c>
      <c r="H722" s="27" t="s">
        <v>198</v>
      </c>
      <c r="I722" s="42" t="n">
        <f aca="false">(D722-INDEX('Cohort Summary'!$D$5:$D$14,MATCH($A722,'Cohort Summary'!$A$5:$A$14,0)))/INDEX('Cohort Summary'!$E$5:$E$14,MATCH($A722,'Cohort Summary'!$A$5:$A$14,0))</f>
        <v>4.49520766773163</v>
      </c>
      <c r="J722" s="42" t="n">
        <f aca="false">(E722-INDEX('Cohort Summary'!$F$5:$F$14,MATCH($A722,'Cohort Summary'!$A$5:$A$14,0)))/INDEX('Cohort Summary'!$G$5:$G$14,MATCH($A722,'Cohort Summary'!$A$5:$A$14,0))</f>
        <v>0.963730569948186</v>
      </c>
      <c r="K722" s="42" t="n">
        <f aca="false">(F722-INDEX('Cohort Summary'!$H$5:$H$14,MATCH($A722,'Cohort Summary'!$A$5:$A$14,0)))/INDEX('Cohort Summary'!$I$5:$I$14,MATCH($A722,'Cohort Summary'!$A$5:$A$14,0))</f>
        <v>4.21140939597316</v>
      </c>
      <c r="L722" s="42" t="n">
        <f aca="false">(G722-INDEX('Cohort Summary'!$J$5:$J$14,MATCH($A722,'Cohort Summary'!$A$5:$A$14,0)))/INDEX('Cohort Summary'!$K$5:$K$14,MATCH($A722,'Cohort Summary'!$A$5:$A$14,0))</f>
        <v>5.65517241379311</v>
      </c>
      <c r="M722" s="42" t="n">
        <f aca="false">MAX(I722:K722)</f>
        <v>4.49520766773163</v>
      </c>
      <c r="N722" s="27" t="s">
        <v>212</v>
      </c>
      <c r="O722" s="27" t="s">
        <v>242</v>
      </c>
      <c r="P722" s="27" t="str">
        <f aca="false">A722&amp;"|"&amp;N722</f>
        <v>NURSE-04|alert</v>
      </c>
    </row>
    <row r="723" customFormat="false" ht="15" hidden="false" customHeight="true" outlineLevel="0" collapsed="false">
      <c r="A723" s="27" t="s">
        <v>81</v>
      </c>
      <c r="B723" s="41" t="n">
        <v>46303.3336805556</v>
      </c>
      <c r="C723" s="27" t="s">
        <v>200</v>
      </c>
      <c r="D723" s="27" t="n">
        <v>55.9</v>
      </c>
      <c r="E723" s="27" t="n">
        <v>17.2</v>
      </c>
      <c r="F723" s="27" t="n">
        <v>48.4</v>
      </c>
      <c r="G723" s="27" t="n">
        <v>37.2</v>
      </c>
      <c r="H723" s="27" t="s">
        <v>198</v>
      </c>
      <c r="I723" s="42" t="n">
        <f aca="false">(D723-INDEX('Cohort Summary'!$D$5:$D$14,MATCH($A723,'Cohort Summary'!$A$5:$A$14,0)))/INDEX('Cohort Summary'!$E$5:$E$14,MATCH($A723,'Cohort Summary'!$A$5:$A$14,0))</f>
        <v>3.21725239616613</v>
      </c>
      <c r="J723" s="42" t="n">
        <f aca="false">(E723-INDEX('Cohort Summary'!$F$5:$F$14,MATCH($A723,'Cohort Summary'!$A$5:$A$14,0)))/INDEX('Cohort Summary'!$G$5:$G$14,MATCH($A723,'Cohort Summary'!$A$5:$A$14,0))</f>
        <v>-1.26424870466321</v>
      </c>
      <c r="K723" s="42" t="n">
        <f aca="false">(F723-INDEX('Cohort Summary'!$H$5:$H$14,MATCH($A723,'Cohort Summary'!$A$5:$A$14,0)))/INDEX('Cohort Summary'!$I$5:$I$14,MATCH($A723,'Cohort Summary'!$A$5:$A$14,0))</f>
        <v>5.11744966442953</v>
      </c>
      <c r="L723" s="42" t="n">
        <f aca="false">(G723-INDEX('Cohort Summary'!$J$5:$J$14,MATCH($A723,'Cohort Summary'!$A$5:$A$14,0)))/INDEX('Cohort Summary'!$K$5:$K$14,MATCH($A723,'Cohort Summary'!$A$5:$A$14,0))</f>
        <v>6.6896551724138</v>
      </c>
      <c r="M723" s="42" t="n">
        <f aca="false">MAX(I723:K723)</f>
        <v>5.11744966442953</v>
      </c>
      <c r="N723" s="27" t="s">
        <v>212</v>
      </c>
      <c r="O723" s="27" t="s">
        <v>243</v>
      </c>
      <c r="P723" s="27" t="str">
        <f aca="false">A723&amp;"|"&amp;N723</f>
        <v>NURSE-04|alert</v>
      </c>
    </row>
    <row r="724" customFormat="false" ht="15" hidden="false" customHeight="true" outlineLevel="0" collapsed="false">
      <c r="A724" s="27" t="s">
        <v>81</v>
      </c>
      <c r="B724" s="41" t="n">
        <v>46303.3340277778</v>
      </c>
      <c r="C724" s="27" t="s">
        <v>200</v>
      </c>
      <c r="D724" s="27" t="n">
        <v>58.9</v>
      </c>
      <c r="E724" s="27" t="n">
        <v>19.6</v>
      </c>
      <c r="F724" s="27" t="n">
        <v>42.9</v>
      </c>
      <c r="G724" s="27" t="n">
        <v>37</v>
      </c>
      <c r="H724" s="27" t="s">
        <v>198</v>
      </c>
      <c r="I724" s="42" t="n">
        <f aca="false">(D724-INDEX('Cohort Summary'!$D$5:$D$14,MATCH($A724,'Cohort Summary'!$A$5:$A$14,0)))/INDEX('Cohort Summary'!$E$5:$E$14,MATCH($A724,'Cohort Summary'!$A$5:$A$14,0))</f>
        <v>4.17571884984026</v>
      </c>
      <c r="J724" s="42" t="n">
        <f aca="false">(E724-INDEX('Cohort Summary'!$F$5:$F$14,MATCH($A724,'Cohort Summary'!$A$5:$A$14,0)))/INDEX('Cohort Summary'!$G$5:$G$14,MATCH($A724,'Cohort Summary'!$A$5:$A$14,0))</f>
        <v>-0.0207253886010358</v>
      </c>
      <c r="K724" s="42" t="n">
        <f aca="false">(F724-INDEX('Cohort Summary'!$H$5:$H$14,MATCH($A724,'Cohort Summary'!$A$5:$A$14,0)))/INDEX('Cohort Summary'!$I$5:$I$14,MATCH($A724,'Cohort Summary'!$A$5:$A$14,0))</f>
        <v>3.27181208053691</v>
      </c>
      <c r="L724" s="42" t="n">
        <f aca="false">(G724-INDEX('Cohort Summary'!$J$5:$J$14,MATCH($A724,'Cohort Summary'!$A$5:$A$14,0)))/INDEX('Cohort Summary'!$K$5:$K$14,MATCH($A724,'Cohort Summary'!$A$5:$A$14,0))</f>
        <v>6.3448275862069</v>
      </c>
      <c r="M724" s="42" t="n">
        <f aca="false">MAX(I724:K724)</f>
        <v>4.17571884984026</v>
      </c>
      <c r="N724" s="27" t="s">
        <v>212</v>
      </c>
      <c r="O724" s="27" t="s">
        <v>244</v>
      </c>
      <c r="P724" s="27" t="str">
        <f aca="false">A724&amp;"|"&amp;N724</f>
        <v>NURSE-04|alert</v>
      </c>
    </row>
    <row r="725" customFormat="false" ht="15" hidden="false" customHeight="true" outlineLevel="0" collapsed="false">
      <c r="A725" s="27" t="s">
        <v>81</v>
      </c>
      <c r="B725" s="41" t="n">
        <v>46303.334375</v>
      </c>
      <c r="C725" s="27" t="s">
        <v>200</v>
      </c>
      <c r="D725" s="27" t="n">
        <v>61.6</v>
      </c>
      <c r="E725" s="27" t="n">
        <v>17.5</v>
      </c>
      <c r="F725" s="27" t="n">
        <v>42.4</v>
      </c>
      <c r="G725" s="27" t="n">
        <v>36.7</v>
      </c>
      <c r="H725" s="27" t="s">
        <v>198</v>
      </c>
      <c r="I725" s="42" t="n">
        <f aca="false">(D725-INDEX('Cohort Summary'!$D$5:$D$14,MATCH($A725,'Cohort Summary'!$A$5:$A$14,0)))/INDEX('Cohort Summary'!$E$5:$E$14,MATCH($A725,'Cohort Summary'!$A$5:$A$14,0))</f>
        <v>5.03833865814697</v>
      </c>
      <c r="J725" s="42" t="n">
        <f aca="false">(E725-INDEX('Cohort Summary'!$F$5:$F$14,MATCH($A725,'Cohort Summary'!$A$5:$A$14,0)))/INDEX('Cohort Summary'!$G$5:$G$14,MATCH($A725,'Cohort Summary'!$A$5:$A$14,0))</f>
        <v>-1.10880829015544</v>
      </c>
      <c r="K725" s="42" t="n">
        <f aca="false">(F725-INDEX('Cohort Summary'!$H$5:$H$14,MATCH($A725,'Cohort Summary'!$A$5:$A$14,0)))/INDEX('Cohort Summary'!$I$5:$I$14,MATCH($A725,'Cohort Summary'!$A$5:$A$14,0))</f>
        <v>3.10402684563758</v>
      </c>
      <c r="L725" s="42" t="n">
        <f aca="false">(G725-INDEX('Cohort Summary'!$J$5:$J$14,MATCH($A725,'Cohort Summary'!$A$5:$A$14,0)))/INDEX('Cohort Summary'!$K$5:$K$14,MATCH($A725,'Cohort Summary'!$A$5:$A$14,0))</f>
        <v>5.82758620689656</v>
      </c>
      <c r="M725" s="42" t="n">
        <f aca="false">MAX(I725:K725)</f>
        <v>5.03833865814697</v>
      </c>
      <c r="N725" s="27" t="s">
        <v>212</v>
      </c>
      <c r="O725" s="27" t="s">
        <v>245</v>
      </c>
      <c r="P725" s="27" t="str">
        <f aca="false">A725&amp;"|"&amp;N725</f>
        <v>NURSE-04|alert</v>
      </c>
    </row>
    <row r="726" customFormat="false" ht="15" hidden="false" customHeight="true" outlineLevel="0" collapsed="false">
      <c r="A726" s="27" t="s">
        <v>81</v>
      </c>
      <c r="B726" s="41" t="n">
        <v>46303.3347222222</v>
      </c>
      <c r="C726" s="27" t="s">
        <v>200</v>
      </c>
      <c r="D726" s="27" t="n">
        <v>62.1</v>
      </c>
      <c r="E726" s="27" t="n">
        <v>16.4</v>
      </c>
      <c r="F726" s="27" t="n">
        <v>42.5</v>
      </c>
      <c r="G726" s="27" t="n">
        <v>36.4</v>
      </c>
      <c r="H726" s="27" t="s">
        <v>198</v>
      </c>
      <c r="I726" s="42" t="n">
        <f aca="false">(D726-INDEX('Cohort Summary'!$D$5:$D$14,MATCH($A726,'Cohort Summary'!$A$5:$A$14,0)))/INDEX('Cohort Summary'!$E$5:$E$14,MATCH($A726,'Cohort Summary'!$A$5:$A$14,0))</f>
        <v>5.19808306709265</v>
      </c>
      <c r="J726" s="42" t="n">
        <f aca="false">(E726-INDEX('Cohort Summary'!$F$5:$F$14,MATCH($A726,'Cohort Summary'!$A$5:$A$14,0)))/INDEX('Cohort Summary'!$G$5:$G$14,MATCH($A726,'Cohort Summary'!$A$5:$A$14,0))</f>
        <v>-1.67875647668394</v>
      </c>
      <c r="K726" s="42" t="n">
        <f aca="false">(F726-INDEX('Cohort Summary'!$H$5:$H$14,MATCH($A726,'Cohort Summary'!$A$5:$A$14,0)))/INDEX('Cohort Summary'!$I$5:$I$14,MATCH($A726,'Cohort Summary'!$A$5:$A$14,0))</f>
        <v>3.13758389261745</v>
      </c>
      <c r="L726" s="42" t="n">
        <f aca="false">(G726-INDEX('Cohort Summary'!$J$5:$J$14,MATCH($A726,'Cohort Summary'!$A$5:$A$14,0)))/INDEX('Cohort Summary'!$K$5:$K$14,MATCH($A726,'Cohort Summary'!$A$5:$A$14,0))</f>
        <v>5.31034482758621</v>
      </c>
      <c r="M726" s="42" t="n">
        <f aca="false">MAX(I726:K726)</f>
        <v>5.19808306709265</v>
      </c>
      <c r="N726" s="27" t="s">
        <v>212</v>
      </c>
      <c r="O726" s="27" t="s">
        <v>246</v>
      </c>
      <c r="P726" s="27" t="str">
        <f aca="false">A726&amp;"|"&amp;N726</f>
        <v>NURSE-04|alert</v>
      </c>
    </row>
    <row r="727" customFormat="false" ht="15" hidden="false" customHeight="true" outlineLevel="0" collapsed="false">
      <c r="A727" s="27" t="s">
        <v>81</v>
      </c>
      <c r="B727" s="41" t="n">
        <v>46303.3350694445</v>
      </c>
      <c r="C727" s="27" t="s">
        <v>200</v>
      </c>
      <c r="D727" s="27" t="n">
        <v>41.4</v>
      </c>
      <c r="E727" s="27" t="n">
        <v>20.3</v>
      </c>
      <c r="F727" s="27" t="n">
        <v>34.9</v>
      </c>
      <c r="G727" s="27" t="n">
        <v>33.8</v>
      </c>
      <c r="H727" s="27" t="s">
        <v>199</v>
      </c>
      <c r="I727" s="42" t="n">
        <f aca="false">(D727-INDEX('Cohort Summary'!$D$5:$D$14,MATCH($A727,'Cohort Summary'!$A$5:$A$14,0)))/INDEX('Cohort Summary'!$E$5:$E$14,MATCH($A727,'Cohort Summary'!$A$5:$A$14,0))</f>
        <v>-1.41533546325879</v>
      </c>
      <c r="J727" s="42" t="n">
        <f aca="false">(E727-INDEX('Cohort Summary'!$F$5:$F$14,MATCH($A727,'Cohort Summary'!$A$5:$A$14,0)))/INDEX('Cohort Summary'!$G$5:$G$14,MATCH($A727,'Cohort Summary'!$A$5:$A$14,0))</f>
        <v>0.341968911917099</v>
      </c>
      <c r="K727" s="42" t="n">
        <f aca="false">(F727-INDEX('Cohort Summary'!$H$5:$H$14,MATCH($A727,'Cohort Summary'!$A$5:$A$14,0)))/INDEX('Cohort Summary'!$I$5:$I$14,MATCH($A727,'Cohort Summary'!$A$5:$A$14,0))</f>
        <v>0.587248322147651</v>
      </c>
      <c r="L727" s="42" t="n">
        <f aca="false">(G727-INDEX('Cohort Summary'!$J$5:$J$14,MATCH($A727,'Cohort Summary'!$A$5:$A$14,0)))/INDEX('Cohort Summary'!$K$5:$K$14,MATCH($A727,'Cohort Summary'!$A$5:$A$14,0))</f>
        <v>0.827586206896546</v>
      </c>
      <c r="M727" s="42" t="n">
        <f aca="false">MAX(I727:K727)</f>
        <v>0.587248322147651</v>
      </c>
      <c r="N727" s="27" t="s">
        <v>197</v>
      </c>
      <c r="O727" s="27"/>
      <c r="P727" s="27" t="str">
        <f aca="false">A727&amp;"|"&amp;N727</f>
        <v>NURSE-04|normal</v>
      </c>
    </row>
    <row r="728" customFormat="false" ht="15" hidden="false" customHeight="true" outlineLevel="0" collapsed="false">
      <c r="A728" s="27" t="s">
        <v>81</v>
      </c>
      <c r="B728" s="41" t="n">
        <v>46303.3354166667</v>
      </c>
      <c r="C728" s="27" t="s">
        <v>200</v>
      </c>
      <c r="D728" s="27" t="n">
        <v>41.8</v>
      </c>
      <c r="E728" s="27" t="n">
        <v>21.3</v>
      </c>
      <c r="F728" s="27" t="n">
        <v>33.9</v>
      </c>
      <c r="G728" s="27" t="n">
        <v>32.6</v>
      </c>
      <c r="H728" s="27" t="s">
        <v>199</v>
      </c>
      <c r="I728" s="42" t="n">
        <f aca="false">(D728-INDEX('Cohort Summary'!$D$5:$D$14,MATCH($A728,'Cohort Summary'!$A$5:$A$14,0)))/INDEX('Cohort Summary'!$E$5:$E$14,MATCH($A728,'Cohort Summary'!$A$5:$A$14,0))</f>
        <v>-1.28753993610224</v>
      </c>
      <c r="J728" s="42" t="n">
        <f aca="false">(E728-INDEX('Cohort Summary'!$F$5:$F$14,MATCH($A728,'Cohort Summary'!$A$5:$A$14,0)))/INDEX('Cohort Summary'!$G$5:$G$14,MATCH($A728,'Cohort Summary'!$A$5:$A$14,0))</f>
        <v>0.860103626943005</v>
      </c>
      <c r="K728" s="42" t="n">
        <f aca="false">(F728-INDEX('Cohort Summary'!$H$5:$H$14,MATCH($A728,'Cohort Summary'!$A$5:$A$14,0)))/INDEX('Cohort Summary'!$I$5:$I$14,MATCH($A728,'Cohort Summary'!$A$5:$A$14,0))</f>
        <v>0.251677852348993</v>
      </c>
      <c r="L728" s="42" t="n">
        <f aca="false">(G728-INDEX('Cohort Summary'!$J$5:$J$14,MATCH($A728,'Cohort Summary'!$A$5:$A$14,0)))/INDEX('Cohort Summary'!$K$5:$K$14,MATCH($A728,'Cohort Summary'!$A$5:$A$14,0))</f>
        <v>-1.24137931034483</v>
      </c>
      <c r="M728" s="42" t="n">
        <f aca="false">MAX(I728:K728)</f>
        <v>0.860103626943005</v>
      </c>
      <c r="N728" s="27" t="s">
        <v>197</v>
      </c>
      <c r="O728" s="27"/>
      <c r="P728" s="27" t="str">
        <f aca="false">A728&amp;"|"&amp;N728</f>
        <v>NURSE-04|normal</v>
      </c>
    </row>
    <row r="729" customFormat="false" ht="15" hidden="false" customHeight="true" outlineLevel="0" collapsed="false">
      <c r="A729" s="27" t="s">
        <v>81</v>
      </c>
      <c r="B729" s="41" t="n">
        <v>46303.3357638889</v>
      </c>
      <c r="C729" s="27" t="s">
        <v>200</v>
      </c>
      <c r="D729" s="27" t="n">
        <v>50.4</v>
      </c>
      <c r="E729" s="27" t="n">
        <v>18.9</v>
      </c>
      <c r="F729" s="27" t="n">
        <v>32.1</v>
      </c>
      <c r="G729" s="27" t="n">
        <v>32.4</v>
      </c>
      <c r="H729" s="27" t="s">
        <v>198</v>
      </c>
      <c r="I729" s="42" t="n">
        <f aca="false">(D729-INDEX('Cohort Summary'!$D$5:$D$14,MATCH($A729,'Cohort Summary'!$A$5:$A$14,0)))/INDEX('Cohort Summary'!$E$5:$E$14,MATCH($A729,'Cohort Summary'!$A$5:$A$14,0))</f>
        <v>1.46006389776358</v>
      </c>
      <c r="J729" s="42" t="n">
        <f aca="false">(E729-INDEX('Cohort Summary'!$F$5:$F$14,MATCH($A729,'Cohort Summary'!$A$5:$A$14,0)))/INDEX('Cohort Summary'!$G$5:$G$14,MATCH($A729,'Cohort Summary'!$A$5:$A$14,0))</f>
        <v>-0.383419689119172</v>
      </c>
      <c r="K729" s="42" t="n">
        <f aca="false">(F729-INDEX('Cohort Summary'!$H$5:$H$14,MATCH($A729,'Cohort Summary'!$A$5:$A$14,0)))/INDEX('Cohort Summary'!$I$5:$I$14,MATCH($A729,'Cohort Summary'!$A$5:$A$14,0))</f>
        <v>-0.35234899328859</v>
      </c>
      <c r="L729" s="42" t="n">
        <f aca="false">(G729-INDEX('Cohort Summary'!$J$5:$J$14,MATCH($A729,'Cohort Summary'!$A$5:$A$14,0)))/INDEX('Cohort Summary'!$K$5:$K$14,MATCH($A729,'Cohort Summary'!$A$5:$A$14,0))</f>
        <v>-1.58620689655173</v>
      </c>
      <c r="M729" s="42" t="n">
        <f aca="false">MAX(I729:K729)</f>
        <v>1.46006389776358</v>
      </c>
      <c r="N729" s="27" t="s">
        <v>197</v>
      </c>
      <c r="O729" s="27"/>
      <c r="P729" s="27" t="str">
        <f aca="false">A729&amp;"|"&amp;N729</f>
        <v>NURSE-04|normal</v>
      </c>
    </row>
    <row r="730" customFormat="false" ht="15" hidden="false" customHeight="true" outlineLevel="0" collapsed="false">
      <c r="A730" s="27" t="s">
        <v>81</v>
      </c>
      <c r="B730" s="41" t="n">
        <v>46303.3361111111</v>
      </c>
      <c r="C730" s="27" t="s">
        <v>200</v>
      </c>
      <c r="D730" s="27" t="n">
        <v>42.5</v>
      </c>
      <c r="E730" s="27" t="n">
        <v>19.6</v>
      </c>
      <c r="F730" s="27" t="n">
        <v>29.7</v>
      </c>
      <c r="G730" s="27" t="n">
        <v>33.8</v>
      </c>
      <c r="H730" s="27" t="s">
        <v>198</v>
      </c>
      <c r="I730" s="42" t="n">
        <f aca="false">(D730-INDEX('Cohort Summary'!$D$5:$D$14,MATCH($A730,'Cohort Summary'!$A$5:$A$14,0)))/INDEX('Cohort Summary'!$E$5:$E$14,MATCH($A730,'Cohort Summary'!$A$5:$A$14,0))</f>
        <v>-1.06389776357827</v>
      </c>
      <c r="J730" s="42" t="n">
        <f aca="false">(E730-INDEX('Cohort Summary'!$F$5:$F$14,MATCH($A730,'Cohort Summary'!$A$5:$A$14,0)))/INDEX('Cohort Summary'!$G$5:$G$14,MATCH($A730,'Cohort Summary'!$A$5:$A$14,0))</f>
        <v>-0.0207253886010358</v>
      </c>
      <c r="K730" s="42" t="n">
        <f aca="false">(F730-INDEX('Cohort Summary'!$H$5:$H$14,MATCH($A730,'Cohort Summary'!$A$5:$A$14,0)))/INDEX('Cohort Summary'!$I$5:$I$14,MATCH($A730,'Cohort Summary'!$A$5:$A$14,0))</f>
        <v>-1.15771812080537</v>
      </c>
      <c r="L730" s="42" t="n">
        <f aca="false">(G730-INDEX('Cohort Summary'!$J$5:$J$14,MATCH($A730,'Cohort Summary'!$A$5:$A$14,0)))/INDEX('Cohort Summary'!$K$5:$K$14,MATCH($A730,'Cohort Summary'!$A$5:$A$14,0))</f>
        <v>0.827586206896546</v>
      </c>
      <c r="M730" s="42" t="n">
        <f aca="false">MAX(I730:K730)</f>
        <v>-0.0207253886010358</v>
      </c>
      <c r="N730" s="27" t="s">
        <v>197</v>
      </c>
      <c r="O730" s="27"/>
      <c r="P730" s="27" t="str">
        <f aca="false">A730&amp;"|"&amp;N730</f>
        <v>NURSE-04|normal</v>
      </c>
    </row>
    <row r="731" customFormat="false" ht="15" hidden="false" customHeight="true" outlineLevel="0" collapsed="false">
      <c r="A731" s="27" t="s">
        <v>81</v>
      </c>
      <c r="B731" s="41" t="n">
        <v>46303.3364583333</v>
      </c>
      <c r="C731" s="27" t="s">
        <v>200</v>
      </c>
      <c r="D731" s="27" t="n">
        <v>43</v>
      </c>
      <c r="E731" s="27" t="n">
        <v>22.5</v>
      </c>
      <c r="F731" s="27" t="n">
        <v>34.9</v>
      </c>
      <c r="G731" s="27" t="n">
        <v>33.6</v>
      </c>
      <c r="H731" s="27" t="s">
        <v>198</v>
      </c>
      <c r="I731" s="42" t="n">
        <f aca="false">(D731-INDEX('Cohort Summary'!$D$5:$D$14,MATCH($A731,'Cohort Summary'!$A$5:$A$14,0)))/INDEX('Cohort Summary'!$E$5:$E$14,MATCH($A731,'Cohort Summary'!$A$5:$A$14,0))</f>
        <v>-0.904153354632587</v>
      </c>
      <c r="J731" s="42" t="n">
        <f aca="false">(E731-INDEX('Cohort Summary'!$F$5:$F$14,MATCH($A731,'Cohort Summary'!$A$5:$A$14,0)))/INDEX('Cohort Summary'!$G$5:$G$14,MATCH($A731,'Cohort Summary'!$A$5:$A$14,0))</f>
        <v>1.48186528497409</v>
      </c>
      <c r="K731" s="42" t="n">
        <f aca="false">(F731-INDEX('Cohort Summary'!$H$5:$H$14,MATCH($A731,'Cohort Summary'!$A$5:$A$14,0)))/INDEX('Cohort Summary'!$I$5:$I$14,MATCH($A731,'Cohort Summary'!$A$5:$A$14,0))</f>
        <v>0.587248322147651</v>
      </c>
      <c r="L731" s="42" t="n">
        <f aca="false">(G731-INDEX('Cohort Summary'!$J$5:$J$14,MATCH($A731,'Cohort Summary'!$A$5:$A$14,0)))/INDEX('Cohort Summary'!$K$5:$K$14,MATCH($A731,'Cohort Summary'!$A$5:$A$14,0))</f>
        <v>0.482758620689657</v>
      </c>
      <c r="M731" s="42" t="n">
        <f aca="false">MAX(I731:K731)</f>
        <v>1.48186528497409</v>
      </c>
      <c r="N731" s="27" t="s">
        <v>197</v>
      </c>
      <c r="O731" s="27"/>
      <c r="P731" s="27" t="str">
        <f aca="false">A731&amp;"|"&amp;N731</f>
        <v>NURSE-04|normal</v>
      </c>
    </row>
    <row r="732" customFormat="false" ht="15" hidden="false" customHeight="true" outlineLevel="0" collapsed="false">
      <c r="A732" s="27" t="s">
        <v>81</v>
      </c>
      <c r="B732" s="41" t="n">
        <v>46303.3368055556</v>
      </c>
      <c r="C732" s="27" t="s">
        <v>200</v>
      </c>
      <c r="D732" s="27" t="n">
        <v>51</v>
      </c>
      <c r="E732" s="27" t="n">
        <v>21.5</v>
      </c>
      <c r="F732" s="27" t="n">
        <v>32.8</v>
      </c>
      <c r="G732" s="27" t="n">
        <v>33.2</v>
      </c>
      <c r="H732" s="27" t="s">
        <v>199</v>
      </c>
      <c r="I732" s="42" t="n">
        <f aca="false">(D732-INDEX('Cohort Summary'!$D$5:$D$14,MATCH($A732,'Cohort Summary'!$A$5:$A$14,0)))/INDEX('Cohort Summary'!$E$5:$E$14,MATCH($A732,'Cohort Summary'!$A$5:$A$14,0))</f>
        <v>1.6517571884984</v>
      </c>
      <c r="J732" s="42" t="n">
        <f aca="false">(E732-INDEX('Cohort Summary'!$F$5:$F$14,MATCH($A732,'Cohort Summary'!$A$5:$A$14,0)))/INDEX('Cohort Summary'!$G$5:$G$14,MATCH($A732,'Cohort Summary'!$A$5:$A$14,0))</f>
        <v>0.963730569948186</v>
      </c>
      <c r="K732" s="42" t="n">
        <f aca="false">(F732-INDEX('Cohort Summary'!$H$5:$H$14,MATCH($A732,'Cohort Summary'!$A$5:$A$14,0)))/INDEX('Cohort Summary'!$I$5:$I$14,MATCH($A732,'Cohort Summary'!$A$5:$A$14,0))</f>
        <v>-0.117449664429531</v>
      </c>
      <c r="L732" s="42" t="n">
        <f aca="false">(G732-INDEX('Cohort Summary'!$J$5:$J$14,MATCH($A732,'Cohort Summary'!$A$5:$A$14,0)))/INDEX('Cohort Summary'!$K$5:$K$14,MATCH($A732,'Cohort Summary'!$A$5:$A$14,0))</f>
        <v>-0.206896551724134</v>
      </c>
      <c r="M732" s="42" t="n">
        <f aca="false">MAX(I732:K732)</f>
        <v>1.6517571884984</v>
      </c>
      <c r="N732" s="27" t="s">
        <v>197</v>
      </c>
      <c r="O732" s="27"/>
      <c r="P732" s="27" t="str">
        <f aca="false">A732&amp;"|"&amp;N732</f>
        <v>NURSE-04|normal</v>
      </c>
    </row>
    <row r="733" customFormat="false" ht="15" hidden="false" customHeight="true" outlineLevel="0" collapsed="false">
      <c r="A733" s="27" t="s">
        <v>81</v>
      </c>
      <c r="B733" s="41" t="n">
        <v>46303.3371527778</v>
      </c>
      <c r="C733" s="27" t="s">
        <v>200</v>
      </c>
      <c r="D733" s="27" t="n">
        <v>50.1</v>
      </c>
      <c r="E733" s="27" t="n">
        <v>21.3</v>
      </c>
      <c r="F733" s="27" t="n">
        <v>34.4</v>
      </c>
      <c r="G733" s="27" t="n">
        <v>32.6</v>
      </c>
      <c r="H733" s="27" t="s">
        <v>196</v>
      </c>
      <c r="I733" s="42" t="n">
        <f aca="false">(D733-INDEX('Cohort Summary'!$D$5:$D$14,MATCH($A733,'Cohort Summary'!$A$5:$A$14,0)))/INDEX('Cohort Summary'!$E$5:$E$14,MATCH($A733,'Cohort Summary'!$A$5:$A$14,0))</f>
        <v>1.36421725239617</v>
      </c>
      <c r="J733" s="42" t="n">
        <f aca="false">(E733-INDEX('Cohort Summary'!$F$5:$F$14,MATCH($A733,'Cohort Summary'!$A$5:$A$14,0)))/INDEX('Cohort Summary'!$G$5:$G$14,MATCH($A733,'Cohort Summary'!$A$5:$A$14,0))</f>
        <v>0.860103626943005</v>
      </c>
      <c r="K733" s="42" t="n">
        <f aca="false">(F733-INDEX('Cohort Summary'!$H$5:$H$14,MATCH($A733,'Cohort Summary'!$A$5:$A$14,0)))/INDEX('Cohort Summary'!$I$5:$I$14,MATCH($A733,'Cohort Summary'!$A$5:$A$14,0))</f>
        <v>0.419463087248322</v>
      </c>
      <c r="L733" s="42" t="n">
        <f aca="false">(G733-INDEX('Cohort Summary'!$J$5:$J$14,MATCH($A733,'Cohort Summary'!$A$5:$A$14,0)))/INDEX('Cohort Summary'!$K$5:$K$14,MATCH($A733,'Cohort Summary'!$A$5:$A$14,0))</f>
        <v>-1.24137931034483</v>
      </c>
      <c r="M733" s="42" t="n">
        <f aca="false">MAX(I733:K733)</f>
        <v>1.36421725239617</v>
      </c>
      <c r="N733" s="27" t="s">
        <v>197</v>
      </c>
      <c r="O733" s="27"/>
      <c r="P733" s="27" t="str">
        <f aca="false">A733&amp;"|"&amp;N733</f>
        <v>NURSE-04|normal</v>
      </c>
    </row>
    <row r="734" customFormat="false" ht="15" hidden="false" customHeight="true" outlineLevel="0" collapsed="false">
      <c r="A734" s="27" t="s">
        <v>81</v>
      </c>
      <c r="B734" s="41" t="n">
        <v>46303.3375</v>
      </c>
      <c r="C734" s="27" t="s">
        <v>200</v>
      </c>
      <c r="D734" s="27" t="n">
        <v>41.5</v>
      </c>
      <c r="E734" s="27" t="n">
        <v>18.6</v>
      </c>
      <c r="F734" s="27" t="n">
        <v>32.1</v>
      </c>
      <c r="G734" s="27" t="n">
        <v>33.5</v>
      </c>
      <c r="H734" s="27" t="s">
        <v>199</v>
      </c>
      <c r="I734" s="42" t="n">
        <f aca="false">(D734-INDEX('Cohort Summary'!$D$5:$D$14,MATCH($A734,'Cohort Summary'!$A$5:$A$14,0)))/INDEX('Cohort Summary'!$E$5:$E$14,MATCH($A734,'Cohort Summary'!$A$5:$A$14,0))</f>
        <v>-1.38338658146965</v>
      </c>
      <c r="J734" s="42" t="n">
        <f aca="false">(E734-INDEX('Cohort Summary'!$F$5:$F$14,MATCH($A734,'Cohort Summary'!$A$5:$A$14,0)))/INDEX('Cohort Summary'!$G$5:$G$14,MATCH($A734,'Cohort Summary'!$A$5:$A$14,0))</f>
        <v>-0.538860103626943</v>
      </c>
      <c r="K734" s="42" t="n">
        <f aca="false">(F734-INDEX('Cohort Summary'!$H$5:$H$14,MATCH($A734,'Cohort Summary'!$A$5:$A$14,0)))/INDEX('Cohort Summary'!$I$5:$I$14,MATCH($A734,'Cohort Summary'!$A$5:$A$14,0))</f>
        <v>-0.35234899328859</v>
      </c>
      <c r="L734" s="42" t="n">
        <f aca="false">(G734-INDEX('Cohort Summary'!$J$5:$J$14,MATCH($A734,'Cohort Summary'!$A$5:$A$14,0)))/INDEX('Cohort Summary'!$K$5:$K$14,MATCH($A734,'Cohort Summary'!$A$5:$A$14,0))</f>
        <v>0.310344827586206</v>
      </c>
      <c r="M734" s="42" t="n">
        <f aca="false">MAX(I734:K734)</f>
        <v>-0.35234899328859</v>
      </c>
      <c r="N734" s="27" t="s">
        <v>197</v>
      </c>
      <c r="O734" s="27"/>
      <c r="P734" s="27" t="str">
        <f aca="false">A734&amp;"|"&amp;N734</f>
        <v>NURSE-04|normal</v>
      </c>
    </row>
    <row r="735" customFormat="false" ht="15" hidden="false" customHeight="true" outlineLevel="0" collapsed="false">
      <c r="A735" s="27" t="s">
        <v>81</v>
      </c>
      <c r="B735" s="41" t="n">
        <v>46303.3378472222</v>
      </c>
      <c r="C735" s="27" t="s">
        <v>200</v>
      </c>
      <c r="D735" s="27" t="n">
        <v>46.8</v>
      </c>
      <c r="E735" s="27" t="n">
        <v>21.6</v>
      </c>
      <c r="F735" s="27" t="n">
        <v>32.9</v>
      </c>
      <c r="G735" s="27" t="n">
        <v>33.7</v>
      </c>
      <c r="H735" s="27" t="s">
        <v>199</v>
      </c>
      <c r="I735" s="42" t="n">
        <f aca="false">(D735-INDEX('Cohort Summary'!$D$5:$D$14,MATCH($A735,'Cohort Summary'!$A$5:$A$14,0)))/INDEX('Cohort Summary'!$E$5:$E$14,MATCH($A735,'Cohort Summary'!$A$5:$A$14,0))</f>
        <v>0.309904153354632</v>
      </c>
      <c r="J735" s="42" t="n">
        <f aca="false">(E735-INDEX('Cohort Summary'!$F$5:$F$14,MATCH($A735,'Cohort Summary'!$A$5:$A$14,0)))/INDEX('Cohort Summary'!$G$5:$G$14,MATCH($A735,'Cohort Summary'!$A$5:$A$14,0))</f>
        <v>1.01554404145078</v>
      </c>
      <c r="K735" s="42" t="n">
        <f aca="false">(F735-INDEX('Cohort Summary'!$H$5:$H$14,MATCH($A735,'Cohort Summary'!$A$5:$A$14,0)))/INDEX('Cohort Summary'!$I$5:$I$14,MATCH($A735,'Cohort Summary'!$A$5:$A$14,0))</f>
        <v>-0.0838926174496644</v>
      </c>
      <c r="L735" s="42" t="n">
        <f aca="false">(G735-INDEX('Cohort Summary'!$J$5:$J$14,MATCH($A735,'Cohort Summary'!$A$5:$A$14,0)))/INDEX('Cohort Summary'!$K$5:$K$14,MATCH($A735,'Cohort Summary'!$A$5:$A$14,0))</f>
        <v>0.655172413793108</v>
      </c>
      <c r="M735" s="42" t="n">
        <f aca="false">MAX(I735:K735)</f>
        <v>1.01554404145078</v>
      </c>
      <c r="N735" s="27" t="s">
        <v>197</v>
      </c>
      <c r="O735" s="27"/>
      <c r="P735" s="27" t="str">
        <f aca="false">A735&amp;"|"&amp;N735</f>
        <v>NURSE-04|normal</v>
      </c>
    </row>
    <row r="736" customFormat="false" ht="15" hidden="false" customHeight="true" outlineLevel="0" collapsed="false">
      <c r="A736" s="27" t="s">
        <v>81</v>
      </c>
      <c r="B736" s="41" t="n">
        <v>46303.3381944444</v>
      </c>
      <c r="C736" s="27" t="s">
        <v>200</v>
      </c>
      <c r="D736" s="27" t="n">
        <v>42.3</v>
      </c>
      <c r="E736" s="27" t="n">
        <v>21.8</v>
      </c>
      <c r="F736" s="27" t="n">
        <v>37.4</v>
      </c>
      <c r="G736" s="27" t="n">
        <v>34</v>
      </c>
      <c r="H736" s="27" t="s">
        <v>196</v>
      </c>
      <c r="I736" s="42" t="n">
        <f aca="false">(D736-INDEX('Cohort Summary'!$D$5:$D$14,MATCH($A736,'Cohort Summary'!$A$5:$A$14,0)))/INDEX('Cohort Summary'!$E$5:$E$14,MATCH($A736,'Cohort Summary'!$A$5:$A$14,0))</f>
        <v>-1.12779552715655</v>
      </c>
      <c r="J736" s="42" t="n">
        <f aca="false">(E736-INDEX('Cohort Summary'!$F$5:$F$14,MATCH($A736,'Cohort Summary'!$A$5:$A$14,0)))/INDEX('Cohort Summary'!$G$5:$G$14,MATCH($A736,'Cohort Summary'!$A$5:$A$14,0))</f>
        <v>1.11917098445596</v>
      </c>
      <c r="K736" s="42" t="n">
        <f aca="false">(F736-INDEX('Cohort Summary'!$H$5:$H$14,MATCH($A736,'Cohort Summary'!$A$5:$A$14,0)))/INDEX('Cohort Summary'!$I$5:$I$14,MATCH($A736,'Cohort Summary'!$A$5:$A$14,0))</f>
        <v>1.4261744966443</v>
      </c>
      <c r="L736" s="42" t="n">
        <f aca="false">(G736-INDEX('Cohort Summary'!$J$5:$J$14,MATCH($A736,'Cohort Summary'!$A$5:$A$14,0)))/INDEX('Cohort Summary'!$K$5:$K$14,MATCH($A736,'Cohort Summary'!$A$5:$A$14,0))</f>
        <v>1.17241379310345</v>
      </c>
      <c r="M736" s="42" t="n">
        <f aca="false">MAX(I736:K736)</f>
        <v>1.4261744966443</v>
      </c>
      <c r="N736" s="27" t="s">
        <v>197</v>
      </c>
      <c r="O736" s="27"/>
      <c r="P736" s="27" t="str">
        <f aca="false">A736&amp;"|"&amp;N736</f>
        <v>NURSE-04|normal</v>
      </c>
    </row>
    <row r="737" customFormat="false" ht="15" hidden="false" customHeight="true" outlineLevel="0" collapsed="false">
      <c r="A737" s="27" t="s">
        <v>81</v>
      </c>
      <c r="B737" s="41" t="n">
        <v>46303.3385416667</v>
      </c>
      <c r="C737" s="27" t="s">
        <v>200</v>
      </c>
      <c r="D737" s="27" t="n">
        <v>45.7</v>
      </c>
      <c r="E737" s="27" t="n">
        <v>21.5</v>
      </c>
      <c r="F737" s="27" t="n">
        <v>34.8</v>
      </c>
      <c r="G737" s="27" t="n">
        <v>32.5</v>
      </c>
      <c r="H737" s="27" t="s">
        <v>199</v>
      </c>
      <c r="I737" s="42" t="n">
        <f aca="false">(D737-INDEX('Cohort Summary'!$D$5:$D$14,MATCH($A737,'Cohort Summary'!$A$5:$A$14,0)))/INDEX('Cohort Summary'!$E$5:$E$14,MATCH($A737,'Cohort Summary'!$A$5:$A$14,0))</f>
        <v>-0.0415335463258771</v>
      </c>
      <c r="J737" s="42" t="n">
        <f aca="false">(E737-INDEX('Cohort Summary'!$F$5:$F$14,MATCH($A737,'Cohort Summary'!$A$5:$A$14,0)))/INDEX('Cohort Summary'!$G$5:$G$14,MATCH($A737,'Cohort Summary'!$A$5:$A$14,0))</f>
        <v>0.963730569948186</v>
      </c>
      <c r="K737" s="42" t="n">
        <f aca="false">(F737-INDEX('Cohort Summary'!$H$5:$H$14,MATCH($A737,'Cohort Summary'!$A$5:$A$14,0)))/INDEX('Cohort Summary'!$I$5:$I$14,MATCH($A737,'Cohort Summary'!$A$5:$A$14,0))</f>
        <v>0.553691275167785</v>
      </c>
      <c r="L737" s="42" t="n">
        <f aca="false">(G737-INDEX('Cohort Summary'!$J$5:$J$14,MATCH($A737,'Cohort Summary'!$A$5:$A$14,0)))/INDEX('Cohort Summary'!$K$5:$K$14,MATCH($A737,'Cohort Summary'!$A$5:$A$14,0))</f>
        <v>-1.41379310344828</v>
      </c>
      <c r="M737" s="42" t="n">
        <f aca="false">MAX(I737:K737)</f>
        <v>0.963730569948186</v>
      </c>
      <c r="N737" s="27" t="s">
        <v>197</v>
      </c>
      <c r="O737" s="27"/>
      <c r="P737" s="27" t="str">
        <f aca="false">A737&amp;"|"&amp;N737</f>
        <v>NURSE-04|normal</v>
      </c>
    </row>
    <row r="738" customFormat="false" ht="15" hidden="false" customHeight="true" outlineLevel="0" collapsed="false">
      <c r="A738" s="27" t="s">
        <v>81</v>
      </c>
      <c r="B738" s="41" t="n">
        <v>46303.3388888889</v>
      </c>
      <c r="C738" s="27" t="s">
        <v>200</v>
      </c>
      <c r="D738" s="27" t="n">
        <v>49.3</v>
      </c>
      <c r="E738" s="27" t="n">
        <v>21.5</v>
      </c>
      <c r="F738" s="27" t="n">
        <v>36.7</v>
      </c>
      <c r="G738" s="27" t="n">
        <v>32.8</v>
      </c>
      <c r="H738" s="27" t="s">
        <v>196</v>
      </c>
      <c r="I738" s="42" t="n">
        <f aca="false">(D738-INDEX('Cohort Summary'!$D$5:$D$14,MATCH($A738,'Cohort Summary'!$A$5:$A$14,0)))/INDEX('Cohort Summary'!$E$5:$E$14,MATCH($A738,'Cohort Summary'!$A$5:$A$14,0))</f>
        <v>1.10862619808307</v>
      </c>
      <c r="J738" s="42" t="n">
        <f aca="false">(E738-INDEX('Cohort Summary'!$F$5:$F$14,MATCH($A738,'Cohort Summary'!$A$5:$A$14,0)))/INDEX('Cohort Summary'!$G$5:$G$14,MATCH($A738,'Cohort Summary'!$A$5:$A$14,0))</f>
        <v>0.963730569948186</v>
      </c>
      <c r="K738" s="42" t="n">
        <f aca="false">(F738-INDEX('Cohort Summary'!$H$5:$H$14,MATCH($A738,'Cohort Summary'!$A$5:$A$14,0)))/INDEX('Cohort Summary'!$I$5:$I$14,MATCH($A738,'Cohort Summary'!$A$5:$A$14,0))</f>
        <v>1.19127516778524</v>
      </c>
      <c r="L738" s="42" t="n">
        <f aca="false">(G738-INDEX('Cohort Summary'!$J$5:$J$14,MATCH($A738,'Cohort Summary'!$A$5:$A$14,0)))/INDEX('Cohort Summary'!$K$5:$K$14,MATCH($A738,'Cohort Summary'!$A$5:$A$14,0))</f>
        <v>-0.896551724137937</v>
      </c>
      <c r="M738" s="42" t="n">
        <f aca="false">MAX(I738:K738)</f>
        <v>1.19127516778524</v>
      </c>
      <c r="N738" s="27" t="s">
        <v>197</v>
      </c>
      <c r="O738" s="27"/>
      <c r="P738" s="27" t="str">
        <f aca="false">A738&amp;"|"&amp;N738</f>
        <v>NURSE-04|normal</v>
      </c>
    </row>
    <row r="739" customFormat="false" ht="15" hidden="false" customHeight="true" outlineLevel="0" collapsed="false">
      <c r="A739" s="27" t="s">
        <v>81</v>
      </c>
      <c r="B739" s="41" t="n">
        <v>46303.3392361111</v>
      </c>
      <c r="C739" s="27" t="s">
        <v>200</v>
      </c>
      <c r="D739" s="27" t="n">
        <v>46.3</v>
      </c>
      <c r="E739" s="27" t="n">
        <v>22.6</v>
      </c>
      <c r="F739" s="27" t="n">
        <v>29.2</v>
      </c>
      <c r="G739" s="27" t="n">
        <v>34.1</v>
      </c>
      <c r="H739" s="27" t="s">
        <v>199</v>
      </c>
      <c r="I739" s="42" t="n">
        <f aca="false">(D739-INDEX('Cohort Summary'!$D$5:$D$14,MATCH($A739,'Cohort Summary'!$A$5:$A$14,0)))/INDEX('Cohort Summary'!$E$5:$E$14,MATCH($A739,'Cohort Summary'!$A$5:$A$14,0))</f>
        <v>0.150159744408945</v>
      </c>
      <c r="J739" s="42" t="n">
        <f aca="false">(E739-INDEX('Cohort Summary'!$F$5:$F$14,MATCH($A739,'Cohort Summary'!$A$5:$A$14,0)))/INDEX('Cohort Summary'!$G$5:$G$14,MATCH($A739,'Cohort Summary'!$A$5:$A$14,0))</f>
        <v>1.53367875647668</v>
      </c>
      <c r="K739" s="42" t="n">
        <f aca="false">(F739-INDEX('Cohort Summary'!$H$5:$H$14,MATCH($A739,'Cohort Summary'!$A$5:$A$14,0)))/INDEX('Cohort Summary'!$I$5:$I$14,MATCH($A739,'Cohort Summary'!$A$5:$A$14,0))</f>
        <v>-1.3255033557047</v>
      </c>
      <c r="L739" s="42" t="n">
        <f aca="false">(G739-INDEX('Cohort Summary'!$J$5:$J$14,MATCH($A739,'Cohort Summary'!$A$5:$A$14,0)))/INDEX('Cohort Summary'!$K$5:$K$14,MATCH($A739,'Cohort Summary'!$A$5:$A$14,0))</f>
        <v>1.3448275862069</v>
      </c>
      <c r="M739" s="42" t="n">
        <f aca="false">MAX(I739:K739)</f>
        <v>1.53367875647668</v>
      </c>
      <c r="N739" s="27" t="s">
        <v>197</v>
      </c>
      <c r="O739" s="27"/>
      <c r="P739" s="27" t="str">
        <f aca="false">A739&amp;"|"&amp;N739</f>
        <v>NURSE-04|normal</v>
      </c>
    </row>
    <row r="740" customFormat="false" ht="15" hidden="false" customHeight="true" outlineLevel="0" collapsed="false">
      <c r="A740" s="27" t="s">
        <v>81</v>
      </c>
      <c r="B740" s="41" t="n">
        <v>46303.3395833333</v>
      </c>
      <c r="C740" s="27" t="s">
        <v>200</v>
      </c>
      <c r="D740" s="27" t="n">
        <v>48.5</v>
      </c>
      <c r="E740" s="27" t="n">
        <v>21.9</v>
      </c>
      <c r="F740" s="27" t="n">
        <v>30.4</v>
      </c>
      <c r="G740" s="27" t="n">
        <v>33.4</v>
      </c>
      <c r="H740" s="27" t="s">
        <v>196</v>
      </c>
      <c r="I740" s="42" t="n">
        <f aca="false">(D740-INDEX('Cohort Summary'!$D$5:$D$14,MATCH($A740,'Cohort Summary'!$A$5:$A$14,0)))/INDEX('Cohort Summary'!$E$5:$E$14,MATCH($A740,'Cohort Summary'!$A$5:$A$14,0))</f>
        <v>0.853035143769969</v>
      </c>
      <c r="J740" s="42" t="n">
        <f aca="false">(E740-INDEX('Cohort Summary'!$F$5:$F$14,MATCH($A740,'Cohort Summary'!$A$5:$A$14,0)))/INDEX('Cohort Summary'!$G$5:$G$14,MATCH($A740,'Cohort Summary'!$A$5:$A$14,0))</f>
        <v>1.17098445595855</v>
      </c>
      <c r="K740" s="42" t="n">
        <f aca="false">(F740-INDEX('Cohort Summary'!$H$5:$H$14,MATCH($A740,'Cohort Summary'!$A$5:$A$14,0)))/INDEX('Cohort Summary'!$I$5:$I$14,MATCH($A740,'Cohort Summary'!$A$5:$A$14,0))</f>
        <v>-0.922818791946309</v>
      </c>
      <c r="L740" s="42" t="n">
        <f aca="false">(G740-INDEX('Cohort Summary'!$J$5:$J$14,MATCH($A740,'Cohort Summary'!$A$5:$A$14,0)))/INDEX('Cohort Summary'!$K$5:$K$14,MATCH($A740,'Cohort Summary'!$A$5:$A$14,0))</f>
        <v>0.137931034482756</v>
      </c>
      <c r="M740" s="42" t="n">
        <f aca="false">MAX(I740:K740)</f>
        <v>1.17098445595855</v>
      </c>
      <c r="N740" s="27" t="s">
        <v>197</v>
      </c>
      <c r="O740" s="27"/>
      <c r="P740" s="27" t="str">
        <f aca="false">A740&amp;"|"&amp;N740</f>
        <v>NURSE-04|normal</v>
      </c>
    </row>
    <row r="741" customFormat="false" ht="15" hidden="false" customHeight="true" outlineLevel="0" collapsed="false">
      <c r="A741" s="27" t="s">
        <v>81</v>
      </c>
      <c r="B741" s="41" t="n">
        <v>46303.3399305556</v>
      </c>
      <c r="C741" s="27" t="s">
        <v>200</v>
      </c>
      <c r="D741" s="27" t="n">
        <v>43.4</v>
      </c>
      <c r="E741" s="27" t="n">
        <v>19.4</v>
      </c>
      <c r="F741" s="27" t="n">
        <v>37.1</v>
      </c>
      <c r="G741" s="27" t="n">
        <v>33.6</v>
      </c>
      <c r="H741" s="27" t="s">
        <v>196</v>
      </c>
      <c r="I741" s="42" t="n">
        <f aca="false">(D741-INDEX('Cohort Summary'!$D$5:$D$14,MATCH($A741,'Cohort Summary'!$A$5:$A$14,0)))/INDEX('Cohort Summary'!$E$5:$E$14,MATCH($A741,'Cohort Summary'!$A$5:$A$14,0))</f>
        <v>-0.776357827476038</v>
      </c>
      <c r="J741" s="42" t="n">
        <f aca="false">(E741-INDEX('Cohort Summary'!$F$5:$F$14,MATCH($A741,'Cohort Summary'!$A$5:$A$14,0)))/INDEX('Cohort Summary'!$G$5:$G$14,MATCH($A741,'Cohort Summary'!$A$5:$A$14,0))</f>
        <v>-0.124352331606219</v>
      </c>
      <c r="K741" s="42" t="n">
        <f aca="false">(F741-INDEX('Cohort Summary'!$H$5:$H$14,MATCH($A741,'Cohort Summary'!$A$5:$A$14,0)))/INDEX('Cohort Summary'!$I$5:$I$14,MATCH($A741,'Cohort Summary'!$A$5:$A$14,0))</f>
        <v>1.3255033557047</v>
      </c>
      <c r="L741" s="42" t="n">
        <f aca="false">(G741-INDEX('Cohort Summary'!$J$5:$J$14,MATCH($A741,'Cohort Summary'!$A$5:$A$14,0)))/INDEX('Cohort Summary'!$K$5:$K$14,MATCH($A741,'Cohort Summary'!$A$5:$A$14,0))</f>
        <v>0.482758620689657</v>
      </c>
      <c r="M741" s="42" t="n">
        <f aca="false">MAX(I741:K741)</f>
        <v>1.3255033557047</v>
      </c>
      <c r="N741" s="27" t="s">
        <v>197</v>
      </c>
      <c r="O741" s="27"/>
      <c r="P741" s="27" t="str">
        <f aca="false">A741&amp;"|"&amp;N741</f>
        <v>NURSE-04|normal</v>
      </c>
    </row>
    <row r="742" customFormat="false" ht="15" hidden="false" customHeight="true" outlineLevel="0" collapsed="false">
      <c r="A742" s="27" t="s">
        <v>81</v>
      </c>
      <c r="B742" s="41" t="n">
        <v>46303.3402777778</v>
      </c>
      <c r="C742" s="27" t="s">
        <v>200</v>
      </c>
      <c r="D742" s="27" t="n">
        <v>41.5</v>
      </c>
      <c r="E742" s="27" t="n">
        <v>20.6</v>
      </c>
      <c r="F742" s="27" t="n">
        <v>31.9</v>
      </c>
      <c r="G742" s="27" t="n">
        <v>33.5</v>
      </c>
      <c r="H742" s="27" t="s">
        <v>199</v>
      </c>
      <c r="I742" s="42" t="n">
        <f aca="false">(D742-INDEX('Cohort Summary'!$D$5:$D$14,MATCH($A742,'Cohort Summary'!$A$5:$A$14,0)))/INDEX('Cohort Summary'!$E$5:$E$14,MATCH($A742,'Cohort Summary'!$A$5:$A$14,0))</f>
        <v>-1.38338658146965</v>
      </c>
      <c r="J742" s="42" t="n">
        <f aca="false">(E742-INDEX('Cohort Summary'!$F$5:$F$14,MATCH($A742,'Cohort Summary'!$A$5:$A$14,0)))/INDEX('Cohort Summary'!$G$5:$G$14,MATCH($A742,'Cohort Summary'!$A$5:$A$14,0))</f>
        <v>0.497409326424871</v>
      </c>
      <c r="K742" s="42" t="n">
        <f aca="false">(F742-INDEX('Cohort Summary'!$H$5:$H$14,MATCH($A742,'Cohort Summary'!$A$5:$A$14,0)))/INDEX('Cohort Summary'!$I$5:$I$14,MATCH($A742,'Cohort Summary'!$A$5:$A$14,0))</f>
        <v>-0.419463087248322</v>
      </c>
      <c r="L742" s="42" t="n">
        <f aca="false">(G742-INDEX('Cohort Summary'!$J$5:$J$14,MATCH($A742,'Cohort Summary'!$A$5:$A$14,0)))/INDEX('Cohort Summary'!$K$5:$K$14,MATCH($A742,'Cohort Summary'!$A$5:$A$14,0))</f>
        <v>0.310344827586206</v>
      </c>
      <c r="M742" s="42" t="n">
        <f aca="false">MAX(I742:K742)</f>
        <v>0.497409326424871</v>
      </c>
      <c r="N742" s="27" t="s">
        <v>197</v>
      </c>
      <c r="O742" s="27"/>
      <c r="P742" s="27" t="str">
        <f aca="false">A742&amp;"|"&amp;N742</f>
        <v>NURSE-04|normal</v>
      </c>
    </row>
    <row r="743" customFormat="false" ht="15" hidden="false" customHeight="true" outlineLevel="0" collapsed="false">
      <c r="A743" s="27" t="s">
        <v>81</v>
      </c>
      <c r="B743" s="41" t="n">
        <v>46303.340625</v>
      </c>
      <c r="C743" s="27" t="s">
        <v>200</v>
      </c>
      <c r="D743" s="27" t="n">
        <v>49.3</v>
      </c>
      <c r="E743" s="27" t="n">
        <v>18.8</v>
      </c>
      <c r="F743" s="27" t="n">
        <v>28.9</v>
      </c>
      <c r="G743" s="27" t="n">
        <v>33.5</v>
      </c>
      <c r="H743" s="27" t="s">
        <v>199</v>
      </c>
      <c r="I743" s="42" t="n">
        <f aca="false">(D743-INDEX('Cohort Summary'!$D$5:$D$14,MATCH($A743,'Cohort Summary'!$A$5:$A$14,0)))/INDEX('Cohort Summary'!$E$5:$E$14,MATCH($A743,'Cohort Summary'!$A$5:$A$14,0))</f>
        <v>1.10862619808307</v>
      </c>
      <c r="J743" s="42" t="n">
        <f aca="false">(E743-INDEX('Cohort Summary'!$F$5:$F$14,MATCH($A743,'Cohort Summary'!$A$5:$A$14,0)))/INDEX('Cohort Summary'!$G$5:$G$14,MATCH($A743,'Cohort Summary'!$A$5:$A$14,0))</f>
        <v>-0.435233160621762</v>
      </c>
      <c r="K743" s="42" t="n">
        <f aca="false">(F743-INDEX('Cohort Summary'!$H$5:$H$14,MATCH($A743,'Cohort Summary'!$A$5:$A$14,0)))/INDEX('Cohort Summary'!$I$5:$I$14,MATCH($A743,'Cohort Summary'!$A$5:$A$14,0))</f>
        <v>-1.4261744966443</v>
      </c>
      <c r="L743" s="42" t="n">
        <f aca="false">(G743-INDEX('Cohort Summary'!$J$5:$J$14,MATCH($A743,'Cohort Summary'!$A$5:$A$14,0)))/INDEX('Cohort Summary'!$K$5:$K$14,MATCH($A743,'Cohort Summary'!$A$5:$A$14,0))</f>
        <v>0.310344827586206</v>
      </c>
      <c r="M743" s="42" t="n">
        <f aca="false">MAX(I743:K743)</f>
        <v>1.10862619808307</v>
      </c>
      <c r="N743" s="27" t="s">
        <v>197</v>
      </c>
      <c r="O743" s="27"/>
      <c r="P743" s="27" t="str">
        <f aca="false">A743&amp;"|"&amp;N743</f>
        <v>NURSE-04|normal</v>
      </c>
    </row>
    <row r="744" customFormat="false" ht="15" hidden="false" customHeight="true" outlineLevel="0" collapsed="false">
      <c r="A744" s="27" t="s">
        <v>81</v>
      </c>
      <c r="B744" s="41" t="n">
        <v>46303.3409722222</v>
      </c>
      <c r="C744" s="27" t="s">
        <v>200</v>
      </c>
      <c r="D744" s="27" t="n">
        <v>47.6</v>
      </c>
      <c r="E744" s="27" t="n">
        <v>22.3</v>
      </c>
      <c r="F744" s="27" t="n">
        <v>32.3</v>
      </c>
      <c r="G744" s="27" t="n">
        <v>32.8</v>
      </c>
      <c r="H744" s="27" t="s">
        <v>199</v>
      </c>
      <c r="I744" s="42" t="n">
        <f aca="false">(D744-INDEX('Cohort Summary'!$D$5:$D$14,MATCH($A744,'Cohort Summary'!$A$5:$A$14,0)))/INDEX('Cohort Summary'!$E$5:$E$14,MATCH($A744,'Cohort Summary'!$A$5:$A$14,0))</f>
        <v>0.565495207667733</v>
      </c>
      <c r="J744" s="42" t="n">
        <f aca="false">(E744-INDEX('Cohort Summary'!$F$5:$F$14,MATCH($A744,'Cohort Summary'!$A$5:$A$14,0)))/INDEX('Cohort Summary'!$G$5:$G$14,MATCH($A744,'Cohort Summary'!$A$5:$A$14,0))</f>
        <v>1.37823834196891</v>
      </c>
      <c r="K744" s="42" t="n">
        <f aca="false">(F744-INDEX('Cohort Summary'!$H$5:$H$14,MATCH($A744,'Cohort Summary'!$A$5:$A$14,0)))/INDEX('Cohort Summary'!$I$5:$I$14,MATCH($A744,'Cohort Summary'!$A$5:$A$14,0))</f>
        <v>-0.28523489932886</v>
      </c>
      <c r="L744" s="42" t="n">
        <f aca="false">(G744-INDEX('Cohort Summary'!$J$5:$J$14,MATCH($A744,'Cohort Summary'!$A$5:$A$14,0)))/INDEX('Cohort Summary'!$K$5:$K$14,MATCH($A744,'Cohort Summary'!$A$5:$A$14,0))</f>
        <v>-0.896551724137937</v>
      </c>
      <c r="M744" s="42" t="n">
        <f aca="false">MAX(I744:K744)</f>
        <v>1.37823834196891</v>
      </c>
      <c r="N744" s="27" t="s">
        <v>197</v>
      </c>
      <c r="O744" s="27"/>
      <c r="P744" s="27" t="str">
        <f aca="false">A744&amp;"|"&amp;N744</f>
        <v>NURSE-04|normal</v>
      </c>
    </row>
    <row r="745" customFormat="false" ht="15" hidden="false" customHeight="true" outlineLevel="0" collapsed="false">
      <c r="A745" s="27" t="s">
        <v>81</v>
      </c>
      <c r="B745" s="41" t="n">
        <v>46303.3413194444</v>
      </c>
      <c r="C745" s="27" t="s">
        <v>200</v>
      </c>
      <c r="D745" s="27" t="n">
        <v>45.9</v>
      </c>
      <c r="E745" s="27" t="n">
        <v>16.1</v>
      </c>
      <c r="F745" s="27" t="n">
        <v>29.1</v>
      </c>
      <c r="G745" s="27" t="n">
        <v>33.8</v>
      </c>
      <c r="H745" s="27" t="s">
        <v>199</v>
      </c>
      <c r="I745" s="42" t="n">
        <f aca="false">(D745-INDEX('Cohort Summary'!$D$5:$D$14,MATCH($A745,'Cohort Summary'!$A$5:$A$14,0)))/INDEX('Cohort Summary'!$E$5:$E$14,MATCH($A745,'Cohort Summary'!$A$5:$A$14,0))</f>
        <v>0.0223642172523963</v>
      </c>
      <c r="J745" s="42" t="n">
        <f aca="false">(E745-INDEX('Cohort Summary'!$F$5:$F$14,MATCH($A745,'Cohort Summary'!$A$5:$A$14,0)))/INDEX('Cohort Summary'!$G$5:$G$14,MATCH($A745,'Cohort Summary'!$A$5:$A$14,0))</f>
        <v>-1.83419689119171</v>
      </c>
      <c r="K745" s="42" t="n">
        <f aca="false">(F745-INDEX('Cohort Summary'!$H$5:$H$14,MATCH($A745,'Cohort Summary'!$A$5:$A$14,0)))/INDEX('Cohort Summary'!$I$5:$I$14,MATCH($A745,'Cohort Summary'!$A$5:$A$14,0))</f>
        <v>-1.35906040268456</v>
      </c>
      <c r="L745" s="42" t="n">
        <f aca="false">(G745-INDEX('Cohort Summary'!$J$5:$J$14,MATCH($A745,'Cohort Summary'!$A$5:$A$14,0)))/INDEX('Cohort Summary'!$K$5:$K$14,MATCH($A745,'Cohort Summary'!$A$5:$A$14,0))</f>
        <v>0.827586206896546</v>
      </c>
      <c r="M745" s="42" t="n">
        <f aca="false">MAX(I745:K745)</f>
        <v>0.0223642172523963</v>
      </c>
      <c r="N745" s="27" t="s">
        <v>197</v>
      </c>
      <c r="O745" s="27"/>
      <c r="P745" s="27" t="str">
        <f aca="false">A745&amp;"|"&amp;N745</f>
        <v>NURSE-04|normal</v>
      </c>
    </row>
    <row r="746" customFormat="false" ht="15" hidden="false" customHeight="true" outlineLevel="0" collapsed="false">
      <c r="A746" s="27" t="s">
        <v>81</v>
      </c>
      <c r="B746" s="41" t="n">
        <v>46303.3416666667</v>
      </c>
      <c r="C746" s="27" t="s">
        <v>200</v>
      </c>
      <c r="D746" s="27" t="n">
        <v>45.1</v>
      </c>
      <c r="E746" s="27" t="n">
        <v>18.1</v>
      </c>
      <c r="F746" s="27" t="n">
        <v>29.5</v>
      </c>
      <c r="G746" s="27" t="n">
        <v>33.3</v>
      </c>
      <c r="H746" s="27" t="s">
        <v>198</v>
      </c>
      <c r="I746" s="42" t="n">
        <f aca="false">(D746-INDEX('Cohort Summary'!$D$5:$D$14,MATCH($A746,'Cohort Summary'!$A$5:$A$14,0)))/INDEX('Cohort Summary'!$E$5:$E$14,MATCH($A746,'Cohort Summary'!$A$5:$A$14,0))</f>
        <v>-0.233226837060702</v>
      </c>
      <c r="J746" s="42" t="n">
        <f aca="false">(E746-INDEX('Cohort Summary'!$F$5:$F$14,MATCH($A746,'Cohort Summary'!$A$5:$A$14,0)))/INDEX('Cohort Summary'!$G$5:$G$14,MATCH($A746,'Cohort Summary'!$A$5:$A$14,0))</f>
        <v>-0.797927461139896</v>
      </c>
      <c r="K746" s="42" t="n">
        <f aca="false">(F746-INDEX('Cohort Summary'!$H$5:$H$14,MATCH($A746,'Cohort Summary'!$A$5:$A$14,0)))/INDEX('Cohort Summary'!$I$5:$I$14,MATCH($A746,'Cohort Summary'!$A$5:$A$14,0))</f>
        <v>-1.2248322147651</v>
      </c>
      <c r="L746" s="42" t="n">
        <f aca="false">(G746-INDEX('Cohort Summary'!$J$5:$J$14,MATCH($A746,'Cohort Summary'!$A$5:$A$14,0)))/INDEX('Cohort Summary'!$K$5:$K$14,MATCH($A746,'Cohort Summary'!$A$5:$A$14,0))</f>
        <v>-0.034482758620695</v>
      </c>
      <c r="M746" s="42" t="n">
        <f aca="false">MAX(I746:K746)</f>
        <v>-0.233226837060702</v>
      </c>
      <c r="N746" s="27" t="s">
        <v>197</v>
      </c>
      <c r="O746" s="27"/>
      <c r="P746" s="27" t="str">
        <f aca="false">A746&amp;"|"&amp;N746</f>
        <v>NURSE-04|normal</v>
      </c>
    </row>
    <row r="747" customFormat="false" ht="15" hidden="false" customHeight="true" outlineLevel="0" collapsed="false">
      <c r="A747" s="27" t="s">
        <v>81</v>
      </c>
      <c r="B747" s="41" t="n">
        <v>46303.3420138889</v>
      </c>
      <c r="C747" s="27" t="s">
        <v>200</v>
      </c>
      <c r="D747" s="27" t="n">
        <v>44.5</v>
      </c>
      <c r="E747" s="27" t="n">
        <v>21.9</v>
      </c>
      <c r="F747" s="27" t="n">
        <v>34.2</v>
      </c>
      <c r="G747" s="27" t="n">
        <v>32.8</v>
      </c>
      <c r="H747" s="27" t="s">
        <v>198</v>
      </c>
      <c r="I747" s="42" t="n">
        <f aca="false">(D747-INDEX('Cohort Summary'!$D$5:$D$14,MATCH($A747,'Cohort Summary'!$A$5:$A$14,0)))/INDEX('Cohort Summary'!$E$5:$E$14,MATCH($A747,'Cohort Summary'!$A$5:$A$14,0))</f>
        <v>-0.424920127795527</v>
      </c>
      <c r="J747" s="42" t="n">
        <f aca="false">(E747-INDEX('Cohort Summary'!$F$5:$F$14,MATCH($A747,'Cohort Summary'!$A$5:$A$14,0)))/INDEX('Cohort Summary'!$G$5:$G$14,MATCH($A747,'Cohort Summary'!$A$5:$A$14,0))</f>
        <v>1.17098445595855</v>
      </c>
      <c r="K747" s="42" t="n">
        <f aca="false">(F747-INDEX('Cohort Summary'!$H$5:$H$14,MATCH($A747,'Cohort Summary'!$A$5:$A$14,0)))/INDEX('Cohort Summary'!$I$5:$I$14,MATCH($A747,'Cohort Summary'!$A$5:$A$14,0))</f>
        <v>0.352348993288592</v>
      </c>
      <c r="L747" s="42" t="n">
        <f aca="false">(G747-INDEX('Cohort Summary'!$J$5:$J$14,MATCH($A747,'Cohort Summary'!$A$5:$A$14,0)))/INDEX('Cohort Summary'!$K$5:$K$14,MATCH($A747,'Cohort Summary'!$A$5:$A$14,0))</f>
        <v>-0.896551724137937</v>
      </c>
      <c r="M747" s="42" t="n">
        <f aca="false">MAX(I747:K747)</f>
        <v>1.17098445595855</v>
      </c>
      <c r="N747" s="27" t="s">
        <v>197</v>
      </c>
      <c r="O747" s="27"/>
      <c r="P747" s="27" t="str">
        <f aca="false">A747&amp;"|"&amp;N747</f>
        <v>NURSE-04|normal</v>
      </c>
    </row>
    <row r="748" customFormat="false" ht="15" hidden="false" customHeight="true" outlineLevel="0" collapsed="false">
      <c r="A748" s="27" t="s">
        <v>81</v>
      </c>
      <c r="B748" s="41" t="n">
        <v>46303.3423611111</v>
      </c>
      <c r="C748" s="27" t="s">
        <v>200</v>
      </c>
      <c r="D748" s="27" t="n">
        <v>50.9</v>
      </c>
      <c r="E748" s="27" t="n">
        <v>17.3</v>
      </c>
      <c r="F748" s="27" t="n">
        <v>36.9</v>
      </c>
      <c r="G748" s="27" t="n">
        <v>33</v>
      </c>
      <c r="H748" s="27" t="s">
        <v>196</v>
      </c>
      <c r="I748" s="42" t="n">
        <f aca="false">(D748-INDEX('Cohort Summary'!$D$5:$D$14,MATCH($A748,'Cohort Summary'!$A$5:$A$14,0)))/INDEX('Cohort Summary'!$E$5:$E$14,MATCH($A748,'Cohort Summary'!$A$5:$A$14,0))</f>
        <v>1.61980830670927</v>
      </c>
      <c r="J748" s="42" t="n">
        <f aca="false">(E748-INDEX('Cohort Summary'!$F$5:$F$14,MATCH($A748,'Cohort Summary'!$A$5:$A$14,0)))/INDEX('Cohort Summary'!$G$5:$G$14,MATCH($A748,'Cohort Summary'!$A$5:$A$14,0))</f>
        <v>-1.21243523316062</v>
      </c>
      <c r="K748" s="42" t="n">
        <f aca="false">(F748-INDEX('Cohort Summary'!$H$5:$H$14,MATCH($A748,'Cohort Summary'!$A$5:$A$14,0)))/INDEX('Cohort Summary'!$I$5:$I$14,MATCH($A748,'Cohort Summary'!$A$5:$A$14,0))</f>
        <v>1.25838926174497</v>
      </c>
      <c r="L748" s="42" t="n">
        <f aca="false">(G748-INDEX('Cohort Summary'!$J$5:$J$14,MATCH($A748,'Cohort Summary'!$A$5:$A$14,0)))/INDEX('Cohort Summary'!$K$5:$K$14,MATCH($A748,'Cohort Summary'!$A$5:$A$14,0))</f>
        <v>-0.551724137931035</v>
      </c>
      <c r="M748" s="42" t="n">
        <f aca="false">MAX(I748:K748)</f>
        <v>1.61980830670927</v>
      </c>
      <c r="N748" s="27" t="s">
        <v>197</v>
      </c>
      <c r="O748" s="27"/>
      <c r="P748" s="27" t="str">
        <f aca="false">A748&amp;"|"&amp;N748</f>
        <v>NURSE-04|normal</v>
      </c>
    </row>
    <row r="749" customFormat="false" ht="15" hidden="false" customHeight="true" outlineLevel="0" collapsed="false">
      <c r="A749" s="27" t="s">
        <v>81</v>
      </c>
      <c r="B749" s="41" t="n">
        <v>46303.3427083333</v>
      </c>
      <c r="C749" s="27" t="s">
        <v>200</v>
      </c>
      <c r="D749" s="27" t="n">
        <v>49.1</v>
      </c>
      <c r="E749" s="27" t="n">
        <v>16.8</v>
      </c>
      <c r="F749" s="27" t="n">
        <v>34.8</v>
      </c>
      <c r="G749" s="27" t="n">
        <v>32.3</v>
      </c>
      <c r="H749" s="27" t="s">
        <v>198</v>
      </c>
      <c r="I749" s="42" t="n">
        <f aca="false">(D749-INDEX('Cohort Summary'!$D$5:$D$14,MATCH($A749,'Cohort Summary'!$A$5:$A$14,0)))/INDEX('Cohort Summary'!$E$5:$E$14,MATCH($A749,'Cohort Summary'!$A$5:$A$14,0))</f>
        <v>1.04472843450479</v>
      </c>
      <c r="J749" s="42" t="n">
        <f aca="false">(E749-INDEX('Cohort Summary'!$F$5:$F$14,MATCH($A749,'Cohort Summary'!$A$5:$A$14,0)))/INDEX('Cohort Summary'!$G$5:$G$14,MATCH($A749,'Cohort Summary'!$A$5:$A$14,0))</f>
        <v>-1.47150259067358</v>
      </c>
      <c r="K749" s="42" t="n">
        <f aca="false">(F749-INDEX('Cohort Summary'!$H$5:$H$14,MATCH($A749,'Cohort Summary'!$A$5:$A$14,0)))/INDEX('Cohort Summary'!$I$5:$I$14,MATCH($A749,'Cohort Summary'!$A$5:$A$14,0))</f>
        <v>0.553691275167785</v>
      </c>
      <c r="L749" s="42" t="n">
        <f aca="false">(G749-INDEX('Cohort Summary'!$J$5:$J$14,MATCH($A749,'Cohort Summary'!$A$5:$A$14,0)))/INDEX('Cohort Summary'!$K$5:$K$14,MATCH($A749,'Cohort Summary'!$A$5:$A$14,0))</f>
        <v>-1.75862068965518</v>
      </c>
      <c r="M749" s="42" t="n">
        <f aca="false">MAX(I749:K749)</f>
        <v>1.04472843450479</v>
      </c>
      <c r="N749" s="27" t="s">
        <v>197</v>
      </c>
      <c r="O749" s="27"/>
      <c r="P749" s="27" t="str">
        <f aca="false">A749&amp;"|"&amp;N749</f>
        <v>NURSE-04|normal</v>
      </c>
    </row>
    <row r="750" customFormat="false" ht="15" hidden="false" customHeight="true" outlineLevel="0" collapsed="false">
      <c r="A750" s="27" t="s">
        <v>81</v>
      </c>
      <c r="B750" s="41" t="n">
        <v>46303.3430555556</v>
      </c>
      <c r="C750" s="27" t="s">
        <v>200</v>
      </c>
      <c r="D750" s="27" t="n">
        <v>44.9</v>
      </c>
      <c r="E750" s="27" t="n">
        <v>18.3</v>
      </c>
      <c r="F750" s="27" t="n">
        <v>29.5</v>
      </c>
      <c r="G750" s="27" t="n">
        <v>32.5</v>
      </c>
      <c r="H750" s="27" t="s">
        <v>199</v>
      </c>
      <c r="I750" s="42" t="n">
        <f aca="false">(D750-INDEX('Cohort Summary'!$D$5:$D$14,MATCH($A750,'Cohort Summary'!$A$5:$A$14,0)))/INDEX('Cohort Summary'!$E$5:$E$14,MATCH($A750,'Cohort Summary'!$A$5:$A$14,0))</f>
        <v>-0.297124600638978</v>
      </c>
      <c r="J750" s="42" t="n">
        <f aca="false">(E750-INDEX('Cohort Summary'!$F$5:$F$14,MATCH($A750,'Cohort Summary'!$A$5:$A$14,0)))/INDEX('Cohort Summary'!$G$5:$G$14,MATCH($A750,'Cohort Summary'!$A$5:$A$14,0))</f>
        <v>-0.694300518134715</v>
      </c>
      <c r="K750" s="42" t="n">
        <f aca="false">(F750-INDEX('Cohort Summary'!$H$5:$H$14,MATCH($A750,'Cohort Summary'!$A$5:$A$14,0)))/INDEX('Cohort Summary'!$I$5:$I$14,MATCH($A750,'Cohort Summary'!$A$5:$A$14,0))</f>
        <v>-1.2248322147651</v>
      </c>
      <c r="L750" s="42" t="n">
        <f aca="false">(G750-INDEX('Cohort Summary'!$J$5:$J$14,MATCH($A750,'Cohort Summary'!$A$5:$A$14,0)))/INDEX('Cohort Summary'!$K$5:$K$14,MATCH($A750,'Cohort Summary'!$A$5:$A$14,0))</f>
        <v>-1.41379310344828</v>
      </c>
      <c r="M750" s="42" t="n">
        <f aca="false">MAX(I750:K750)</f>
        <v>-0.297124600638978</v>
      </c>
      <c r="N750" s="27" t="s">
        <v>197</v>
      </c>
      <c r="O750" s="27"/>
      <c r="P750" s="27" t="str">
        <f aca="false">A750&amp;"|"&amp;N750</f>
        <v>NURSE-04|normal</v>
      </c>
    </row>
    <row r="751" customFormat="false" ht="15" hidden="false" customHeight="true" outlineLevel="0" collapsed="false">
      <c r="A751" s="27" t="s">
        <v>81</v>
      </c>
      <c r="B751" s="41" t="n">
        <v>46303.3434027778</v>
      </c>
      <c r="C751" s="27" t="s">
        <v>200</v>
      </c>
      <c r="D751" s="27" t="n">
        <v>49.9</v>
      </c>
      <c r="E751" s="27" t="n">
        <v>20.3</v>
      </c>
      <c r="F751" s="27" t="n">
        <v>36.9</v>
      </c>
      <c r="G751" s="27" t="n">
        <v>33</v>
      </c>
      <c r="H751" s="27" t="s">
        <v>199</v>
      </c>
      <c r="I751" s="42" t="n">
        <f aca="false">(D751-INDEX('Cohort Summary'!$D$5:$D$14,MATCH($A751,'Cohort Summary'!$A$5:$A$14,0)))/INDEX('Cohort Summary'!$E$5:$E$14,MATCH($A751,'Cohort Summary'!$A$5:$A$14,0))</f>
        <v>1.30031948881789</v>
      </c>
      <c r="J751" s="42" t="n">
        <f aca="false">(E751-INDEX('Cohort Summary'!$F$5:$F$14,MATCH($A751,'Cohort Summary'!$A$5:$A$14,0)))/INDEX('Cohort Summary'!$G$5:$G$14,MATCH($A751,'Cohort Summary'!$A$5:$A$14,0))</f>
        <v>0.341968911917099</v>
      </c>
      <c r="K751" s="42" t="n">
        <f aca="false">(F751-INDEX('Cohort Summary'!$H$5:$H$14,MATCH($A751,'Cohort Summary'!$A$5:$A$14,0)))/INDEX('Cohort Summary'!$I$5:$I$14,MATCH($A751,'Cohort Summary'!$A$5:$A$14,0))</f>
        <v>1.25838926174497</v>
      </c>
      <c r="L751" s="42" t="n">
        <f aca="false">(G751-INDEX('Cohort Summary'!$J$5:$J$14,MATCH($A751,'Cohort Summary'!$A$5:$A$14,0)))/INDEX('Cohort Summary'!$K$5:$K$14,MATCH($A751,'Cohort Summary'!$A$5:$A$14,0))</f>
        <v>-0.551724137931035</v>
      </c>
      <c r="M751" s="42" t="n">
        <f aca="false">MAX(I751:K751)</f>
        <v>1.30031948881789</v>
      </c>
      <c r="N751" s="27" t="s">
        <v>197</v>
      </c>
      <c r="O751" s="27"/>
      <c r="P751" s="27" t="str">
        <f aca="false">A751&amp;"|"&amp;N751</f>
        <v>NURSE-04|normal</v>
      </c>
    </row>
    <row r="752" customFormat="false" ht="15" hidden="false" customHeight="true" outlineLevel="0" collapsed="false">
      <c r="A752" s="27" t="s">
        <v>81</v>
      </c>
      <c r="B752" s="41" t="n">
        <v>46303.34375</v>
      </c>
      <c r="C752" s="27" t="s">
        <v>200</v>
      </c>
      <c r="D752" s="27" t="n">
        <v>44.2</v>
      </c>
      <c r="E752" s="27" t="n">
        <v>22.1</v>
      </c>
      <c r="F752" s="27" t="n">
        <v>35.9</v>
      </c>
      <c r="G752" s="27" t="n">
        <v>33.4</v>
      </c>
      <c r="H752" s="27" t="s">
        <v>198</v>
      </c>
      <c r="I752" s="42" t="n">
        <f aca="false">(D752-INDEX('Cohort Summary'!$D$5:$D$14,MATCH($A752,'Cohort Summary'!$A$5:$A$14,0)))/INDEX('Cohort Summary'!$E$5:$E$14,MATCH($A752,'Cohort Summary'!$A$5:$A$14,0))</f>
        <v>-0.520766773162938</v>
      </c>
      <c r="J752" s="42" t="n">
        <f aca="false">(E752-INDEX('Cohort Summary'!$F$5:$F$14,MATCH($A752,'Cohort Summary'!$A$5:$A$14,0)))/INDEX('Cohort Summary'!$G$5:$G$14,MATCH($A752,'Cohort Summary'!$A$5:$A$14,0))</f>
        <v>1.27461139896373</v>
      </c>
      <c r="K752" s="42" t="n">
        <f aca="false">(F752-INDEX('Cohort Summary'!$H$5:$H$14,MATCH($A752,'Cohort Summary'!$A$5:$A$14,0)))/INDEX('Cohort Summary'!$I$5:$I$14,MATCH($A752,'Cohort Summary'!$A$5:$A$14,0))</f>
        <v>0.922818791946309</v>
      </c>
      <c r="L752" s="42" t="n">
        <f aca="false">(G752-INDEX('Cohort Summary'!$J$5:$J$14,MATCH($A752,'Cohort Summary'!$A$5:$A$14,0)))/INDEX('Cohort Summary'!$K$5:$K$14,MATCH($A752,'Cohort Summary'!$A$5:$A$14,0))</f>
        <v>0.137931034482756</v>
      </c>
      <c r="M752" s="42" t="n">
        <f aca="false">MAX(I752:K752)</f>
        <v>1.27461139896373</v>
      </c>
      <c r="N752" s="27" t="s">
        <v>197</v>
      </c>
      <c r="O752" s="27"/>
      <c r="P752" s="27" t="str">
        <f aca="false">A752&amp;"|"&amp;N752</f>
        <v>NURSE-04|normal</v>
      </c>
    </row>
    <row r="753" customFormat="false" ht="15" hidden="false" customHeight="true" outlineLevel="0" collapsed="false">
      <c r="A753" s="27" t="s">
        <v>81</v>
      </c>
      <c r="B753" s="41" t="n">
        <v>46303.3440972222</v>
      </c>
      <c r="C753" s="27" t="s">
        <v>200</v>
      </c>
      <c r="D753" s="27" t="n">
        <v>44.9</v>
      </c>
      <c r="E753" s="27" t="n">
        <v>16.1</v>
      </c>
      <c r="F753" s="27" t="n">
        <v>36.5</v>
      </c>
      <c r="G753" s="27" t="n">
        <v>32.4</v>
      </c>
      <c r="H753" s="27" t="s">
        <v>198</v>
      </c>
      <c r="I753" s="42" t="n">
        <f aca="false">(D753-INDEX('Cohort Summary'!$D$5:$D$14,MATCH($A753,'Cohort Summary'!$A$5:$A$14,0)))/INDEX('Cohort Summary'!$E$5:$E$14,MATCH($A753,'Cohort Summary'!$A$5:$A$14,0))</f>
        <v>-0.297124600638978</v>
      </c>
      <c r="J753" s="42" t="n">
        <f aca="false">(E753-INDEX('Cohort Summary'!$F$5:$F$14,MATCH($A753,'Cohort Summary'!$A$5:$A$14,0)))/INDEX('Cohort Summary'!$G$5:$G$14,MATCH($A753,'Cohort Summary'!$A$5:$A$14,0))</f>
        <v>-1.83419689119171</v>
      </c>
      <c r="K753" s="42" t="n">
        <f aca="false">(F753-INDEX('Cohort Summary'!$H$5:$H$14,MATCH($A753,'Cohort Summary'!$A$5:$A$14,0)))/INDEX('Cohort Summary'!$I$5:$I$14,MATCH($A753,'Cohort Summary'!$A$5:$A$14,0))</f>
        <v>1.1241610738255</v>
      </c>
      <c r="L753" s="42" t="n">
        <f aca="false">(G753-INDEX('Cohort Summary'!$J$5:$J$14,MATCH($A753,'Cohort Summary'!$A$5:$A$14,0)))/INDEX('Cohort Summary'!$K$5:$K$14,MATCH($A753,'Cohort Summary'!$A$5:$A$14,0))</f>
        <v>-1.58620689655173</v>
      </c>
      <c r="M753" s="42" t="n">
        <f aca="false">MAX(I753:K753)</f>
        <v>1.1241610738255</v>
      </c>
      <c r="N753" s="27" t="s">
        <v>197</v>
      </c>
      <c r="O753" s="27"/>
      <c r="P753" s="27" t="str">
        <f aca="false">A753&amp;"|"&amp;N753</f>
        <v>NURSE-04|normal</v>
      </c>
    </row>
    <row r="754" customFormat="false" ht="15" hidden="false" customHeight="true" outlineLevel="0" collapsed="false">
      <c r="A754" s="27" t="s">
        <v>81</v>
      </c>
      <c r="B754" s="41" t="n">
        <v>46303.3444444445</v>
      </c>
      <c r="C754" s="27" t="s">
        <v>200</v>
      </c>
      <c r="D754" s="27" t="n">
        <v>45.5</v>
      </c>
      <c r="E754" s="27" t="n">
        <v>21.7</v>
      </c>
      <c r="F754" s="27" t="n">
        <v>30.5</v>
      </c>
      <c r="G754" s="27" t="n">
        <v>32.9</v>
      </c>
      <c r="H754" s="27" t="s">
        <v>198</v>
      </c>
      <c r="I754" s="42" t="n">
        <f aca="false">(D754-INDEX('Cohort Summary'!$D$5:$D$14,MATCH($A754,'Cohort Summary'!$A$5:$A$14,0)))/INDEX('Cohort Summary'!$E$5:$E$14,MATCH($A754,'Cohort Summary'!$A$5:$A$14,0))</f>
        <v>-0.105431309904153</v>
      </c>
      <c r="J754" s="42" t="n">
        <f aca="false">(E754-INDEX('Cohort Summary'!$F$5:$F$14,MATCH($A754,'Cohort Summary'!$A$5:$A$14,0)))/INDEX('Cohort Summary'!$G$5:$G$14,MATCH($A754,'Cohort Summary'!$A$5:$A$14,0))</f>
        <v>1.06735751295337</v>
      </c>
      <c r="K754" s="42" t="n">
        <f aca="false">(F754-INDEX('Cohort Summary'!$H$5:$H$14,MATCH($A754,'Cohort Summary'!$A$5:$A$14,0)))/INDEX('Cohort Summary'!$I$5:$I$14,MATCH($A754,'Cohort Summary'!$A$5:$A$14,0))</f>
        <v>-0.889261744966443</v>
      </c>
      <c r="L754" s="42" t="n">
        <f aca="false">(G754-INDEX('Cohort Summary'!$J$5:$J$14,MATCH($A754,'Cohort Summary'!$A$5:$A$14,0)))/INDEX('Cohort Summary'!$K$5:$K$14,MATCH($A754,'Cohort Summary'!$A$5:$A$14,0))</f>
        <v>-0.724137931034486</v>
      </c>
      <c r="M754" s="42" t="n">
        <f aca="false">MAX(I754:K754)</f>
        <v>1.06735751295337</v>
      </c>
      <c r="N754" s="27" t="s">
        <v>197</v>
      </c>
      <c r="O754" s="27"/>
      <c r="P754" s="27" t="str">
        <f aca="false">A754&amp;"|"&amp;N754</f>
        <v>NURSE-04|normal</v>
      </c>
    </row>
    <row r="755" customFormat="false" ht="15" hidden="false" customHeight="true" outlineLevel="0" collapsed="false">
      <c r="A755" s="27" t="s">
        <v>81</v>
      </c>
      <c r="B755" s="41" t="n">
        <v>46303.3447916667</v>
      </c>
      <c r="C755" s="27" t="s">
        <v>200</v>
      </c>
      <c r="D755" s="27" t="n">
        <v>50.8</v>
      </c>
      <c r="E755" s="27" t="n">
        <v>21.1</v>
      </c>
      <c r="F755" s="27" t="n">
        <v>35.5</v>
      </c>
      <c r="G755" s="27" t="n">
        <v>33.5</v>
      </c>
      <c r="H755" s="27" t="s">
        <v>198</v>
      </c>
      <c r="I755" s="42" t="n">
        <f aca="false">(D755-INDEX('Cohort Summary'!$D$5:$D$14,MATCH($A755,'Cohort Summary'!$A$5:$A$14,0)))/INDEX('Cohort Summary'!$E$5:$E$14,MATCH($A755,'Cohort Summary'!$A$5:$A$14,0))</f>
        <v>1.58785942492013</v>
      </c>
      <c r="J755" s="42" t="n">
        <f aca="false">(E755-INDEX('Cohort Summary'!$F$5:$F$14,MATCH($A755,'Cohort Summary'!$A$5:$A$14,0)))/INDEX('Cohort Summary'!$G$5:$G$14,MATCH($A755,'Cohort Summary'!$A$5:$A$14,0))</f>
        <v>0.756476683937824</v>
      </c>
      <c r="K755" s="42" t="n">
        <f aca="false">(F755-INDEX('Cohort Summary'!$H$5:$H$14,MATCH($A755,'Cohort Summary'!$A$5:$A$14,0)))/INDEX('Cohort Summary'!$I$5:$I$14,MATCH($A755,'Cohort Summary'!$A$5:$A$14,0))</f>
        <v>0.788590604026846</v>
      </c>
      <c r="L755" s="42" t="n">
        <f aca="false">(G755-INDEX('Cohort Summary'!$J$5:$J$14,MATCH($A755,'Cohort Summary'!$A$5:$A$14,0)))/INDEX('Cohort Summary'!$K$5:$K$14,MATCH($A755,'Cohort Summary'!$A$5:$A$14,0))</f>
        <v>0.310344827586206</v>
      </c>
      <c r="M755" s="42" t="n">
        <f aca="false">MAX(I755:K755)</f>
        <v>1.58785942492013</v>
      </c>
      <c r="N755" s="27" t="s">
        <v>197</v>
      </c>
      <c r="O755" s="27"/>
      <c r="P755" s="27" t="str">
        <f aca="false">A755&amp;"|"&amp;N755</f>
        <v>NURSE-04|normal</v>
      </c>
    </row>
    <row r="756" customFormat="false" ht="15" hidden="false" customHeight="true" outlineLevel="0" collapsed="false">
      <c r="A756" s="27" t="s">
        <v>81</v>
      </c>
      <c r="B756" s="41" t="n">
        <v>46303.3451388889</v>
      </c>
      <c r="C756" s="27" t="s">
        <v>200</v>
      </c>
      <c r="D756" s="27" t="n">
        <v>50.3</v>
      </c>
      <c r="E756" s="27" t="n">
        <v>22.3</v>
      </c>
      <c r="F756" s="27" t="n">
        <v>34.7</v>
      </c>
      <c r="G756" s="27" t="n">
        <v>32.4</v>
      </c>
      <c r="H756" s="27" t="s">
        <v>196</v>
      </c>
      <c r="I756" s="42" t="n">
        <f aca="false">(D756-INDEX('Cohort Summary'!$D$5:$D$14,MATCH($A756,'Cohort Summary'!$A$5:$A$14,0)))/INDEX('Cohort Summary'!$E$5:$E$14,MATCH($A756,'Cohort Summary'!$A$5:$A$14,0))</f>
        <v>1.42811501597444</v>
      </c>
      <c r="J756" s="42" t="n">
        <f aca="false">(E756-INDEX('Cohort Summary'!$F$5:$F$14,MATCH($A756,'Cohort Summary'!$A$5:$A$14,0)))/INDEX('Cohort Summary'!$G$5:$G$14,MATCH($A756,'Cohort Summary'!$A$5:$A$14,0))</f>
        <v>1.37823834196891</v>
      </c>
      <c r="K756" s="42" t="n">
        <f aca="false">(F756-INDEX('Cohort Summary'!$H$5:$H$14,MATCH($A756,'Cohort Summary'!$A$5:$A$14,0)))/INDEX('Cohort Summary'!$I$5:$I$14,MATCH($A756,'Cohort Summary'!$A$5:$A$14,0))</f>
        <v>0.520134228187921</v>
      </c>
      <c r="L756" s="42" t="n">
        <f aca="false">(G756-INDEX('Cohort Summary'!$J$5:$J$14,MATCH($A756,'Cohort Summary'!$A$5:$A$14,0)))/INDEX('Cohort Summary'!$K$5:$K$14,MATCH($A756,'Cohort Summary'!$A$5:$A$14,0))</f>
        <v>-1.58620689655173</v>
      </c>
      <c r="M756" s="42" t="n">
        <f aca="false">MAX(I756:K756)</f>
        <v>1.42811501597444</v>
      </c>
      <c r="N756" s="27" t="s">
        <v>197</v>
      </c>
      <c r="O756" s="27"/>
      <c r="P756" s="27" t="str">
        <f aca="false">A756&amp;"|"&amp;N756</f>
        <v>NURSE-04|normal</v>
      </c>
    </row>
    <row r="757" customFormat="false" ht="15" hidden="false" customHeight="true" outlineLevel="0" collapsed="false">
      <c r="A757" s="27" t="s">
        <v>81</v>
      </c>
      <c r="B757" s="41" t="n">
        <v>46303.3454861111</v>
      </c>
      <c r="C757" s="27" t="s">
        <v>200</v>
      </c>
      <c r="D757" s="27" t="n">
        <v>44.3</v>
      </c>
      <c r="E757" s="27" t="n">
        <v>17.9</v>
      </c>
      <c r="F757" s="27" t="n">
        <v>31</v>
      </c>
      <c r="G757" s="27" t="n">
        <v>32.8</v>
      </c>
      <c r="H757" s="27" t="s">
        <v>196</v>
      </c>
      <c r="I757" s="42" t="n">
        <f aca="false">(D757-INDEX('Cohort Summary'!$D$5:$D$14,MATCH($A757,'Cohort Summary'!$A$5:$A$14,0)))/INDEX('Cohort Summary'!$E$5:$E$14,MATCH($A757,'Cohort Summary'!$A$5:$A$14,0))</f>
        <v>-0.488817891373802</v>
      </c>
      <c r="J757" s="42" t="n">
        <f aca="false">(E757-INDEX('Cohort Summary'!$F$5:$F$14,MATCH($A757,'Cohort Summary'!$A$5:$A$14,0)))/INDEX('Cohort Summary'!$G$5:$G$14,MATCH($A757,'Cohort Summary'!$A$5:$A$14,0))</f>
        <v>-0.901554404145079</v>
      </c>
      <c r="K757" s="42" t="n">
        <f aca="false">(F757-INDEX('Cohort Summary'!$H$5:$H$14,MATCH($A757,'Cohort Summary'!$A$5:$A$14,0)))/INDEX('Cohort Summary'!$I$5:$I$14,MATCH($A757,'Cohort Summary'!$A$5:$A$14,0))</f>
        <v>-0.721476510067114</v>
      </c>
      <c r="L757" s="42" t="n">
        <f aca="false">(G757-INDEX('Cohort Summary'!$J$5:$J$14,MATCH($A757,'Cohort Summary'!$A$5:$A$14,0)))/INDEX('Cohort Summary'!$K$5:$K$14,MATCH($A757,'Cohort Summary'!$A$5:$A$14,0))</f>
        <v>-0.896551724137937</v>
      </c>
      <c r="M757" s="42" t="n">
        <f aca="false">MAX(I757:K757)</f>
        <v>-0.488817891373802</v>
      </c>
      <c r="N757" s="27" t="s">
        <v>197</v>
      </c>
      <c r="O757" s="27"/>
      <c r="P757" s="27" t="str">
        <f aca="false">A757&amp;"|"&amp;N757</f>
        <v>NURSE-04|normal</v>
      </c>
    </row>
    <row r="758" customFormat="false" ht="15" hidden="false" customHeight="true" outlineLevel="0" collapsed="false">
      <c r="A758" s="27" t="s">
        <v>81</v>
      </c>
      <c r="B758" s="41" t="n">
        <v>46303.3458333333</v>
      </c>
      <c r="C758" s="27" t="s">
        <v>200</v>
      </c>
      <c r="D758" s="27" t="n">
        <v>47.3</v>
      </c>
      <c r="E758" s="27" t="n">
        <v>18.6</v>
      </c>
      <c r="F758" s="27" t="n">
        <v>33.2</v>
      </c>
      <c r="G758" s="27" t="n">
        <v>33.6</v>
      </c>
      <c r="H758" s="27" t="s">
        <v>196</v>
      </c>
      <c r="I758" s="42" t="n">
        <f aca="false">(D758-INDEX('Cohort Summary'!$D$5:$D$14,MATCH($A758,'Cohort Summary'!$A$5:$A$14,0)))/INDEX('Cohort Summary'!$E$5:$E$14,MATCH($A758,'Cohort Summary'!$A$5:$A$14,0))</f>
        <v>0.469648562300319</v>
      </c>
      <c r="J758" s="42" t="n">
        <f aca="false">(E758-INDEX('Cohort Summary'!$F$5:$F$14,MATCH($A758,'Cohort Summary'!$A$5:$A$14,0)))/INDEX('Cohort Summary'!$G$5:$G$14,MATCH($A758,'Cohort Summary'!$A$5:$A$14,0))</f>
        <v>-0.538860103626943</v>
      </c>
      <c r="K758" s="42" t="n">
        <f aca="false">(F758-INDEX('Cohort Summary'!$H$5:$H$14,MATCH($A758,'Cohort Summary'!$A$5:$A$14,0)))/INDEX('Cohort Summary'!$I$5:$I$14,MATCH($A758,'Cohort Summary'!$A$5:$A$14,0))</f>
        <v>0.0167785234899343</v>
      </c>
      <c r="L758" s="42" t="n">
        <f aca="false">(G758-INDEX('Cohort Summary'!$J$5:$J$14,MATCH($A758,'Cohort Summary'!$A$5:$A$14,0)))/INDEX('Cohort Summary'!$K$5:$K$14,MATCH($A758,'Cohort Summary'!$A$5:$A$14,0))</f>
        <v>0.482758620689657</v>
      </c>
      <c r="M758" s="42" t="n">
        <f aca="false">MAX(I758:K758)</f>
        <v>0.469648562300319</v>
      </c>
      <c r="N758" s="27" t="s">
        <v>197</v>
      </c>
      <c r="O758" s="27"/>
      <c r="P758" s="27" t="str">
        <f aca="false">A758&amp;"|"&amp;N758</f>
        <v>NURSE-04|normal</v>
      </c>
    </row>
    <row r="759" customFormat="false" ht="15" hidden="false" customHeight="true" outlineLevel="0" collapsed="false">
      <c r="A759" s="27" t="s">
        <v>81</v>
      </c>
      <c r="B759" s="41" t="n">
        <v>46303.3461805556</v>
      </c>
      <c r="C759" s="27" t="s">
        <v>200</v>
      </c>
      <c r="D759" s="27" t="n">
        <v>46</v>
      </c>
      <c r="E759" s="27" t="n">
        <v>18.5</v>
      </c>
      <c r="F759" s="27" t="n">
        <v>37.8</v>
      </c>
      <c r="G759" s="27" t="n">
        <v>32.3</v>
      </c>
      <c r="H759" s="27" t="s">
        <v>196</v>
      </c>
      <c r="I759" s="42" t="n">
        <f aca="false">(D759-INDEX('Cohort Summary'!$D$5:$D$14,MATCH($A759,'Cohort Summary'!$A$5:$A$14,0)))/INDEX('Cohort Summary'!$E$5:$E$14,MATCH($A759,'Cohort Summary'!$A$5:$A$14,0))</f>
        <v>0.0543130990415341</v>
      </c>
      <c r="J759" s="42" t="n">
        <f aca="false">(E759-INDEX('Cohort Summary'!$F$5:$F$14,MATCH($A759,'Cohort Summary'!$A$5:$A$14,0)))/INDEX('Cohort Summary'!$G$5:$G$14,MATCH($A759,'Cohort Summary'!$A$5:$A$14,0))</f>
        <v>-0.590673575129534</v>
      </c>
      <c r="K759" s="42" t="n">
        <f aca="false">(F759-INDEX('Cohort Summary'!$H$5:$H$14,MATCH($A759,'Cohort Summary'!$A$5:$A$14,0)))/INDEX('Cohort Summary'!$I$5:$I$14,MATCH($A759,'Cohort Summary'!$A$5:$A$14,0))</f>
        <v>1.56040268456376</v>
      </c>
      <c r="L759" s="42" t="n">
        <f aca="false">(G759-INDEX('Cohort Summary'!$J$5:$J$14,MATCH($A759,'Cohort Summary'!$A$5:$A$14,0)))/INDEX('Cohort Summary'!$K$5:$K$14,MATCH($A759,'Cohort Summary'!$A$5:$A$14,0))</f>
        <v>-1.75862068965518</v>
      </c>
      <c r="M759" s="42" t="n">
        <f aca="false">MAX(I759:K759)</f>
        <v>1.56040268456376</v>
      </c>
      <c r="N759" s="27" t="s">
        <v>197</v>
      </c>
      <c r="O759" s="27"/>
      <c r="P759" s="27" t="str">
        <f aca="false">A759&amp;"|"&amp;N759</f>
        <v>NURSE-04|normal</v>
      </c>
    </row>
    <row r="760" customFormat="false" ht="15" hidden="false" customHeight="true" outlineLevel="0" collapsed="false">
      <c r="A760" s="27" t="s">
        <v>81</v>
      </c>
      <c r="B760" s="41" t="n">
        <v>46303.3465277778</v>
      </c>
      <c r="C760" s="27" t="s">
        <v>200</v>
      </c>
      <c r="D760" s="27" t="n">
        <v>42.2</v>
      </c>
      <c r="E760" s="27" t="n">
        <v>18.6</v>
      </c>
      <c r="F760" s="27" t="n">
        <v>31.1</v>
      </c>
      <c r="G760" s="27" t="n">
        <v>33.2</v>
      </c>
      <c r="H760" s="27" t="s">
        <v>198</v>
      </c>
      <c r="I760" s="42" t="n">
        <f aca="false">(D760-INDEX('Cohort Summary'!$D$5:$D$14,MATCH($A760,'Cohort Summary'!$A$5:$A$14,0)))/INDEX('Cohort Summary'!$E$5:$E$14,MATCH($A760,'Cohort Summary'!$A$5:$A$14,0))</f>
        <v>-1.15974440894569</v>
      </c>
      <c r="J760" s="42" t="n">
        <f aca="false">(E760-INDEX('Cohort Summary'!$F$5:$F$14,MATCH($A760,'Cohort Summary'!$A$5:$A$14,0)))/INDEX('Cohort Summary'!$G$5:$G$14,MATCH($A760,'Cohort Summary'!$A$5:$A$14,0))</f>
        <v>-0.538860103626943</v>
      </c>
      <c r="K760" s="42" t="n">
        <f aca="false">(F760-INDEX('Cohort Summary'!$H$5:$H$14,MATCH($A760,'Cohort Summary'!$A$5:$A$14,0)))/INDEX('Cohort Summary'!$I$5:$I$14,MATCH($A760,'Cohort Summary'!$A$5:$A$14,0))</f>
        <v>-0.687919463087247</v>
      </c>
      <c r="L760" s="42" t="n">
        <f aca="false">(G760-INDEX('Cohort Summary'!$J$5:$J$14,MATCH($A760,'Cohort Summary'!$A$5:$A$14,0)))/INDEX('Cohort Summary'!$K$5:$K$14,MATCH($A760,'Cohort Summary'!$A$5:$A$14,0))</f>
        <v>-0.206896551724134</v>
      </c>
      <c r="M760" s="42" t="n">
        <f aca="false">MAX(I760:K760)</f>
        <v>-0.538860103626943</v>
      </c>
      <c r="N760" s="27" t="s">
        <v>197</v>
      </c>
      <c r="O760" s="27"/>
      <c r="P760" s="27" t="str">
        <f aca="false">A760&amp;"|"&amp;N760</f>
        <v>NURSE-04|normal</v>
      </c>
    </row>
    <row r="761" customFormat="false" ht="15" hidden="false" customHeight="true" outlineLevel="0" collapsed="false">
      <c r="A761" s="27" t="s">
        <v>81</v>
      </c>
      <c r="B761" s="41" t="n">
        <v>46303.346875</v>
      </c>
      <c r="C761" s="27" t="s">
        <v>200</v>
      </c>
      <c r="D761" s="27" t="n">
        <v>48.3</v>
      </c>
      <c r="E761" s="27" t="n">
        <v>21.2</v>
      </c>
      <c r="F761" s="27" t="n">
        <v>28.4</v>
      </c>
      <c r="G761" s="27" t="n">
        <v>32.9</v>
      </c>
      <c r="H761" s="27" t="s">
        <v>198</v>
      </c>
      <c r="I761" s="42" t="n">
        <f aca="false">(D761-INDEX('Cohort Summary'!$D$5:$D$14,MATCH($A761,'Cohort Summary'!$A$5:$A$14,0)))/INDEX('Cohort Summary'!$E$5:$E$14,MATCH($A761,'Cohort Summary'!$A$5:$A$14,0))</f>
        <v>0.789137380191693</v>
      </c>
      <c r="J761" s="42" t="n">
        <f aca="false">(E761-INDEX('Cohort Summary'!$F$5:$F$14,MATCH($A761,'Cohort Summary'!$A$5:$A$14,0)))/INDEX('Cohort Summary'!$G$5:$G$14,MATCH($A761,'Cohort Summary'!$A$5:$A$14,0))</f>
        <v>0.808290155440414</v>
      </c>
      <c r="K761" s="42" t="n">
        <f aca="false">(F761-INDEX('Cohort Summary'!$H$5:$H$14,MATCH($A761,'Cohort Summary'!$A$5:$A$14,0)))/INDEX('Cohort Summary'!$I$5:$I$14,MATCH($A761,'Cohort Summary'!$A$5:$A$14,0))</f>
        <v>-1.59395973154362</v>
      </c>
      <c r="L761" s="42" t="n">
        <f aca="false">(G761-INDEX('Cohort Summary'!$J$5:$J$14,MATCH($A761,'Cohort Summary'!$A$5:$A$14,0)))/INDEX('Cohort Summary'!$K$5:$K$14,MATCH($A761,'Cohort Summary'!$A$5:$A$14,0))</f>
        <v>-0.724137931034486</v>
      </c>
      <c r="M761" s="42" t="n">
        <f aca="false">MAX(I761:K761)</f>
        <v>0.808290155440414</v>
      </c>
      <c r="N761" s="27" t="s">
        <v>197</v>
      </c>
      <c r="O761" s="27"/>
      <c r="P761" s="27" t="str">
        <f aca="false">A761&amp;"|"&amp;N761</f>
        <v>NURSE-04|normal</v>
      </c>
    </row>
    <row r="762" customFormat="false" ht="15" hidden="false" customHeight="true" outlineLevel="0" collapsed="false">
      <c r="A762" s="27" t="s">
        <v>81</v>
      </c>
      <c r="B762" s="41" t="n">
        <v>46303.3472222222</v>
      </c>
      <c r="C762" s="27" t="s">
        <v>200</v>
      </c>
      <c r="D762" s="27" t="n">
        <v>41.1</v>
      </c>
      <c r="E762" s="27" t="n">
        <v>22.6</v>
      </c>
      <c r="F762" s="27" t="n">
        <v>30.7</v>
      </c>
      <c r="G762" s="27" t="n">
        <v>32.6</v>
      </c>
      <c r="H762" s="27" t="s">
        <v>196</v>
      </c>
      <c r="I762" s="42" t="n">
        <f aca="false">(D762-INDEX('Cohort Summary'!$D$5:$D$14,MATCH($A762,'Cohort Summary'!$A$5:$A$14,0)))/INDEX('Cohort Summary'!$E$5:$E$14,MATCH($A762,'Cohort Summary'!$A$5:$A$14,0))</f>
        <v>-1.5111821086262</v>
      </c>
      <c r="J762" s="42" t="n">
        <f aca="false">(E762-INDEX('Cohort Summary'!$F$5:$F$14,MATCH($A762,'Cohort Summary'!$A$5:$A$14,0)))/INDEX('Cohort Summary'!$G$5:$G$14,MATCH($A762,'Cohort Summary'!$A$5:$A$14,0))</f>
        <v>1.53367875647668</v>
      </c>
      <c r="K762" s="42" t="n">
        <f aca="false">(F762-INDEX('Cohort Summary'!$H$5:$H$14,MATCH($A762,'Cohort Summary'!$A$5:$A$14,0)))/INDEX('Cohort Summary'!$I$5:$I$14,MATCH($A762,'Cohort Summary'!$A$5:$A$14,0))</f>
        <v>-0.822147651006711</v>
      </c>
      <c r="L762" s="42" t="n">
        <f aca="false">(G762-INDEX('Cohort Summary'!$J$5:$J$14,MATCH($A762,'Cohort Summary'!$A$5:$A$14,0)))/INDEX('Cohort Summary'!$K$5:$K$14,MATCH($A762,'Cohort Summary'!$A$5:$A$14,0))</f>
        <v>-1.24137931034483</v>
      </c>
      <c r="M762" s="42" t="n">
        <f aca="false">MAX(I762:K762)</f>
        <v>1.53367875647668</v>
      </c>
      <c r="N762" s="27" t="s">
        <v>197</v>
      </c>
      <c r="O762" s="27"/>
      <c r="P762" s="27" t="str">
        <f aca="false">A762&amp;"|"&amp;N762</f>
        <v>NURSE-04|normal</v>
      </c>
    </row>
    <row r="763" customFormat="false" ht="15" hidden="false" customHeight="true" outlineLevel="0" collapsed="false">
      <c r="A763" s="27" t="s">
        <v>81</v>
      </c>
      <c r="B763" s="41" t="n">
        <v>46303.3475694444</v>
      </c>
      <c r="C763" s="27" t="s">
        <v>200</v>
      </c>
      <c r="D763" s="27" t="n">
        <v>46.1</v>
      </c>
      <c r="E763" s="27" t="n">
        <v>23</v>
      </c>
      <c r="F763" s="27" t="n">
        <v>29.7</v>
      </c>
      <c r="G763" s="27" t="n">
        <v>33.4</v>
      </c>
      <c r="H763" s="27" t="s">
        <v>199</v>
      </c>
      <c r="I763" s="42" t="n">
        <f aca="false">(D763-INDEX('Cohort Summary'!$D$5:$D$14,MATCH($A763,'Cohort Summary'!$A$5:$A$14,0)))/INDEX('Cohort Summary'!$E$5:$E$14,MATCH($A763,'Cohort Summary'!$A$5:$A$14,0))</f>
        <v>0.0862619808306719</v>
      </c>
      <c r="J763" s="42" t="n">
        <f aca="false">(E763-INDEX('Cohort Summary'!$F$5:$F$14,MATCH($A763,'Cohort Summary'!$A$5:$A$14,0)))/INDEX('Cohort Summary'!$G$5:$G$14,MATCH($A763,'Cohort Summary'!$A$5:$A$14,0))</f>
        <v>1.74093264248705</v>
      </c>
      <c r="K763" s="42" t="n">
        <f aca="false">(F763-INDEX('Cohort Summary'!$H$5:$H$14,MATCH($A763,'Cohort Summary'!$A$5:$A$14,0)))/INDEX('Cohort Summary'!$I$5:$I$14,MATCH($A763,'Cohort Summary'!$A$5:$A$14,0))</f>
        <v>-1.15771812080537</v>
      </c>
      <c r="L763" s="42" t="n">
        <f aca="false">(G763-INDEX('Cohort Summary'!$J$5:$J$14,MATCH($A763,'Cohort Summary'!$A$5:$A$14,0)))/INDEX('Cohort Summary'!$K$5:$K$14,MATCH($A763,'Cohort Summary'!$A$5:$A$14,0))</f>
        <v>0.137931034482756</v>
      </c>
      <c r="M763" s="42" t="n">
        <f aca="false">MAX(I763:K763)</f>
        <v>1.74093264248705</v>
      </c>
      <c r="N763" s="27" t="s">
        <v>197</v>
      </c>
      <c r="O763" s="27"/>
      <c r="P763" s="27" t="str">
        <f aca="false">A763&amp;"|"&amp;N763</f>
        <v>NURSE-04|normal</v>
      </c>
    </row>
    <row r="764" customFormat="false" ht="15" hidden="false" customHeight="true" outlineLevel="0" collapsed="false">
      <c r="A764" s="27" t="s">
        <v>81</v>
      </c>
      <c r="B764" s="41" t="n">
        <v>46303.3479166667</v>
      </c>
      <c r="C764" s="27" t="s">
        <v>200</v>
      </c>
      <c r="D764" s="27" t="n">
        <v>47.3</v>
      </c>
      <c r="E764" s="27" t="n">
        <v>17.7</v>
      </c>
      <c r="F764" s="27" t="n">
        <v>35.7</v>
      </c>
      <c r="G764" s="27" t="n">
        <v>32.3</v>
      </c>
      <c r="H764" s="27" t="s">
        <v>196</v>
      </c>
      <c r="I764" s="42" t="n">
        <f aca="false">(D764-INDEX('Cohort Summary'!$D$5:$D$14,MATCH($A764,'Cohort Summary'!$A$5:$A$14,0)))/INDEX('Cohort Summary'!$E$5:$E$14,MATCH($A764,'Cohort Summary'!$A$5:$A$14,0))</f>
        <v>0.469648562300319</v>
      </c>
      <c r="J764" s="42" t="n">
        <f aca="false">(E764-INDEX('Cohort Summary'!$F$5:$F$14,MATCH($A764,'Cohort Summary'!$A$5:$A$14,0)))/INDEX('Cohort Summary'!$G$5:$G$14,MATCH($A764,'Cohort Summary'!$A$5:$A$14,0))</f>
        <v>-1.00518134715026</v>
      </c>
      <c r="K764" s="42" t="n">
        <f aca="false">(F764-INDEX('Cohort Summary'!$H$5:$H$14,MATCH($A764,'Cohort Summary'!$A$5:$A$14,0)))/INDEX('Cohort Summary'!$I$5:$I$14,MATCH($A764,'Cohort Summary'!$A$5:$A$14,0))</f>
        <v>0.855704697986579</v>
      </c>
      <c r="L764" s="42" t="n">
        <f aca="false">(G764-INDEX('Cohort Summary'!$J$5:$J$14,MATCH($A764,'Cohort Summary'!$A$5:$A$14,0)))/INDEX('Cohort Summary'!$K$5:$K$14,MATCH($A764,'Cohort Summary'!$A$5:$A$14,0))</f>
        <v>-1.75862068965518</v>
      </c>
      <c r="M764" s="42" t="n">
        <f aca="false">MAX(I764:K764)</f>
        <v>0.855704697986579</v>
      </c>
      <c r="N764" s="27" t="s">
        <v>197</v>
      </c>
      <c r="O764" s="27"/>
      <c r="P764" s="27" t="str">
        <f aca="false">A764&amp;"|"&amp;N764</f>
        <v>NURSE-04|normal</v>
      </c>
    </row>
    <row r="765" customFormat="false" ht="15" hidden="false" customHeight="true" outlineLevel="0" collapsed="false">
      <c r="A765" s="27" t="s">
        <v>81</v>
      </c>
      <c r="B765" s="41" t="n">
        <v>46303.3482638889</v>
      </c>
      <c r="C765" s="27" t="s">
        <v>200</v>
      </c>
      <c r="D765" s="27" t="n">
        <v>50.8</v>
      </c>
      <c r="E765" s="27" t="n">
        <v>20.5</v>
      </c>
      <c r="F765" s="27" t="n">
        <v>36</v>
      </c>
      <c r="G765" s="27" t="n">
        <v>33.6</v>
      </c>
      <c r="H765" s="27" t="s">
        <v>199</v>
      </c>
      <c r="I765" s="42" t="n">
        <f aca="false">(D765-INDEX('Cohort Summary'!$D$5:$D$14,MATCH($A765,'Cohort Summary'!$A$5:$A$14,0)))/INDEX('Cohort Summary'!$E$5:$E$14,MATCH($A765,'Cohort Summary'!$A$5:$A$14,0))</f>
        <v>1.58785942492013</v>
      </c>
      <c r="J765" s="42" t="n">
        <f aca="false">(E765-INDEX('Cohort Summary'!$F$5:$F$14,MATCH($A765,'Cohort Summary'!$A$5:$A$14,0)))/INDEX('Cohort Summary'!$G$5:$G$14,MATCH($A765,'Cohort Summary'!$A$5:$A$14,0))</f>
        <v>0.44559585492228</v>
      </c>
      <c r="K765" s="42" t="n">
        <f aca="false">(F765-INDEX('Cohort Summary'!$H$5:$H$14,MATCH($A765,'Cohort Summary'!$A$5:$A$14,0)))/INDEX('Cohort Summary'!$I$5:$I$14,MATCH($A765,'Cohort Summary'!$A$5:$A$14,0))</f>
        <v>0.956375838926175</v>
      </c>
      <c r="L765" s="42" t="n">
        <f aca="false">(G765-INDEX('Cohort Summary'!$J$5:$J$14,MATCH($A765,'Cohort Summary'!$A$5:$A$14,0)))/INDEX('Cohort Summary'!$K$5:$K$14,MATCH($A765,'Cohort Summary'!$A$5:$A$14,0))</f>
        <v>0.482758620689657</v>
      </c>
      <c r="M765" s="42" t="n">
        <f aca="false">MAX(I765:K765)</f>
        <v>1.58785942492013</v>
      </c>
      <c r="N765" s="27" t="s">
        <v>197</v>
      </c>
      <c r="O765" s="27"/>
      <c r="P765" s="27" t="str">
        <f aca="false">A765&amp;"|"&amp;N765</f>
        <v>NURSE-04|normal</v>
      </c>
    </row>
    <row r="766" customFormat="false" ht="15" hidden="false" customHeight="true" outlineLevel="0" collapsed="false">
      <c r="A766" s="27" t="s">
        <v>81</v>
      </c>
      <c r="B766" s="41" t="n">
        <v>46303.3486111111</v>
      </c>
      <c r="C766" s="27" t="s">
        <v>200</v>
      </c>
      <c r="D766" s="27" t="n">
        <v>45.9</v>
      </c>
      <c r="E766" s="27" t="n">
        <v>22.8</v>
      </c>
      <c r="F766" s="27" t="n">
        <v>31.6</v>
      </c>
      <c r="G766" s="27" t="n">
        <v>34</v>
      </c>
      <c r="H766" s="27" t="s">
        <v>199</v>
      </c>
      <c r="I766" s="42" t="n">
        <f aca="false">(D766-INDEX('Cohort Summary'!$D$5:$D$14,MATCH($A766,'Cohort Summary'!$A$5:$A$14,0)))/INDEX('Cohort Summary'!$E$5:$E$14,MATCH($A766,'Cohort Summary'!$A$5:$A$14,0))</f>
        <v>0.0223642172523963</v>
      </c>
      <c r="J766" s="42" t="n">
        <f aca="false">(E766-INDEX('Cohort Summary'!$F$5:$F$14,MATCH($A766,'Cohort Summary'!$A$5:$A$14,0)))/INDEX('Cohort Summary'!$G$5:$G$14,MATCH($A766,'Cohort Summary'!$A$5:$A$14,0))</f>
        <v>1.63730569948187</v>
      </c>
      <c r="K766" s="42" t="n">
        <f aca="false">(F766-INDEX('Cohort Summary'!$H$5:$H$14,MATCH($A766,'Cohort Summary'!$A$5:$A$14,0)))/INDEX('Cohort Summary'!$I$5:$I$14,MATCH($A766,'Cohort Summary'!$A$5:$A$14,0))</f>
        <v>-0.520134228187919</v>
      </c>
      <c r="L766" s="42" t="n">
        <f aca="false">(G766-INDEX('Cohort Summary'!$J$5:$J$14,MATCH($A766,'Cohort Summary'!$A$5:$A$14,0)))/INDEX('Cohort Summary'!$K$5:$K$14,MATCH($A766,'Cohort Summary'!$A$5:$A$14,0))</f>
        <v>1.17241379310345</v>
      </c>
      <c r="M766" s="42" t="n">
        <f aca="false">MAX(I766:K766)</f>
        <v>1.63730569948187</v>
      </c>
      <c r="N766" s="27" t="s">
        <v>197</v>
      </c>
      <c r="O766" s="27"/>
      <c r="P766" s="27" t="str">
        <f aca="false">A766&amp;"|"&amp;N766</f>
        <v>NURSE-04|normal</v>
      </c>
    </row>
    <row r="767" customFormat="false" ht="15" hidden="false" customHeight="true" outlineLevel="0" collapsed="false">
      <c r="A767" s="27" t="s">
        <v>81</v>
      </c>
      <c r="B767" s="41" t="n">
        <v>46303.3489583333</v>
      </c>
      <c r="C767" s="27" t="s">
        <v>200</v>
      </c>
      <c r="D767" s="27" t="n">
        <v>51.6</v>
      </c>
      <c r="E767" s="27" t="n">
        <v>20</v>
      </c>
      <c r="F767" s="27" t="n">
        <v>43.3</v>
      </c>
      <c r="G767" s="27" t="n">
        <v>35.8</v>
      </c>
      <c r="H767" s="27" t="s">
        <v>199</v>
      </c>
      <c r="I767" s="42" t="n">
        <f aca="false">(D767-INDEX('Cohort Summary'!$D$5:$D$14,MATCH($A767,'Cohort Summary'!$A$5:$A$14,0)))/INDEX('Cohort Summary'!$E$5:$E$14,MATCH($A767,'Cohort Summary'!$A$5:$A$14,0))</f>
        <v>1.84345047923323</v>
      </c>
      <c r="J767" s="42" t="n">
        <f aca="false">(E767-INDEX('Cohort Summary'!$F$5:$F$14,MATCH($A767,'Cohort Summary'!$A$5:$A$14,0)))/INDEX('Cohort Summary'!$G$5:$G$14,MATCH($A767,'Cohort Summary'!$A$5:$A$14,0))</f>
        <v>0.186528497409326</v>
      </c>
      <c r="K767" s="42" t="n">
        <f aca="false">(F767-INDEX('Cohort Summary'!$H$5:$H$14,MATCH($A767,'Cohort Summary'!$A$5:$A$14,0)))/INDEX('Cohort Summary'!$I$5:$I$14,MATCH($A767,'Cohort Summary'!$A$5:$A$14,0))</f>
        <v>3.40604026845638</v>
      </c>
      <c r="L767" s="42" t="n">
        <f aca="false">(G767-INDEX('Cohort Summary'!$J$5:$J$14,MATCH($A767,'Cohort Summary'!$A$5:$A$14,0)))/INDEX('Cohort Summary'!$K$5:$K$14,MATCH($A767,'Cohort Summary'!$A$5:$A$14,0))</f>
        <v>4.27586206896551</v>
      </c>
      <c r="M767" s="42" t="n">
        <f aca="false">MAX(I767:K767)</f>
        <v>3.40604026845638</v>
      </c>
      <c r="N767" s="27" t="s">
        <v>212</v>
      </c>
      <c r="O767" s="27" t="s">
        <v>247</v>
      </c>
      <c r="P767" s="27" t="str">
        <f aca="false">A767&amp;"|"&amp;N767</f>
        <v>NURSE-04|alert</v>
      </c>
    </row>
    <row r="768" customFormat="false" ht="15" hidden="false" customHeight="true" outlineLevel="0" collapsed="false">
      <c r="A768" s="27" t="s">
        <v>81</v>
      </c>
      <c r="B768" s="41" t="n">
        <v>46303.3493055556</v>
      </c>
      <c r="C768" s="27" t="s">
        <v>200</v>
      </c>
      <c r="D768" s="27" t="n">
        <v>58.9</v>
      </c>
      <c r="E768" s="27" t="n">
        <v>17.4</v>
      </c>
      <c r="F768" s="27" t="n">
        <v>43.1</v>
      </c>
      <c r="G768" s="27" t="n">
        <v>34.3</v>
      </c>
      <c r="H768" s="27" t="s">
        <v>199</v>
      </c>
      <c r="I768" s="42" t="n">
        <f aca="false">(D768-INDEX('Cohort Summary'!$D$5:$D$14,MATCH($A768,'Cohort Summary'!$A$5:$A$14,0)))/INDEX('Cohort Summary'!$E$5:$E$14,MATCH($A768,'Cohort Summary'!$A$5:$A$14,0))</f>
        <v>4.17571884984026</v>
      </c>
      <c r="J768" s="42" t="n">
        <f aca="false">(E768-INDEX('Cohort Summary'!$F$5:$F$14,MATCH($A768,'Cohort Summary'!$A$5:$A$14,0)))/INDEX('Cohort Summary'!$G$5:$G$14,MATCH($A768,'Cohort Summary'!$A$5:$A$14,0))</f>
        <v>-1.16062176165803</v>
      </c>
      <c r="K768" s="42" t="n">
        <f aca="false">(F768-INDEX('Cohort Summary'!$H$5:$H$14,MATCH($A768,'Cohort Summary'!$A$5:$A$14,0)))/INDEX('Cohort Summary'!$I$5:$I$14,MATCH($A768,'Cohort Summary'!$A$5:$A$14,0))</f>
        <v>3.33892617449665</v>
      </c>
      <c r="L768" s="42" t="n">
        <f aca="false">(G768-INDEX('Cohort Summary'!$J$5:$J$14,MATCH($A768,'Cohort Summary'!$A$5:$A$14,0)))/INDEX('Cohort Summary'!$K$5:$K$14,MATCH($A768,'Cohort Summary'!$A$5:$A$14,0))</f>
        <v>1.68965517241379</v>
      </c>
      <c r="M768" s="42" t="n">
        <f aca="false">MAX(I768:K768)</f>
        <v>4.17571884984026</v>
      </c>
      <c r="N768" s="27" t="s">
        <v>212</v>
      </c>
      <c r="O768" s="27" t="s">
        <v>248</v>
      </c>
      <c r="P768" s="27" t="str">
        <f aca="false">A768&amp;"|"&amp;N768</f>
        <v>NURSE-04|alert</v>
      </c>
    </row>
    <row r="769" customFormat="false" ht="15" hidden="false" customHeight="true" outlineLevel="0" collapsed="false">
      <c r="A769" s="27" t="s">
        <v>81</v>
      </c>
      <c r="B769" s="41" t="n">
        <v>46303.3496527778</v>
      </c>
      <c r="C769" s="27" t="s">
        <v>200</v>
      </c>
      <c r="D769" s="27" t="n">
        <v>57.4</v>
      </c>
      <c r="E769" s="27" t="n">
        <v>17.2</v>
      </c>
      <c r="F769" s="27" t="n">
        <v>38.1</v>
      </c>
      <c r="G769" s="27" t="n">
        <v>34.3</v>
      </c>
      <c r="H769" s="27" t="s">
        <v>199</v>
      </c>
      <c r="I769" s="42" t="n">
        <f aca="false">(D769-INDEX('Cohort Summary'!$D$5:$D$14,MATCH($A769,'Cohort Summary'!$A$5:$A$14,0)))/INDEX('Cohort Summary'!$E$5:$E$14,MATCH($A769,'Cohort Summary'!$A$5:$A$14,0))</f>
        <v>3.6964856230032</v>
      </c>
      <c r="J769" s="42" t="n">
        <f aca="false">(E769-INDEX('Cohort Summary'!$F$5:$F$14,MATCH($A769,'Cohort Summary'!$A$5:$A$14,0)))/INDEX('Cohort Summary'!$G$5:$G$14,MATCH($A769,'Cohort Summary'!$A$5:$A$14,0))</f>
        <v>-1.26424870466321</v>
      </c>
      <c r="K769" s="42" t="n">
        <f aca="false">(F769-INDEX('Cohort Summary'!$H$5:$H$14,MATCH($A769,'Cohort Summary'!$A$5:$A$14,0)))/INDEX('Cohort Summary'!$I$5:$I$14,MATCH($A769,'Cohort Summary'!$A$5:$A$14,0))</f>
        <v>1.66107382550336</v>
      </c>
      <c r="L769" s="42" t="n">
        <f aca="false">(G769-INDEX('Cohort Summary'!$J$5:$J$14,MATCH($A769,'Cohort Summary'!$A$5:$A$14,0)))/INDEX('Cohort Summary'!$K$5:$K$14,MATCH($A769,'Cohort Summary'!$A$5:$A$14,0))</f>
        <v>1.68965517241379</v>
      </c>
      <c r="M769" s="42" t="n">
        <f aca="false">MAX(I769:K769)</f>
        <v>3.6964856230032</v>
      </c>
      <c r="N769" s="27" t="s">
        <v>201</v>
      </c>
      <c r="O769" s="27" t="s">
        <v>249</v>
      </c>
      <c r="P769" s="27" t="str">
        <f aca="false">A769&amp;"|"&amp;N769</f>
        <v>NURSE-04|caution</v>
      </c>
    </row>
    <row r="770" customFormat="false" ht="15" hidden="false" customHeight="true" outlineLevel="0" collapsed="false">
      <c r="A770" s="27" t="s">
        <v>81</v>
      </c>
      <c r="B770" s="41" t="n">
        <v>46303.35</v>
      </c>
      <c r="C770" s="27" t="s">
        <v>200</v>
      </c>
      <c r="D770" s="27" t="n">
        <v>59.7</v>
      </c>
      <c r="E770" s="27" t="n">
        <v>21.4</v>
      </c>
      <c r="F770" s="27" t="n">
        <v>38.6</v>
      </c>
      <c r="G770" s="27" t="n">
        <v>35.6</v>
      </c>
      <c r="H770" s="27" t="s">
        <v>199</v>
      </c>
      <c r="I770" s="42" t="n">
        <f aca="false">(D770-INDEX('Cohort Summary'!$D$5:$D$14,MATCH($A770,'Cohort Summary'!$A$5:$A$14,0)))/INDEX('Cohort Summary'!$E$5:$E$14,MATCH($A770,'Cohort Summary'!$A$5:$A$14,0))</f>
        <v>4.43130990415336</v>
      </c>
      <c r="J770" s="42" t="n">
        <f aca="false">(E770-INDEX('Cohort Summary'!$F$5:$F$14,MATCH($A770,'Cohort Summary'!$A$5:$A$14,0)))/INDEX('Cohort Summary'!$G$5:$G$14,MATCH($A770,'Cohort Summary'!$A$5:$A$14,0))</f>
        <v>0.911917098445595</v>
      </c>
      <c r="K770" s="42" t="n">
        <f aca="false">(F770-INDEX('Cohort Summary'!$H$5:$H$14,MATCH($A770,'Cohort Summary'!$A$5:$A$14,0)))/INDEX('Cohort Summary'!$I$5:$I$14,MATCH($A770,'Cohort Summary'!$A$5:$A$14,0))</f>
        <v>1.82885906040269</v>
      </c>
      <c r="L770" s="42" t="n">
        <f aca="false">(G770-INDEX('Cohort Summary'!$J$5:$J$14,MATCH($A770,'Cohort Summary'!$A$5:$A$14,0)))/INDEX('Cohort Summary'!$K$5:$K$14,MATCH($A770,'Cohort Summary'!$A$5:$A$14,0))</f>
        <v>3.93103448275862</v>
      </c>
      <c r="M770" s="42" t="n">
        <f aca="false">MAX(I770:K770)</f>
        <v>4.43130990415336</v>
      </c>
      <c r="N770" s="27" t="s">
        <v>212</v>
      </c>
      <c r="O770" s="27" t="s">
        <v>250</v>
      </c>
      <c r="P770" s="27" t="str">
        <f aca="false">A770&amp;"|"&amp;N770</f>
        <v>NURSE-04|alert</v>
      </c>
    </row>
    <row r="771" customFormat="false" ht="15" hidden="false" customHeight="true" outlineLevel="0" collapsed="false">
      <c r="A771" s="27" t="s">
        <v>81</v>
      </c>
      <c r="B771" s="41" t="n">
        <v>46303.3503472222</v>
      </c>
      <c r="C771" s="27" t="s">
        <v>200</v>
      </c>
      <c r="D771" s="27" t="n">
        <v>53.1</v>
      </c>
      <c r="E771" s="27" t="n">
        <v>22.6</v>
      </c>
      <c r="F771" s="27" t="n">
        <v>37</v>
      </c>
      <c r="G771" s="27" t="n">
        <v>34.8</v>
      </c>
      <c r="H771" s="27" t="s">
        <v>199</v>
      </c>
      <c r="I771" s="42" t="n">
        <f aca="false">(D771-INDEX('Cohort Summary'!$D$5:$D$14,MATCH($A771,'Cohort Summary'!$A$5:$A$14,0)))/INDEX('Cohort Summary'!$E$5:$E$14,MATCH($A771,'Cohort Summary'!$A$5:$A$14,0))</f>
        <v>2.32268370607029</v>
      </c>
      <c r="J771" s="42" t="n">
        <f aca="false">(E771-INDEX('Cohort Summary'!$F$5:$F$14,MATCH($A771,'Cohort Summary'!$A$5:$A$14,0)))/INDEX('Cohort Summary'!$G$5:$G$14,MATCH($A771,'Cohort Summary'!$A$5:$A$14,0))</f>
        <v>1.53367875647668</v>
      </c>
      <c r="K771" s="42" t="n">
        <f aca="false">(F771-INDEX('Cohort Summary'!$H$5:$H$14,MATCH($A771,'Cohort Summary'!$A$5:$A$14,0)))/INDEX('Cohort Summary'!$I$5:$I$14,MATCH($A771,'Cohort Summary'!$A$5:$A$14,0))</f>
        <v>1.29194630872483</v>
      </c>
      <c r="L771" s="42" t="n">
        <f aca="false">(G771-INDEX('Cohort Summary'!$J$5:$J$14,MATCH($A771,'Cohort Summary'!$A$5:$A$14,0)))/INDEX('Cohort Summary'!$K$5:$K$14,MATCH($A771,'Cohort Summary'!$A$5:$A$14,0))</f>
        <v>2.55172413793103</v>
      </c>
      <c r="M771" s="42" t="n">
        <f aca="false">MAX(I771:K771)</f>
        <v>2.32268370607029</v>
      </c>
      <c r="N771" s="27" t="s">
        <v>201</v>
      </c>
      <c r="O771" s="27" t="s">
        <v>251</v>
      </c>
      <c r="P771" s="27" t="str">
        <f aca="false">A771&amp;"|"&amp;N771</f>
        <v>NURSE-04|caution</v>
      </c>
    </row>
    <row r="772" customFormat="false" ht="15" hidden="false" customHeight="true" outlineLevel="0" collapsed="false">
      <c r="A772" s="27" t="s">
        <v>81</v>
      </c>
      <c r="B772" s="41" t="n">
        <v>46303.3506944445</v>
      </c>
      <c r="C772" s="27" t="s">
        <v>200</v>
      </c>
      <c r="D772" s="27" t="n">
        <v>54</v>
      </c>
      <c r="E772" s="27" t="n">
        <v>20.8</v>
      </c>
      <c r="F772" s="27" t="n">
        <v>38.6</v>
      </c>
      <c r="G772" s="27" t="n">
        <v>34.8</v>
      </c>
      <c r="H772" s="27" t="s">
        <v>199</v>
      </c>
      <c r="I772" s="42" t="n">
        <f aca="false">(D772-INDEX('Cohort Summary'!$D$5:$D$14,MATCH($A772,'Cohort Summary'!$A$5:$A$14,0)))/INDEX('Cohort Summary'!$E$5:$E$14,MATCH($A772,'Cohort Summary'!$A$5:$A$14,0))</f>
        <v>2.61022364217252</v>
      </c>
      <c r="J772" s="42" t="n">
        <f aca="false">(E772-INDEX('Cohort Summary'!$F$5:$F$14,MATCH($A772,'Cohort Summary'!$A$5:$A$14,0)))/INDEX('Cohort Summary'!$G$5:$G$14,MATCH($A772,'Cohort Summary'!$A$5:$A$14,0))</f>
        <v>0.601036269430052</v>
      </c>
      <c r="K772" s="42" t="n">
        <f aca="false">(F772-INDEX('Cohort Summary'!$H$5:$H$14,MATCH($A772,'Cohort Summary'!$A$5:$A$14,0)))/INDEX('Cohort Summary'!$I$5:$I$14,MATCH($A772,'Cohort Summary'!$A$5:$A$14,0))</f>
        <v>1.82885906040269</v>
      </c>
      <c r="L772" s="42" t="n">
        <f aca="false">(G772-INDEX('Cohort Summary'!$J$5:$J$14,MATCH($A772,'Cohort Summary'!$A$5:$A$14,0)))/INDEX('Cohort Summary'!$K$5:$K$14,MATCH($A772,'Cohort Summary'!$A$5:$A$14,0))</f>
        <v>2.55172413793103</v>
      </c>
      <c r="M772" s="42" t="n">
        <f aca="false">MAX(I772:K772)</f>
        <v>2.61022364217252</v>
      </c>
      <c r="N772" s="27" t="s">
        <v>201</v>
      </c>
      <c r="O772" s="27" t="s">
        <v>252</v>
      </c>
      <c r="P772" s="27" t="str">
        <f aca="false">A772&amp;"|"&amp;N772</f>
        <v>NURSE-04|caution</v>
      </c>
    </row>
    <row r="773" customFormat="false" ht="15" hidden="false" customHeight="true" outlineLevel="0" collapsed="false">
      <c r="A773" s="27" t="s">
        <v>81</v>
      </c>
      <c r="B773" s="41" t="n">
        <v>46303.3510416667</v>
      </c>
      <c r="C773" s="27" t="s">
        <v>200</v>
      </c>
      <c r="D773" s="27" t="n">
        <v>52.7</v>
      </c>
      <c r="E773" s="27" t="n">
        <v>17.4</v>
      </c>
      <c r="F773" s="27" t="n">
        <v>44.1</v>
      </c>
      <c r="G773" s="27" t="n">
        <v>35.1</v>
      </c>
      <c r="H773" s="27" t="s">
        <v>199</v>
      </c>
      <c r="I773" s="42" t="n">
        <f aca="false">(D773-INDEX('Cohort Summary'!$D$5:$D$14,MATCH($A773,'Cohort Summary'!$A$5:$A$14,0)))/INDEX('Cohort Summary'!$E$5:$E$14,MATCH($A773,'Cohort Summary'!$A$5:$A$14,0))</f>
        <v>2.19488817891374</v>
      </c>
      <c r="J773" s="42" t="n">
        <f aca="false">(E773-INDEX('Cohort Summary'!$F$5:$F$14,MATCH($A773,'Cohort Summary'!$A$5:$A$14,0)))/INDEX('Cohort Summary'!$G$5:$G$14,MATCH($A773,'Cohort Summary'!$A$5:$A$14,0))</f>
        <v>-1.16062176165803</v>
      </c>
      <c r="K773" s="42" t="n">
        <f aca="false">(F773-INDEX('Cohort Summary'!$H$5:$H$14,MATCH($A773,'Cohort Summary'!$A$5:$A$14,0)))/INDEX('Cohort Summary'!$I$5:$I$14,MATCH($A773,'Cohort Summary'!$A$5:$A$14,0))</f>
        <v>3.6744966442953</v>
      </c>
      <c r="L773" s="42" t="n">
        <f aca="false">(G773-INDEX('Cohort Summary'!$J$5:$J$14,MATCH($A773,'Cohort Summary'!$A$5:$A$14,0)))/INDEX('Cohort Summary'!$K$5:$K$14,MATCH($A773,'Cohort Summary'!$A$5:$A$14,0))</f>
        <v>3.06896551724138</v>
      </c>
      <c r="M773" s="42" t="n">
        <f aca="false">MAX(I773:K773)</f>
        <v>3.6744966442953</v>
      </c>
      <c r="N773" s="27" t="s">
        <v>212</v>
      </c>
      <c r="O773" s="27" t="s">
        <v>253</v>
      </c>
      <c r="P773" s="27" t="str">
        <f aca="false">A773&amp;"|"&amp;N773</f>
        <v>NURSE-04|alert</v>
      </c>
    </row>
    <row r="774" customFormat="false" ht="15" hidden="false" customHeight="true" outlineLevel="0" collapsed="false">
      <c r="A774" s="27" t="s">
        <v>81</v>
      </c>
      <c r="B774" s="41" t="n">
        <v>46303.3513888889</v>
      </c>
      <c r="C774" s="27" t="s">
        <v>200</v>
      </c>
      <c r="D774" s="27" t="n">
        <v>47.4</v>
      </c>
      <c r="E774" s="27" t="n">
        <v>21.5</v>
      </c>
      <c r="F774" s="27" t="n">
        <v>31.1</v>
      </c>
      <c r="G774" s="27" t="n">
        <v>32.5</v>
      </c>
      <c r="H774" s="27" t="s">
        <v>196</v>
      </c>
      <c r="I774" s="42" t="n">
        <f aca="false">(D774-INDEX('Cohort Summary'!$D$5:$D$14,MATCH($A774,'Cohort Summary'!$A$5:$A$14,0)))/INDEX('Cohort Summary'!$E$5:$E$14,MATCH($A774,'Cohort Summary'!$A$5:$A$14,0))</f>
        <v>0.501597444089457</v>
      </c>
      <c r="J774" s="42" t="n">
        <f aca="false">(E774-INDEX('Cohort Summary'!$F$5:$F$14,MATCH($A774,'Cohort Summary'!$A$5:$A$14,0)))/INDEX('Cohort Summary'!$G$5:$G$14,MATCH($A774,'Cohort Summary'!$A$5:$A$14,0))</f>
        <v>0.963730569948186</v>
      </c>
      <c r="K774" s="42" t="n">
        <f aca="false">(F774-INDEX('Cohort Summary'!$H$5:$H$14,MATCH($A774,'Cohort Summary'!$A$5:$A$14,0)))/INDEX('Cohort Summary'!$I$5:$I$14,MATCH($A774,'Cohort Summary'!$A$5:$A$14,0))</f>
        <v>-0.687919463087247</v>
      </c>
      <c r="L774" s="42" t="n">
        <f aca="false">(G774-INDEX('Cohort Summary'!$J$5:$J$14,MATCH($A774,'Cohort Summary'!$A$5:$A$14,0)))/INDEX('Cohort Summary'!$K$5:$K$14,MATCH($A774,'Cohort Summary'!$A$5:$A$14,0))</f>
        <v>-1.41379310344828</v>
      </c>
      <c r="M774" s="42" t="n">
        <f aca="false">MAX(I774:K774)</f>
        <v>0.963730569948186</v>
      </c>
      <c r="N774" s="27" t="s">
        <v>197</v>
      </c>
      <c r="O774" s="27"/>
      <c r="P774" s="27" t="str">
        <f aca="false">A774&amp;"|"&amp;N774</f>
        <v>NURSE-04|normal</v>
      </c>
    </row>
    <row r="775" customFormat="false" ht="15" hidden="false" customHeight="true" outlineLevel="0" collapsed="false">
      <c r="A775" s="27" t="s">
        <v>81</v>
      </c>
      <c r="B775" s="41" t="n">
        <v>46303.3517361111</v>
      </c>
      <c r="C775" s="27" t="s">
        <v>200</v>
      </c>
      <c r="D775" s="27" t="n">
        <v>45.7</v>
      </c>
      <c r="E775" s="27" t="n">
        <v>19.9</v>
      </c>
      <c r="F775" s="27" t="n">
        <v>34.7</v>
      </c>
      <c r="G775" s="27" t="n">
        <v>33.7</v>
      </c>
      <c r="H775" s="27" t="s">
        <v>199</v>
      </c>
      <c r="I775" s="42" t="n">
        <f aca="false">(D775-INDEX('Cohort Summary'!$D$5:$D$14,MATCH($A775,'Cohort Summary'!$A$5:$A$14,0)))/INDEX('Cohort Summary'!$E$5:$E$14,MATCH($A775,'Cohort Summary'!$A$5:$A$14,0))</f>
        <v>-0.0415335463258771</v>
      </c>
      <c r="J775" s="42" t="n">
        <f aca="false">(E775-INDEX('Cohort Summary'!$F$5:$F$14,MATCH($A775,'Cohort Summary'!$A$5:$A$14,0)))/INDEX('Cohort Summary'!$G$5:$G$14,MATCH($A775,'Cohort Summary'!$A$5:$A$14,0))</f>
        <v>0.134715025906735</v>
      </c>
      <c r="K775" s="42" t="n">
        <f aca="false">(F775-INDEX('Cohort Summary'!$H$5:$H$14,MATCH($A775,'Cohort Summary'!$A$5:$A$14,0)))/INDEX('Cohort Summary'!$I$5:$I$14,MATCH($A775,'Cohort Summary'!$A$5:$A$14,0))</f>
        <v>0.520134228187921</v>
      </c>
      <c r="L775" s="42" t="n">
        <f aca="false">(G775-INDEX('Cohort Summary'!$J$5:$J$14,MATCH($A775,'Cohort Summary'!$A$5:$A$14,0)))/INDEX('Cohort Summary'!$K$5:$K$14,MATCH($A775,'Cohort Summary'!$A$5:$A$14,0))</f>
        <v>0.655172413793108</v>
      </c>
      <c r="M775" s="42" t="n">
        <f aca="false">MAX(I775:K775)</f>
        <v>0.520134228187921</v>
      </c>
      <c r="N775" s="27" t="s">
        <v>197</v>
      </c>
      <c r="O775" s="27"/>
      <c r="P775" s="27" t="str">
        <f aca="false">A775&amp;"|"&amp;N775</f>
        <v>NURSE-04|normal</v>
      </c>
    </row>
    <row r="776" customFormat="false" ht="15" hidden="false" customHeight="true" outlineLevel="0" collapsed="false">
      <c r="A776" s="27" t="s">
        <v>81</v>
      </c>
      <c r="B776" s="41" t="n">
        <v>46303.3520833333</v>
      </c>
      <c r="C776" s="27" t="s">
        <v>200</v>
      </c>
      <c r="D776" s="27" t="n">
        <v>44.9</v>
      </c>
      <c r="E776" s="27" t="n">
        <v>21</v>
      </c>
      <c r="F776" s="27" t="n">
        <v>32</v>
      </c>
      <c r="G776" s="27" t="n">
        <v>33.8</v>
      </c>
      <c r="H776" s="27" t="s">
        <v>196</v>
      </c>
      <c r="I776" s="42" t="n">
        <f aca="false">(D776-INDEX('Cohort Summary'!$D$5:$D$14,MATCH($A776,'Cohort Summary'!$A$5:$A$14,0)))/INDEX('Cohort Summary'!$E$5:$E$14,MATCH($A776,'Cohort Summary'!$A$5:$A$14,0))</f>
        <v>-0.297124600638978</v>
      </c>
      <c r="J776" s="42" t="n">
        <f aca="false">(E776-INDEX('Cohort Summary'!$F$5:$F$14,MATCH($A776,'Cohort Summary'!$A$5:$A$14,0)))/INDEX('Cohort Summary'!$G$5:$G$14,MATCH($A776,'Cohort Summary'!$A$5:$A$14,0))</f>
        <v>0.704663212435233</v>
      </c>
      <c r="K776" s="42" t="n">
        <f aca="false">(F776-INDEX('Cohort Summary'!$H$5:$H$14,MATCH($A776,'Cohort Summary'!$A$5:$A$14,0)))/INDEX('Cohort Summary'!$I$5:$I$14,MATCH($A776,'Cohort Summary'!$A$5:$A$14,0))</f>
        <v>-0.385906040268456</v>
      </c>
      <c r="L776" s="42" t="n">
        <f aca="false">(G776-INDEX('Cohort Summary'!$J$5:$J$14,MATCH($A776,'Cohort Summary'!$A$5:$A$14,0)))/INDEX('Cohort Summary'!$K$5:$K$14,MATCH($A776,'Cohort Summary'!$A$5:$A$14,0))</f>
        <v>0.827586206896546</v>
      </c>
      <c r="M776" s="42" t="n">
        <f aca="false">MAX(I776:K776)</f>
        <v>0.704663212435233</v>
      </c>
      <c r="N776" s="27" t="s">
        <v>197</v>
      </c>
      <c r="O776" s="27"/>
      <c r="P776" s="27" t="str">
        <f aca="false">A776&amp;"|"&amp;N776</f>
        <v>NURSE-04|normal</v>
      </c>
    </row>
    <row r="777" customFormat="false" ht="15" hidden="false" customHeight="true" outlineLevel="0" collapsed="false">
      <c r="A777" s="27" t="s">
        <v>81</v>
      </c>
      <c r="B777" s="41" t="n">
        <v>46303.3524305556</v>
      </c>
      <c r="C777" s="27" t="s">
        <v>200</v>
      </c>
      <c r="D777" s="27" t="n">
        <v>42.2</v>
      </c>
      <c r="E777" s="27" t="n">
        <v>19.1</v>
      </c>
      <c r="F777" s="27" t="n">
        <v>28.1</v>
      </c>
      <c r="G777" s="27" t="n">
        <v>33.3</v>
      </c>
      <c r="H777" s="27" t="s">
        <v>196</v>
      </c>
      <c r="I777" s="42" t="n">
        <f aca="false">(D777-INDEX('Cohort Summary'!$D$5:$D$14,MATCH($A777,'Cohort Summary'!$A$5:$A$14,0)))/INDEX('Cohort Summary'!$E$5:$E$14,MATCH($A777,'Cohort Summary'!$A$5:$A$14,0))</f>
        <v>-1.15974440894569</v>
      </c>
      <c r="J777" s="42" t="n">
        <f aca="false">(E777-INDEX('Cohort Summary'!$F$5:$F$14,MATCH($A777,'Cohort Summary'!$A$5:$A$14,0)))/INDEX('Cohort Summary'!$G$5:$G$14,MATCH($A777,'Cohort Summary'!$A$5:$A$14,0))</f>
        <v>-0.279792746113989</v>
      </c>
      <c r="K777" s="42" t="n">
        <f aca="false">(F777-INDEX('Cohort Summary'!$H$5:$H$14,MATCH($A777,'Cohort Summary'!$A$5:$A$14,0)))/INDEX('Cohort Summary'!$I$5:$I$14,MATCH($A777,'Cohort Summary'!$A$5:$A$14,0))</f>
        <v>-1.69463087248322</v>
      </c>
      <c r="L777" s="42" t="n">
        <f aca="false">(G777-INDEX('Cohort Summary'!$J$5:$J$14,MATCH($A777,'Cohort Summary'!$A$5:$A$14,0)))/INDEX('Cohort Summary'!$K$5:$K$14,MATCH($A777,'Cohort Summary'!$A$5:$A$14,0))</f>
        <v>-0.034482758620695</v>
      </c>
      <c r="M777" s="42" t="n">
        <f aca="false">MAX(I777:K777)</f>
        <v>-0.279792746113989</v>
      </c>
      <c r="N777" s="27" t="s">
        <v>197</v>
      </c>
      <c r="O777" s="27"/>
      <c r="P777" s="27" t="str">
        <f aca="false">A777&amp;"|"&amp;N777</f>
        <v>NURSE-04|normal</v>
      </c>
    </row>
    <row r="778" customFormat="false" ht="15" hidden="false" customHeight="true" outlineLevel="0" collapsed="false">
      <c r="A778" s="27" t="s">
        <v>81</v>
      </c>
      <c r="B778" s="41" t="n">
        <v>46303.3527777778</v>
      </c>
      <c r="C778" s="27" t="s">
        <v>200</v>
      </c>
      <c r="D778" s="27" t="n">
        <v>46.7</v>
      </c>
      <c r="E778" s="27" t="n">
        <v>18.5</v>
      </c>
      <c r="F778" s="27" t="n">
        <v>37.4</v>
      </c>
      <c r="G778" s="27" t="n">
        <v>32.7</v>
      </c>
      <c r="H778" s="27" t="s">
        <v>198</v>
      </c>
      <c r="I778" s="42" t="n">
        <f aca="false">(D778-INDEX('Cohort Summary'!$D$5:$D$14,MATCH($A778,'Cohort Summary'!$A$5:$A$14,0)))/INDEX('Cohort Summary'!$E$5:$E$14,MATCH($A778,'Cohort Summary'!$A$5:$A$14,0))</f>
        <v>0.277955271565497</v>
      </c>
      <c r="J778" s="42" t="n">
        <f aca="false">(E778-INDEX('Cohort Summary'!$F$5:$F$14,MATCH($A778,'Cohort Summary'!$A$5:$A$14,0)))/INDEX('Cohort Summary'!$G$5:$G$14,MATCH($A778,'Cohort Summary'!$A$5:$A$14,0))</f>
        <v>-0.590673575129534</v>
      </c>
      <c r="K778" s="42" t="n">
        <f aca="false">(F778-INDEX('Cohort Summary'!$H$5:$H$14,MATCH($A778,'Cohort Summary'!$A$5:$A$14,0)))/INDEX('Cohort Summary'!$I$5:$I$14,MATCH($A778,'Cohort Summary'!$A$5:$A$14,0))</f>
        <v>1.4261744966443</v>
      </c>
      <c r="L778" s="42" t="n">
        <f aca="false">(G778-INDEX('Cohort Summary'!$J$5:$J$14,MATCH($A778,'Cohort Summary'!$A$5:$A$14,0)))/INDEX('Cohort Summary'!$K$5:$K$14,MATCH($A778,'Cohort Summary'!$A$5:$A$14,0))</f>
        <v>-1.06896551724138</v>
      </c>
      <c r="M778" s="42" t="n">
        <f aca="false">MAX(I778:K778)</f>
        <v>1.4261744966443</v>
      </c>
      <c r="N778" s="27" t="s">
        <v>197</v>
      </c>
      <c r="O778" s="27"/>
      <c r="P778" s="27" t="str">
        <f aca="false">A778&amp;"|"&amp;N778</f>
        <v>NURSE-04|normal</v>
      </c>
    </row>
    <row r="779" customFormat="false" ht="15" hidden="false" customHeight="true" outlineLevel="0" collapsed="false">
      <c r="A779" s="27" t="s">
        <v>81</v>
      </c>
      <c r="B779" s="41" t="n">
        <v>46303.353125</v>
      </c>
      <c r="C779" s="27" t="s">
        <v>200</v>
      </c>
      <c r="D779" s="27" t="n">
        <v>49.9</v>
      </c>
      <c r="E779" s="27" t="n">
        <v>22.1</v>
      </c>
      <c r="F779" s="27" t="n">
        <v>29</v>
      </c>
      <c r="G779" s="27" t="n">
        <v>33.4</v>
      </c>
      <c r="H779" s="27" t="s">
        <v>199</v>
      </c>
      <c r="I779" s="42" t="n">
        <f aca="false">(D779-INDEX('Cohort Summary'!$D$5:$D$14,MATCH($A779,'Cohort Summary'!$A$5:$A$14,0)))/INDEX('Cohort Summary'!$E$5:$E$14,MATCH($A779,'Cohort Summary'!$A$5:$A$14,0))</f>
        <v>1.30031948881789</v>
      </c>
      <c r="J779" s="42" t="n">
        <f aca="false">(E779-INDEX('Cohort Summary'!$F$5:$F$14,MATCH($A779,'Cohort Summary'!$A$5:$A$14,0)))/INDEX('Cohort Summary'!$G$5:$G$14,MATCH($A779,'Cohort Summary'!$A$5:$A$14,0))</f>
        <v>1.27461139896373</v>
      </c>
      <c r="K779" s="42" t="n">
        <f aca="false">(F779-INDEX('Cohort Summary'!$H$5:$H$14,MATCH($A779,'Cohort Summary'!$A$5:$A$14,0)))/INDEX('Cohort Summary'!$I$5:$I$14,MATCH($A779,'Cohort Summary'!$A$5:$A$14,0))</f>
        <v>-1.39261744966443</v>
      </c>
      <c r="L779" s="42" t="n">
        <f aca="false">(G779-INDEX('Cohort Summary'!$J$5:$J$14,MATCH($A779,'Cohort Summary'!$A$5:$A$14,0)))/INDEX('Cohort Summary'!$K$5:$K$14,MATCH($A779,'Cohort Summary'!$A$5:$A$14,0))</f>
        <v>0.137931034482756</v>
      </c>
      <c r="M779" s="42" t="n">
        <f aca="false">MAX(I779:K779)</f>
        <v>1.30031948881789</v>
      </c>
      <c r="N779" s="27" t="s">
        <v>197</v>
      </c>
      <c r="O779" s="27"/>
      <c r="P779" s="27" t="str">
        <f aca="false">A779&amp;"|"&amp;N779</f>
        <v>NURSE-04|normal</v>
      </c>
    </row>
    <row r="780" customFormat="false" ht="15" hidden="false" customHeight="true" outlineLevel="0" collapsed="false">
      <c r="A780" s="27" t="s">
        <v>81</v>
      </c>
      <c r="B780" s="41" t="n">
        <v>46303.3534722222</v>
      </c>
      <c r="C780" s="27" t="s">
        <v>200</v>
      </c>
      <c r="D780" s="27" t="n">
        <v>49.3</v>
      </c>
      <c r="E780" s="27" t="n">
        <v>21</v>
      </c>
      <c r="F780" s="27" t="n">
        <v>37.3</v>
      </c>
      <c r="G780" s="27" t="n">
        <v>32.5</v>
      </c>
      <c r="H780" s="27" t="s">
        <v>198</v>
      </c>
      <c r="I780" s="42" t="n">
        <f aca="false">(D780-INDEX('Cohort Summary'!$D$5:$D$14,MATCH($A780,'Cohort Summary'!$A$5:$A$14,0)))/INDEX('Cohort Summary'!$E$5:$E$14,MATCH($A780,'Cohort Summary'!$A$5:$A$14,0))</f>
        <v>1.10862619808307</v>
      </c>
      <c r="J780" s="42" t="n">
        <f aca="false">(E780-INDEX('Cohort Summary'!$F$5:$F$14,MATCH($A780,'Cohort Summary'!$A$5:$A$14,0)))/INDEX('Cohort Summary'!$G$5:$G$14,MATCH($A780,'Cohort Summary'!$A$5:$A$14,0))</f>
        <v>0.704663212435233</v>
      </c>
      <c r="K780" s="42" t="n">
        <f aca="false">(F780-INDEX('Cohort Summary'!$H$5:$H$14,MATCH($A780,'Cohort Summary'!$A$5:$A$14,0)))/INDEX('Cohort Summary'!$I$5:$I$14,MATCH($A780,'Cohort Summary'!$A$5:$A$14,0))</f>
        <v>1.39261744966443</v>
      </c>
      <c r="L780" s="42" t="n">
        <f aca="false">(G780-INDEX('Cohort Summary'!$J$5:$J$14,MATCH($A780,'Cohort Summary'!$A$5:$A$14,0)))/INDEX('Cohort Summary'!$K$5:$K$14,MATCH($A780,'Cohort Summary'!$A$5:$A$14,0))</f>
        <v>-1.41379310344828</v>
      </c>
      <c r="M780" s="42" t="n">
        <f aca="false">MAX(I780:K780)</f>
        <v>1.39261744966443</v>
      </c>
      <c r="N780" s="27" t="s">
        <v>197</v>
      </c>
      <c r="O780" s="27"/>
      <c r="P780" s="27" t="str">
        <f aca="false">A780&amp;"|"&amp;N780</f>
        <v>NURSE-04|normal</v>
      </c>
    </row>
    <row r="781" customFormat="false" ht="15" hidden="false" customHeight="true" outlineLevel="0" collapsed="false">
      <c r="A781" s="27" t="s">
        <v>81</v>
      </c>
      <c r="B781" s="41" t="n">
        <v>46303.3538194444</v>
      </c>
      <c r="C781" s="27" t="s">
        <v>200</v>
      </c>
      <c r="D781" s="27" t="n">
        <v>50.7</v>
      </c>
      <c r="E781" s="27" t="n">
        <v>20.4</v>
      </c>
      <c r="F781" s="27" t="n">
        <v>34.9</v>
      </c>
      <c r="G781" s="27" t="n">
        <v>33.7</v>
      </c>
      <c r="H781" s="27" t="s">
        <v>199</v>
      </c>
      <c r="I781" s="42" t="n">
        <f aca="false">(D781-INDEX('Cohort Summary'!$D$5:$D$14,MATCH($A781,'Cohort Summary'!$A$5:$A$14,0)))/INDEX('Cohort Summary'!$E$5:$E$14,MATCH($A781,'Cohort Summary'!$A$5:$A$14,0))</f>
        <v>1.55591054313099</v>
      </c>
      <c r="J781" s="42" t="n">
        <f aca="false">(E781-INDEX('Cohort Summary'!$F$5:$F$14,MATCH($A781,'Cohort Summary'!$A$5:$A$14,0)))/INDEX('Cohort Summary'!$G$5:$G$14,MATCH($A781,'Cohort Summary'!$A$5:$A$14,0))</f>
        <v>0.393782383419688</v>
      </c>
      <c r="K781" s="42" t="n">
        <f aca="false">(F781-INDEX('Cohort Summary'!$H$5:$H$14,MATCH($A781,'Cohort Summary'!$A$5:$A$14,0)))/INDEX('Cohort Summary'!$I$5:$I$14,MATCH($A781,'Cohort Summary'!$A$5:$A$14,0))</f>
        <v>0.587248322147651</v>
      </c>
      <c r="L781" s="42" t="n">
        <f aca="false">(G781-INDEX('Cohort Summary'!$J$5:$J$14,MATCH($A781,'Cohort Summary'!$A$5:$A$14,0)))/INDEX('Cohort Summary'!$K$5:$K$14,MATCH($A781,'Cohort Summary'!$A$5:$A$14,0))</f>
        <v>0.655172413793108</v>
      </c>
      <c r="M781" s="42" t="n">
        <f aca="false">MAX(I781:K781)</f>
        <v>1.55591054313099</v>
      </c>
      <c r="N781" s="27" t="s">
        <v>197</v>
      </c>
      <c r="O781" s="27"/>
      <c r="P781" s="27" t="str">
        <f aca="false">A781&amp;"|"&amp;N781</f>
        <v>NURSE-04|normal</v>
      </c>
    </row>
    <row r="782" customFormat="false" ht="15" hidden="false" customHeight="true" outlineLevel="0" collapsed="false">
      <c r="A782" s="27" t="s">
        <v>81</v>
      </c>
      <c r="B782" s="41" t="n">
        <v>46303.3541666667</v>
      </c>
      <c r="C782" s="27" t="s">
        <v>200</v>
      </c>
      <c r="D782" s="27" t="n">
        <v>49.4</v>
      </c>
      <c r="E782" s="27" t="n">
        <v>21.5</v>
      </c>
      <c r="F782" s="27" t="n">
        <v>36.4</v>
      </c>
      <c r="G782" s="27" t="n">
        <v>33</v>
      </c>
      <c r="H782" s="27" t="s">
        <v>199</v>
      </c>
      <c r="I782" s="42" t="n">
        <f aca="false">(D782-INDEX('Cohort Summary'!$D$5:$D$14,MATCH($A782,'Cohort Summary'!$A$5:$A$14,0)))/INDEX('Cohort Summary'!$E$5:$E$14,MATCH($A782,'Cohort Summary'!$A$5:$A$14,0))</f>
        <v>1.1405750798722</v>
      </c>
      <c r="J782" s="42" t="n">
        <f aca="false">(E782-INDEX('Cohort Summary'!$F$5:$F$14,MATCH($A782,'Cohort Summary'!$A$5:$A$14,0)))/INDEX('Cohort Summary'!$G$5:$G$14,MATCH($A782,'Cohort Summary'!$A$5:$A$14,0))</f>
        <v>0.963730569948186</v>
      </c>
      <c r="K782" s="42" t="n">
        <f aca="false">(F782-INDEX('Cohort Summary'!$H$5:$H$14,MATCH($A782,'Cohort Summary'!$A$5:$A$14,0)))/INDEX('Cohort Summary'!$I$5:$I$14,MATCH($A782,'Cohort Summary'!$A$5:$A$14,0))</f>
        <v>1.09060402684564</v>
      </c>
      <c r="L782" s="42" t="n">
        <f aca="false">(G782-INDEX('Cohort Summary'!$J$5:$J$14,MATCH($A782,'Cohort Summary'!$A$5:$A$14,0)))/INDEX('Cohort Summary'!$K$5:$K$14,MATCH($A782,'Cohort Summary'!$A$5:$A$14,0))</f>
        <v>-0.551724137931035</v>
      </c>
      <c r="M782" s="42" t="n">
        <f aca="false">MAX(I782:K782)</f>
        <v>1.1405750798722</v>
      </c>
      <c r="N782" s="27" t="s">
        <v>197</v>
      </c>
      <c r="O782" s="27"/>
      <c r="P782" s="27" t="str">
        <f aca="false">A782&amp;"|"&amp;N782</f>
        <v>NURSE-04|normal</v>
      </c>
    </row>
    <row r="783" customFormat="false" ht="15" hidden="false" customHeight="true" outlineLevel="0" collapsed="false">
      <c r="A783" s="27" t="s">
        <v>81</v>
      </c>
      <c r="B783" s="41" t="n">
        <v>46303.3545138889</v>
      </c>
      <c r="C783" s="27" t="s">
        <v>200</v>
      </c>
      <c r="D783" s="27" t="n">
        <v>49.1</v>
      </c>
      <c r="E783" s="27" t="n">
        <v>18.4</v>
      </c>
      <c r="F783" s="27" t="n">
        <v>29.9</v>
      </c>
      <c r="G783" s="27" t="n">
        <v>33.9</v>
      </c>
      <c r="H783" s="27" t="s">
        <v>196</v>
      </c>
      <c r="I783" s="42" t="n">
        <f aca="false">(D783-INDEX('Cohort Summary'!$D$5:$D$14,MATCH($A783,'Cohort Summary'!$A$5:$A$14,0)))/INDEX('Cohort Summary'!$E$5:$E$14,MATCH($A783,'Cohort Summary'!$A$5:$A$14,0))</f>
        <v>1.04472843450479</v>
      </c>
      <c r="J783" s="42" t="n">
        <f aca="false">(E783-INDEX('Cohort Summary'!$F$5:$F$14,MATCH($A783,'Cohort Summary'!$A$5:$A$14,0)))/INDEX('Cohort Summary'!$G$5:$G$14,MATCH($A783,'Cohort Summary'!$A$5:$A$14,0))</f>
        <v>-0.642487046632125</v>
      </c>
      <c r="K783" s="42" t="n">
        <f aca="false">(F783-INDEX('Cohort Summary'!$H$5:$H$14,MATCH($A783,'Cohort Summary'!$A$5:$A$14,0)))/INDEX('Cohort Summary'!$I$5:$I$14,MATCH($A783,'Cohort Summary'!$A$5:$A$14,0))</f>
        <v>-1.09060402684564</v>
      </c>
      <c r="L783" s="42" t="n">
        <f aca="false">(G783-INDEX('Cohort Summary'!$J$5:$J$14,MATCH($A783,'Cohort Summary'!$A$5:$A$14,0)))/INDEX('Cohort Summary'!$K$5:$K$14,MATCH($A783,'Cohort Summary'!$A$5:$A$14,0))</f>
        <v>0.999999999999997</v>
      </c>
      <c r="M783" s="42" t="n">
        <f aca="false">MAX(I783:K783)</f>
        <v>1.04472843450479</v>
      </c>
      <c r="N783" s="27" t="s">
        <v>197</v>
      </c>
      <c r="O783" s="27"/>
      <c r="P783" s="27" t="str">
        <f aca="false">A783&amp;"|"&amp;N783</f>
        <v>NURSE-04|normal</v>
      </c>
    </row>
    <row r="784" customFormat="false" ht="15" hidden="false" customHeight="true" outlineLevel="0" collapsed="false">
      <c r="A784" s="27" t="s">
        <v>81</v>
      </c>
      <c r="B784" s="41" t="n">
        <v>46303.3548611111</v>
      </c>
      <c r="C784" s="27" t="s">
        <v>200</v>
      </c>
      <c r="D784" s="27" t="n">
        <v>48.4</v>
      </c>
      <c r="E784" s="27" t="n">
        <v>18.9</v>
      </c>
      <c r="F784" s="27" t="n">
        <v>37.3</v>
      </c>
      <c r="G784" s="27" t="n">
        <v>32.8</v>
      </c>
      <c r="H784" s="27" t="s">
        <v>198</v>
      </c>
      <c r="I784" s="42" t="n">
        <f aca="false">(D784-INDEX('Cohort Summary'!$D$5:$D$14,MATCH($A784,'Cohort Summary'!$A$5:$A$14,0)))/INDEX('Cohort Summary'!$E$5:$E$14,MATCH($A784,'Cohort Summary'!$A$5:$A$14,0))</f>
        <v>0.821086261980831</v>
      </c>
      <c r="J784" s="42" t="n">
        <f aca="false">(E784-INDEX('Cohort Summary'!$F$5:$F$14,MATCH($A784,'Cohort Summary'!$A$5:$A$14,0)))/INDEX('Cohort Summary'!$G$5:$G$14,MATCH($A784,'Cohort Summary'!$A$5:$A$14,0))</f>
        <v>-0.383419689119172</v>
      </c>
      <c r="K784" s="42" t="n">
        <f aca="false">(F784-INDEX('Cohort Summary'!$H$5:$H$14,MATCH($A784,'Cohort Summary'!$A$5:$A$14,0)))/INDEX('Cohort Summary'!$I$5:$I$14,MATCH($A784,'Cohort Summary'!$A$5:$A$14,0))</f>
        <v>1.39261744966443</v>
      </c>
      <c r="L784" s="42" t="n">
        <f aca="false">(G784-INDEX('Cohort Summary'!$J$5:$J$14,MATCH($A784,'Cohort Summary'!$A$5:$A$14,0)))/INDEX('Cohort Summary'!$K$5:$K$14,MATCH($A784,'Cohort Summary'!$A$5:$A$14,0))</f>
        <v>-0.896551724137937</v>
      </c>
      <c r="M784" s="42" t="n">
        <f aca="false">MAX(I784:K784)</f>
        <v>1.39261744966443</v>
      </c>
      <c r="N784" s="27" t="s">
        <v>197</v>
      </c>
      <c r="O784" s="27"/>
      <c r="P784" s="27" t="str">
        <f aca="false">A784&amp;"|"&amp;N784</f>
        <v>NURSE-04|normal</v>
      </c>
    </row>
    <row r="785" customFormat="false" ht="15" hidden="false" customHeight="true" outlineLevel="0" collapsed="false">
      <c r="A785" s="27" t="s">
        <v>81</v>
      </c>
      <c r="B785" s="41" t="n">
        <v>46303.3552083333</v>
      </c>
      <c r="C785" s="27" t="s">
        <v>200</v>
      </c>
      <c r="D785" s="27" t="n">
        <v>44.4</v>
      </c>
      <c r="E785" s="27" t="n">
        <v>16.5</v>
      </c>
      <c r="F785" s="27" t="n">
        <v>32.1</v>
      </c>
      <c r="G785" s="27" t="n">
        <v>33.2</v>
      </c>
      <c r="H785" s="27" t="s">
        <v>196</v>
      </c>
      <c r="I785" s="42" t="n">
        <f aca="false">(D785-INDEX('Cohort Summary'!$D$5:$D$14,MATCH($A785,'Cohort Summary'!$A$5:$A$14,0)))/INDEX('Cohort Summary'!$E$5:$E$14,MATCH($A785,'Cohort Summary'!$A$5:$A$14,0))</f>
        <v>-0.456869009584665</v>
      </c>
      <c r="J785" s="42" t="n">
        <f aca="false">(E785-INDEX('Cohort Summary'!$F$5:$F$14,MATCH($A785,'Cohort Summary'!$A$5:$A$14,0)))/INDEX('Cohort Summary'!$G$5:$G$14,MATCH($A785,'Cohort Summary'!$A$5:$A$14,0))</f>
        <v>-1.62694300518135</v>
      </c>
      <c r="K785" s="42" t="n">
        <f aca="false">(F785-INDEX('Cohort Summary'!$H$5:$H$14,MATCH($A785,'Cohort Summary'!$A$5:$A$14,0)))/INDEX('Cohort Summary'!$I$5:$I$14,MATCH($A785,'Cohort Summary'!$A$5:$A$14,0))</f>
        <v>-0.35234899328859</v>
      </c>
      <c r="L785" s="42" t="n">
        <f aca="false">(G785-INDEX('Cohort Summary'!$J$5:$J$14,MATCH($A785,'Cohort Summary'!$A$5:$A$14,0)))/INDEX('Cohort Summary'!$K$5:$K$14,MATCH($A785,'Cohort Summary'!$A$5:$A$14,0))</f>
        <v>-0.206896551724134</v>
      </c>
      <c r="M785" s="42" t="n">
        <f aca="false">MAX(I785:K785)</f>
        <v>-0.35234899328859</v>
      </c>
      <c r="N785" s="27" t="s">
        <v>197</v>
      </c>
      <c r="O785" s="27"/>
      <c r="P785" s="27" t="str">
        <f aca="false">A785&amp;"|"&amp;N785</f>
        <v>NURSE-04|normal</v>
      </c>
    </row>
    <row r="786" customFormat="false" ht="15" hidden="false" customHeight="true" outlineLevel="0" collapsed="false">
      <c r="A786" s="27" t="s">
        <v>81</v>
      </c>
      <c r="B786" s="41" t="n">
        <v>46303.3555555556</v>
      </c>
      <c r="C786" s="27" t="s">
        <v>200</v>
      </c>
      <c r="D786" s="27" t="n">
        <v>47.7</v>
      </c>
      <c r="E786" s="27" t="n">
        <v>20</v>
      </c>
      <c r="F786" s="27" t="n">
        <v>32</v>
      </c>
      <c r="G786" s="27" t="n">
        <v>33.3</v>
      </c>
      <c r="H786" s="27" t="s">
        <v>199</v>
      </c>
      <c r="I786" s="42" t="n">
        <f aca="false">(D786-INDEX('Cohort Summary'!$D$5:$D$14,MATCH($A786,'Cohort Summary'!$A$5:$A$14,0)))/INDEX('Cohort Summary'!$E$5:$E$14,MATCH($A786,'Cohort Summary'!$A$5:$A$14,0))</f>
        <v>0.59744408945687</v>
      </c>
      <c r="J786" s="42" t="n">
        <f aca="false">(E786-INDEX('Cohort Summary'!$F$5:$F$14,MATCH($A786,'Cohort Summary'!$A$5:$A$14,0)))/INDEX('Cohort Summary'!$G$5:$G$14,MATCH($A786,'Cohort Summary'!$A$5:$A$14,0))</f>
        <v>0.186528497409326</v>
      </c>
      <c r="K786" s="42" t="n">
        <f aca="false">(F786-INDEX('Cohort Summary'!$H$5:$H$14,MATCH($A786,'Cohort Summary'!$A$5:$A$14,0)))/INDEX('Cohort Summary'!$I$5:$I$14,MATCH($A786,'Cohort Summary'!$A$5:$A$14,0))</f>
        <v>-0.385906040268456</v>
      </c>
      <c r="L786" s="42" t="n">
        <f aca="false">(G786-INDEX('Cohort Summary'!$J$5:$J$14,MATCH($A786,'Cohort Summary'!$A$5:$A$14,0)))/INDEX('Cohort Summary'!$K$5:$K$14,MATCH($A786,'Cohort Summary'!$A$5:$A$14,0))</f>
        <v>-0.034482758620695</v>
      </c>
      <c r="M786" s="42" t="n">
        <f aca="false">MAX(I786:K786)</f>
        <v>0.59744408945687</v>
      </c>
      <c r="N786" s="27" t="s">
        <v>197</v>
      </c>
      <c r="O786" s="27"/>
      <c r="P786" s="27" t="str">
        <f aca="false">A786&amp;"|"&amp;N786</f>
        <v>NURSE-04|normal</v>
      </c>
    </row>
    <row r="787" customFormat="false" ht="15" hidden="false" customHeight="true" outlineLevel="0" collapsed="false">
      <c r="A787" s="27" t="s">
        <v>81</v>
      </c>
      <c r="B787" s="41" t="n">
        <v>46303.3559027778</v>
      </c>
      <c r="C787" s="27" t="s">
        <v>200</v>
      </c>
      <c r="D787" s="27" t="n">
        <v>48.9</v>
      </c>
      <c r="E787" s="27" t="n">
        <v>20.8</v>
      </c>
      <c r="F787" s="27" t="n">
        <v>36.5</v>
      </c>
      <c r="G787" s="27" t="n">
        <v>32.5</v>
      </c>
      <c r="H787" s="27" t="s">
        <v>198</v>
      </c>
      <c r="I787" s="42" t="n">
        <f aca="false">(D787-INDEX('Cohort Summary'!$D$5:$D$14,MATCH($A787,'Cohort Summary'!$A$5:$A$14,0)))/INDEX('Cohort Summary'!$E$5:$E$14,MATCH($A787,'Cohort Summary'!$A$5:$A$14,0))</f>
        <v>0.980830670926518</v>
      </c>
      <c r="J787" s="42" t="n">
        <f aca="false">(E787-INDEX('Cohort Summary'!$F$5:$F$14,MATCH($A787,'Cohort Summary'!$A$5:$A$14,0)))/INDEX('Cohort Summary'!$G$5:$G$14,MATCH($A787,'Cohort Summary'!$A$5:$A$14,0))</f>
        <v>0.601036269430052</v>
      </c>
      <c r="K787" s="42" t="n">
        <f aca="false">(F787-INDEX('Cohort Summary'!$H$5:$H$14,MATCH($A787,'Cohort Summary'!$A$5:$A$14,0)))/INDEX('Cohort Summary'!$I$5:$I$14,MATCH($A787,'Cohort Summary'!$A$5:$A$14,0))</f>
        <v>1.1241610738255</v>
      </c>
      <c r="L787" s="42" t="n">
        <f aca="false">(G787-INDEX('Cohort Summary'!$J$5:$J$14,MATCH($A787,'Cohort Summary'!$A$5:$A$14,0)))/INDEX('Cohort Summary'!$K$5:$K$14,MATCH($A787,'Cohort Summary'!$A$5:$A$14,0))</f>
        <v>-1.41379310344828</v>
      </c>
      <c r="M787" s="42" t="n">
        <f aca="false">MAX(I787:K787)</f>
        <v>1.1241610738255</v>
      </c>
      <c r="N787" s="27" t="s">
        <v>197</v>
      </c>
      <c r="O787" s="27"/>
      <c r="P787" s="27" t="str">
        <f aca="false">A787&amp;"|"&amp;N787</f>
        <v>NURSE-04|normal</v>
      </c>
    </row>
    <row r="788" customFormat="false" ht="15" hidden="false" customHeight="true" outlineLevel="0" collapsed="false">
      <c r="A788" s="27" t="s">
        <v>81</v>
      </c>
      <c r="B788" s="41" t="n">
        <v>46303.35625</v>
      </c>
      <c r="C788" s="27" t="s">
        <v>200</v>
      </c>
      <c r="D788" s="27" t="n">
        <v>47.7</v>
      </c>
      <c r="E788" s="27" t="n">
        <v>21.3</v>
      </c>
      <c r="F788" s="27" t="n">
        <v>33</v>
      </c>
      <c r="G788" s="27" t="n">
        <v>34</v>
      </c>
      <c r="H788" s="27" t="s">
        <v>198</v>
      </c>
      <c r="I788" s="42" t="n">
        <f aca="false">(D788-INDEX('Cohort Summary'!$D$5:$D$14,MATCH($A788,'Cohort Summary'!$A$5:$A$14,0)))/INDEX('Cohort Summary'!$E$5:$E$14,MATCH($A788,'Cohort Summary'!$A$5:$A$14,0))</f>
        <v>0.59744408945687</v>
      </c>
      <c r="J788" s="42" t="n">
        <f aca="false">(E788-INDEX('Cohort Summary'!$F$5:$F$14,MATCH($A788,'Cohort Summary'!$A$5:$A$14,0)))/INDEX('Cohort Summary'!$G$5:$G$14,MATCH($A788,'Cohort Summary'!$A$5:$A$14,0))</f>
        <v>0.860103626943005</v>
      </c>
      <c r="K788" s="42" t="n">
        <f aca="false">(F788-INDEX('Cohort Summary'!$H$5:$H$14,MATCH($A788,'Cohort Summary'!$A$5:$A$14,0)))/INDEX('Cohort Summary'!$I$5:$I$14,MATCH($A788,'Cohort Summary'!$A$5:$A$14,0))</f>
        <v>-0.0503355704697982</v>
      </c>
      <c r="L788" s="42" t="n">
        <f aca="false">(G788-INDEX('Cohort Summary'!$J$5:$J$14,MATCH($A788,'Cohort Summary'!$A$5:$A$14,0)))/INDEX('Cohort Summary'!$K$5:$K$14,MATCH($A788,'Cohort Summary'!$A$5:$A$14,0))</f>
        <v>1.17241379310345</v>
      </c>
      <c r="M788" s="42" t="n">
        <f aca="false">MAX(I788:K788)</f>
        <v>0.860103626943005</v>
      </c>
      <c r="N788" s="27" t="s">
        <v>197</v>
      </c>
      <c r="O788" s="27"/>
      <c r="P788" s="27" t="str">
        <f aca="false">A788&amp;"|"&amp;N788</f>
        <v>NURSE-04|normal</v>
      </c>
    </row>
    <row r="789" customFormat="false" ht="15" hidden="false" customHeight="true" outlineLevel="0" collapsed="false">
      <c r="A789" s="27" t="s">
        <v>81</v>
      </c>
      <c r="B789" s="41" t="n">
        <v>46303.3565972222</v>
      </c>
      <c r="C789" s="27" t="s">
        <v>200</v>
      </c>
      <c r="D789" s="27" t="n">
        <v>48.4</v>
      </c>
      <c r="E789" s="27" t="n">
        <v>21.7</v>
      </c>
      <c r="F789" s="27" t="n">
        <v>34.5</v>
      </c>
      <c r="G789" s="27" t="n">
        <v>34</v>
      </c>
      <c r="H789" s="27" t="s">
        <v>198</v>
      </c>
      <c r="I789" s="42" t="n">
        <f aca="false">(D789-INDEX('Cohort Summary'!$D$5:$D$14,MATCH($A789,'Cohort Summary'!$A$5:$A$14,0)))/INDEX('Cohort Summary'!$E$5:$E$14,MATCH($A789,'Cohort Summary'!$A$5:$A$14,0))</f>
        <v>0.821086261980831</v>
      </c>
      <c r="J789" s="42" t="n">
        <f aca="false">(E789-INDEX('Cohort Summary'!$F$5:$F$14,MATCH($A789,'Cohort Summary'!$A$5:$A$14,0)))/INDEX('Cohort Summary'!$G$5:$G$14,MATCH($A789,'Cohort Summary'!$A$5:$A$14,0))</f>
        <v>1.06735751295337</v>
      </c>
      <c r="K789" s="42" t="n">
        <f aca="false">(F789-INDEX('Cohort Summary'!$H$5:$H$14,MATCH($A789,'Cohort Summary'!$A$5:$A$14,0)))/INDEX('Cohort Summary'!$I$5:$I$14,MATCH($A789,'Cohort Summary'!$A$5:$A$14,0))</f>
        <v>0.453020134228188</v>
      </c>
      <c r="L789" s="42" t="n">
        <f aca="false">(G789-INDEX('Cohort Summary'!$J$5:$J$14,MATCH($A789,'Cohort Summary'!$A$5:$A$14,0)))/INDEX('Cohort Summary'!$K$5:$K$14,MATCH($A789,'Cohort Summary'!$A$5:$A$14,0))</f>
        <v>1.17241379310345</v>
      </c>
      <c r="M789" s="42" t="n">
        <f aca="false">MAX(I789:K789)</f>
        <v>1.06735751295337</v>
      </c>
      <c r="N789" s="27" t="s">
        <v>197</v>
      </c>
      <c r="O789" s="27"/>
      <c r="P789" s="27" t="str">
        <f aca="false">A789&amp;"|"&amp;N789</f>
        <v>NURSE-04|normal</v>
      </c>
    </row>
    <row r="790" customFormat="false" ht="15" hidden="false" customHeight="true" outlineLevel="0" collapsed="false">
      <c r="A790" s="27" t="s">
        <v>81</v>
      </c>
      <c r="B790" s="41" t="n">
        <v>46303.3569444444</v>
      </c>
      <c r="C790" s="27" t="s">
        <v>200</v>
      </c>
      <c r="D790" s="27" t="n">
        <v>47.5</v>
      </c>
      <c r="E790" s="27" t="n">
        <v>22.1</v>
      </c>
      <c r="F790" s="27" t="n">
        <v>31.8</v>
      </c>
      <c r="G790" s="27" t="n">
        <v>34</v>
      </c>
      <c r="H790" s="27" t="s">
        <v>196</v>
      </c>
      <c r="I790" s="42" t="n">
        <f aca="false">(D790-INDEX('Cohort Summary'!$D$5:$D$14,MATCH($A790,'Cohort Summary'!$A$5:$A$14,0)))/INDEX('Cohort Summary'!$E$5:$E$14,MATCH($A790,'Cohort Summary'!$A$5:$A$14,0))</f>
        <v>0.533546325878595</v>
      </c>
      <c r="J790" s="42" t="n">
        <f aca="false">(E790-INDEX('Cohort Summary'!$F$5:$F$14,MATCH($A790,'Cohort Summary'!$A$5:$A$14,0)))/INDEX('Cohort Summary'!$G$5:$G$14,MATCH($A790,'Cohort Summary'!$A$5:$A$14,0))</f>
        <v>1.27461139896373</v>
      </c>
      <c r="K790" s="42" t="n">
        <f aca="false">(F790-INDEX('Cohort Summary'!$H$5:$H$14,MATCH($A790,'Cohort Summary'!$A$5:$A$14,0)))/INDEX('Cohort Summary'!$I$5:$I$14,MATCH($A790,'Cohort Summary'!$A$5:$A$14,0))</f>
        <v>-0.453020134228187</v>
      </c>
      <c r="L790" s="42" t="n">
        <f aca="false">(G790-INDEX('Cohort Summary'!$J$5:$J$14,MATCH($A790,'Cohort Summary'!$A$5:$A$14,0)))/INDEX('Cohort Summary'!$K$5:$K$14,MATCH($A790,'Cohort Summary'!$A$5:$A$14,0))</f>
        <v>1.17241379310345</v>
      </c>
      <c r="M790" s="42" t="n">
        <f aca="false">MAX(I790:K790)</f>
        <v>1.27461139896373</v>
      </c>
      <c r="N790" s="27" t="s">
        <v>197</v>
      </c>
      <c r="O790" s="27"/>
      <c r="P790" s="27" t="str">
        <f aca="false">A790&amp;"|"&amp;N790</f>
        <v>NURSE-04|normal</v>
      </c>
    </row>
    <row r="791" customFormat="false" ht="15" hidden="false" customHeight="true" outlineLevel="0" collapsed="false">
      <c r="A791" s="27" t="s">
        <v>81</v>
      </c>
      <c r="B791" s="41" t="n">
        <v>46303.3572916667</v>
      </c>
      <c r="C791" s="27" t="s">
        <v>200</v>
      </c>
      <c r="D791" s="27" t="n">
        <v>41.7</v>
      </c>
      <c r="E791" s="27" t="n">
        <v>20.2</v>
      </c>
      <c r="F791" s="27" t="n">
        <v>36.2</v>
      </c>
      <c r="G791" s="27" t="n">
        <v>32.7</v>
      </c>
      <c r="H791" s="27" t="s">
        <v>198</v>
      </c>
      <c r="I791" s="42" t="n">
        <f aca="false">(D791-INDEX('Cohort Summary'!$D$5:$D$14,MATCH($A791,'Cohort Summary'!$A$5:$A$14,0)))/INDEX('Cohort Summary'!$E$5:$E$14,MATCH($A791,'Cohort Summary'!$A$5:$A$14,0))</f>
        <v>-1.31948881789137</v>
      </c>
      <c r="J791" s="42" t="n">
        <f aca="false">(E791-INDEX('Cohort Summary'!$F$5:$F$14,MATCH($A791,'Cohort Summary'!$A$5:$A$14,0)))/INDEX('Cohort Summary'!$G$5:$G$14,MATCH($A791,'Cohort Summary'!$A$5:$A$14,0))</f>
        <v>0.290155440414507</v>
      </c>
      <c r="K791" s="42" t="n">
        <f aca="false">(F791-INDEX('Cohort Summary'!$H$5:$H$14,MATCH($A791,'Cohort Summary'!$A$5:$A$14,0)))/INDEX('Cohort Summary'!$I$5:$I$14,MATCH($A791,'Cohort Summary'!$A$5:$A$14,0))</f>
        <v>1.02348993288591</v>
      </c>
      <c r="L791" s="42" t="n">
        <f aca="false">(G791-INDEX('Cohort Summary'!$J$5:$J$14,MATCH($A791,'Cohort Summary'!$A$5:$A$14,0)))/INDEX('Cohort Summary'!$K$5:$K$14,MATCH($A791,'Cohort Summary'!$A$5:$A$14,0))</f>
        <v>-1.06896551724138</v>
      </c>
      <c r="M791" s="42" t="n">
        <f aca="false">MAX(I791:K791)</f>
        <v>1.02348993288591</v>
      </c>
      <c r="N791" s="27" t="s">
        <v>197</v>
      </c>
      <c r="O791" s="27"/>
      <c r="P791" s="27" t="str">
        <f aca="false">A791&amp;"|"&amp;N791</f>
        <v>NURSE-04|normal</v>
      </c>
    </row>
    <row r="792" customFormat="false" ht="15" hidden="false" customHeight="true" outlineLevel="0" collapsed="false">
      <c r="A792" s="27" t="s">
        <v>81</v>
      </c>
      <c r="B792" s="41" t="n">
        <v>46303.3576388889</v>
      </c>
      <c r="C792" s="27" t="s">
        <v>200</v>
      </c>
      <c r="D792" s="27" t="n">
        <v>50</v>
      </c>
      <c r="E792" s="27" t="n">
        <v>18.2</v>
      </c>
      <c r="F792" s="27" t="n">
        <v>31.6</v>
      </c>
      <c r="G792" s="27" t="n">
        <v>33.3</v>
      </c>
      <c r="H792" s="27" t="s">
        <v>198</v>
      </c>
      <c r="I792" s="42" t="n">
        <f aca="false">(D792-INDEX('Cohort Summary'!$D$5:$D$14,MATCH($A792,'Cohort Summary'!$A$5:$A$14,0)))/INDEX('Cohort Summary'!$E$5:$E$14,MATCH($A792,'Cohort Summary'!$A$5:$A$14,0))</f>
        <v>1.33226837060703</v>
      </c>
      <c r="J792" s="42" t="n">
        <f aca="false">(E792-INDEX('Cohort Summary'!$F$5:$F$14,MATCH($A792,'Cohort Summary'!$A$5:$A$14,0)))/INDEX('Cohort Summary'!$G$5:$G$14,MATCH($A792,'Cohort Summary'!$A$5:$A$14,0))</f>
        <v>-0.746113989637306</v>
      </c>
      <c r="K792" s="42" t="n">
        <f aca="false">(F792-INDEX('Cohort Summary'!$H$5:$H$14,MATCH($A792,'Cohort Summary'!$A$5:$A$14,0)))/INDEX('Cohort Summary'!$I$5:$I$14,MATCH($A792,'Cohort Summary'!$A$5:$A$14,0))</f>
        <v>-0.520134228187919</v>
      </c>
      <c r="L792" s="42" t="n">
        <f aca="false">(G792-INDEX('Cohort Summary'!$J$5:$J$14,MATCH($A792,'Cohort Summary'!$A$5:$A$14,0)))/INDEX('Cohort Summary'!$K$5:$K$14,MATCH($A792,'Cohort Summary'!$A$5:$A$14,0))</f>
        <v>-0.034482758620695</v>
      </c>
      <c r="M792" s="42" t="n">
        <f aca="false">MAX(I792:K792)</f>
        <v>1.33226837060703</v>
      </c>
      <c r="N792" s="27" t="s">
        <v>197</v>
      </c>
      <c r="O792" s="27"/>
      <c r="P792" s="27" t="str">
        <f aca="false">A792&amp;"|"&amp;N792</f>
        <v>NURSE-04|normal</v>
      </c>
    </row>
    <row r="793" customFormat="false" ht="15" hidden="false" customHeight="true" outlineLevel="0" collapsed="false">
      <c r="A793" s="27" t="s">
        <v>81</v>
      </c>
      <c r="B793" s="41" t="n">
        <v>46303.3579861111</v>
      </c>
      <c r="C793" s="27" t="s">
        <v>200</v>
      </c>
      <c r="D793" s="27" t="n">
        <v>44.6</v>
      </c>
      <c r="E793" s="27" t="n">
        <v>20.9</v>
      </c>
      <c r="F793" s="27" t="n">
        <v>28.7</v>
      </c>
      <c r="G793" s="27" t="n">
        <v>33.9</v>
      </c>
      <c r="H793" s="27" t="s">
        <v>199</v>
      </c>
      <c r="I793" s="42" t="n">
        <f aca="false">(D793-INDEX('Cohort Summary'!$D$5:$D$14,MATCH($A793,'Cohort Summary'!$A$5:$A$14,0)))/INDEX('Cohort Summary'!$E$5:$E$14,MATCH($A793,'Cohort Summary'!$A$5:$A$14,0))</f>
        <v>-0.392971246006389</v>
      </c>
      <c r="J793" s="42" t="n">
        <f aca="false">(E793-INDEX('Cohort Summary'!$F$5:$F$14,MATCH($A793,'Cohort Summary'!$A$5:$A$14,0)))/INDEX('Cohort Summary'!$G$5:$G$14,MATCH($A793,'Cohort Summary'!$A$5:$A$14,0))</f>
        <v>0.652849740932642</v>
      </c>
      <c r="K793" s="42" t="n">
        <f aca="false">(F793-INDEX('Cohort Summary'!$H$5:$H$14,MATCH($A793,'Cohort Summary'!$A$5:$A$14,0)))/INDEX('Cohort Summary'!$I$5:$I$14,MATCH($A793,'Cohort Summary'!$A$5:$A$14,0))</f>
        <v>-1.49328859060403</v>
      </c>
      <c r="L793" s="42" t="n">
        <f aca="false">(G793-INDEX('Cohort Summary'!$J$5:$J$14,MATCH($A793,'Cohort Summary'!$A$5:$A$14,0)))/INDEX('Cohort Summary'!$K$5:$K$14,MATCH($A793,'Cohort Summary'!$A$5:$A$14,0))</f>
        <v>0.999999999999997</v>
      </c>
      <c r="M793" s="42" t="n">
        <f aca="false">MAX(I793:K793)</f>
        <v>0.652849740932642</v>
      </c>
      <c r="N793" s="27" t="s">
        <v>197</v>
      </c>
      <c r="O793" s="27"/>
      <c r="P793" s="27" t="str">
        <f aca="false">A793&amp;"|"&amp;N793</f>
        <v>NURSE-04|normal</v>
      </c>
    </row>
    <row r="794" customFormat="false" ht="15" hidden="false" customHeight="true" outlineLevel="0" collapsed="false">
      <c r="A794" s="27" t="s">
        <v>81</v>
      </c>
      <c r="B794" s="41" t="n">
        <v>46303.3583333333</v>
      </c>
      <c r="C794" s="27" t="s">
        <v>200</v>
      </c>
      <c r="D794" s="27" t="n">
        <v>43.2</v>
      </c>
      <c r="E794" s="27" t="n">
        <v>19.2</v>
      </c>
      <c r="F794" s="27" t="n">
        <v>35.6</v>
      </c>
      <c r="G794" s="27" t="n">
        <v>33.1</v>
      </c>
      <c r="H794" s="27" t="s">
        <v>196</v>
      </c>
      <c r="I794" s="42" t="n">
        <f aca="false">(D794-INDEX('Cohort Summary'!$D$5:$D$14,MATCH($A794,'Cohort Summary'!$A$5:$A$14,0)))/INDEX('Cohort Summary'!$E$5:$E$14,MATCH($A794,'Cohort Summary'!$A$5:$A$14,0))</f>
        <v>-0.840255591054312</v>
      </c>
      <c r="J794" s="42" t="n">
        <f aca="false">(E794-INDEX('Cohort Summary'!$F$5:$F$14,MATCH($A794,'Cohort Summary'!$A$5:$A$14,0)))/INDEX('Cohort Summary'!$G$5:$G$14,MATCH($A794,'Cohort Summary'!$A$5:$A$14,0))</f>
        <v>-0.2279792746114</v>
      </c>
      <c r="K794" s="42" t="n">
        <f aca="false">(F794-INDEX('Cohort Summary'!$H$5:$H$14,MATCH($A794,'Cohort Summary'!$A$5:$A$14,0)))/INDEX('Cohort Summary'!$I$5:$I$14,MATCH($A794,'Cohort Summary'!$A$5:$A$14,0))</f>
        <v>0.822147651006712</v>
      </c>
      <c r="L794" s="42" t="n">
        <f aca="false">(G794-INDEX('Cohort Summary'!$J$5:$J$14,MATCH($A794,'Cohort Summary'!$A$5:$A$14,0)))/INDEX('Cohort Summary'!$K$5:$K$14,MATCH($A794,'Cohort Summary'!$A$5:$A$14,0))</f>
        <v>-0.379310344827584</v>
      </c>
      <c r="M794" s="42" t="n">
        <f aca="false">MAX(I794:K794)</f>
        <v>0.822147651006712</v>
      </c>
      <c r="N794" s="27" t="s">
        <v>197</v>
      </c>
      <c r="O794" s="27"/>
      <c r="P794" s="27" t="str">
        <f aca="false">A794&amp;"|"&amp;N794</f>
        <v>NURSE-04|normal</v>
      </c>
    </row>
    <row r="795" customFormat="false" ht="15" hidden="false" customHeight="true" outlineLevel="0" collapsed="false">
      <c r="A795" s="27" t="s">
        <v>81</v>
      </c>
      <c r="B795" s="41" t="n">
        <v>46303.3586805556</v>
      </c>
      <c r="C795" s="27" t="s">
        <v>200</v>
      </c>
      <c r="D795" s="27" t="n">
        <v>41.6</v>
      </c>
      <c r="E795" s="27" t="n">
        <v>19.1</v>
      </c>
      <c r="F795" s="27" t="n">
        <v>33.5</v>
      </c>
      <c r="G795" s="27" t="n">
        <v>33.8</v>
      </c>
      <c r="H795" s="27" t="s">
        <v>198</v>
      </c>
      <c r="I795" s="42" t="n">
        <f aca="false">(D795-INDEX('Cohort Summary'!$D$5:$D$14,MATCH($A795,'Cohort Summary'!$A$5:$A$14,0)))/INDEX('Cohort Summary'!$E$5:$E$14,MATCH($A795,'Cohort Summary'!$A$5:$A$14,0))</f>
        <v>-1.35143769968051</v>
      </c>
      <c r="J795" s="42" t="n">
        <f aca="false">(E795-INDEX('Cohort Summary'!$F$5:$F$14,MATCH($A795,'Cohort Summary'!$A$5:$A$14,0)))/INDEX('Cohort Summary'!$G$5:$G$14,MATCH($A795,'Cohort Summary'!$A$5:$A$14,0))</f>
        <v>-0.279792746113989</v>
      </c>
      <c r="K795" s="42" t="n">
        <f aca="false">(F795-INDEX('Cohort Summary'!$H$5:$H$14,MATCH($A795,'Cohort Summary'!$A$5:$A$14,0)))/INDEX('Cohort Summary'!$I$5:$I$14,MATCH($A795,'Cohort Summary'!$A$5:$A$14,0))</f>
        <v>0.117449664429531</v>
      </c>
      <c r="L795" s="42" t="n">
        <f aca="false">(G795-INDEX('Cohort Summary'!$J$5:$J$14,MATCH($A795,'Cohort Summary'!$A$5:$A$14,0)))/INDEX('Cohort Summary'!$K$5:$K$14,MATCH($A795,'Cohort Summary'!$A$5:$A$14,0))</f>
        <v>0.827586206896546</v>
      </c>
      <c r="M795" s="42" t="n">
        <f aca="false">MAX(I795:K795)</f>
        <v>0.117449664429531</v>
      </c>
      <c r="N795" s="27" t="s">
        <v>197</v>
      </c>
      <c r="O795" s="27"/>
      <c r="P795" s="27" t="str">
        <f aca="false">A795&amp;"|"&amp;N795</f>
        <v>NURSE-04|normal</v>
      </c>
    </row>
    <row r="796" customFormat="false" ht="15" hidden="false" customHeight="true" outlineLevel="0" collapsed="false">
      <c r="A796" s="27" t="s">
        <v>81</v>
      </c>
      <c r="B796" s="41" t="n">
        <v>46303.3590277778</v>
      </c>
      <c r="C796" s="27" t="s">
        <v>200</v>
      </c>
      <c r="D796" s="27" t="n">
        <v>46.4</v>
      </c>
      <c r="E796" s="27" t="n">
        <v>19.3</v>
      </c>
      <c r="F796" s="27" t="n">
        <v>32.8</v>
      </c>
      <c r="G796" s="27" t="n">
        <v>32.8</v>
      </c>
      <c r="H796" s="27" t="s">
        <v>199</v>
      </c>
      <c r="I796" s="42" t="n">
        <f aca="false">(D796-INDEX('Cohort Summary'!$D$5:$D$14,MATCH($A796,'Cohort Summary'!$A$5:$A$14,0)))/INDEX('Cohort Summary'!$E$5:$E$14,MATCH($A796,'Cohort Summary'!$A$5:$A$14,0))</f>
        <v>0.182108626198083</v>
      </c>
      <c r="J796" s="42" t="n">
        <f aca="false">(E796-INDEX('Cohort Summary'!$F$5:$F$14,MATCH($A796,'Cohort Summary'!$A$5:$A$14,0)))/INDEX('Cohort Summary'!$G$5:$G$14,MATCH($A796,'Cohort Summary'!$A$5:$A$14,0))</f>
        <v>-0.176165803108808</v>
      </c>
      <c r="K796" s="42" t="n">
        <f aca="false">(F796-INDEX('Cohort Summary'!$H$5:$H$14,MATCH($A796,'Cohort Summary'!$A$5:$A$14,0)))/INDEX('Cohort Summary'!$I$5:$I$14,MATCH($A796,'Cohort Summary'!$A$5:$A$14,0))</f>
        <v>-0.117449664429531</v>
      </c>
      <c r="L796" s="42" t="n">
        <f aca="false">(G796-INDEX('Cohort Summary'!$J$5:$J$14,MATCH($A796,'Cohort Summary'!$A$5:$A$14,0)))/INDEX('Cohort Summary'!$K$5:$K$14,MATCH($A796,'Cohort Summary'!$A$5:$A$14,0))</f>
        <v>-0.896551724137937</v>
      </c>
      <c r="M796" s="42" t="n">
        <f aca="false">MAX(I796:K796)</f>
        <v>0.182108626198083</v>
      </c>
      <c r="N796" s="27" t="s">
        <v>197</v>
      </c>
      <c r="O796" s="27"/>
      <c r="P796" s="27" t="str">
        <f aca="false">A796&amp;"|"&amp;N796</f>
        <v>NURSE-04|normal</v>
      </c>
    </row>
    <row r="797" customFormat="false" ht="15" hidden="false" customHeight="true" outlineLevel="0" collapsed="false">
      <c r="A797" s="27" t="s">
        <v>81</v>
      </c>
      <c r="B797" s="41" t="n">
        <v>46303.359375</v>
      </c>
      <c r="C797" s="27" t="s">
        <v>200</v>
      </c>
      <c r="D797" s="27" t="n">
        <v>50.6</v>
      </c>
      <c r="E797" s="27" t="n">
        <v>19.7</v>
      </c>
      <c r="F797" s="27" t="n">
        <v>30.3</v>
      </c>
      <c r="G797" s="27" t="n">
        <v>33.3</v>
      </c>
      <c r="H797" s="27" t="s">
        <v>198</v>
      </c>
      <c r="I797" s="42" t="n">
        <f aca="false">(D797-INDEX('Cohort Summary'!$D$5:$D$14,MATCH($A797,'Cohort Summary'!$A$5:$A$14,0)))/INDEX('Cohort Summary'!$E$5:$E$14,MATCH($A797,'Cohort Summary'!$A$5:$A$14,0))</f>
        <v>1.52396166134185</v>
      </c>
      <c r="J797" s="42" t="n">
        <f aca="false">(E797-INDEX('Cohort Summary'!$F$5:$F$14,MATCH($A797,'Cohort Summary'!$A$5:$A$14,0)))/INDEX('Cohort Summary'!$G$5:$G$14,MATCH($A797,'Cohort Summary'!$A$5:$A$14,0))</f>
        <v>0.0310880829015537</v>
      </c>
      <c r="K797" s="42" t="n">
        <f aca="false">(F797-INDEX('Cohort Summary'!$H$5:$H$14,MATCH($A797,'Cohort Summary'!$A$5:$A$14,0)))/INDEX('Cohort Summary'!$I$5:$I$14,MATCH($A797,'Cohort Summary'!$A$5:$A$14,0))</f>
        <v>-0.956375838926174</v>
      </c>
      <c r="L797" s="42" t="n">
        <f aca="false">(G797-INDEX('Cohort Summary'!$J$5:$J$14,MATCH($A797,'Cohort Summary'!$A$5:$A$14,0)))/INDEX('Cohort Summary'!$K$5:$K$14,MATCH($A797,'Cohort Summary'!$A$5:$A$14,0))</f>
        <v>-0.034482758620695</v>
      </c>
      <c r="M797" s="42" t="n">
        <f aca="false">MAX(I797:K797)</f>
        <v>1.52396166134185</v>
      </c>
      <c r="N797" s="27" t="s">
        <v>197</v>
      </c>
      <c r="O797" s="27"/>
      <c r="P797" s="27" t="str">
        <f aca="false">A797&amp;"|"&amp;N797</f>
        <v>NURSE-04|normal</v>
      </c>
    </row>
    <row r="798" customFormat="false" ht="15" hidden="false" customHeight="true" outlineLevel="0" collapsed="false">
      <c r="A798" s="27" t="s">
        <v>81</v>
      </c>
      <c r="B798" s="41" t="n">
        <v>46303.3597222222</v>
      </c>
      <c r="C798" s="27" t="s">
        <v>200</v>
      </c>
      <c r="D798" s="27" t="n">
        <v>43.8</v>
      </c>
      <c r="E798" s="27" t="n">
        <v>22.8</v>
      </c>
      <c r="F798" s="27" t="n">
        <v>33.8</v>
      </c>
      <c r="G798" s="27" t="n">
        <v>33.6</v>
      </c>
      <c r="H798" s="27" t="s">
        <v>198</v>
      </c>
      <c r="I798" s="42" t="n">
        <f aca="false">(D798-INDEX('Cohort Summary'!$D$5:$D$14,MATCH($A798,'Cohort Summary'!$A$5:$A$14,0)))/INDEX('Cohort Summary'!$E$5:$E$14,MATCH($A798,'Cohort Summary'!$A$5:$A$14,0))</f>
        <v>-0.648562300319489</v>
      </c>
      <c r="J798" s="42" t="n">
        <f aca="false">(E798-INDEX('Cohort Summary'!$F$5:$F$14,MATCH($A798,'Cohort Summary'!$A$5:$A$14,0)))/INDEX('Cohort Summary'!$G$5:$G$14,MATCH($A798,'Cohort Summary'!$A$5:$A$14,0))</f>
        <v>1.63730569948187</v>
      </c>
      <c r="K798" s="42" t="n">
        <f aca="false">(F798-INDEX('Cohort Summary'!$H$5:$H$14,MATCH($A798,'Cohort Summary'!$A$5:$A$14,0)))/INDEX('Cohort Summary'!$I$5:$I$14,MATCH($A798,'Cohort Summary'!$A$5:$A$14,0))</f>
        <v>0.218120805369127</v>
      </c>
      <c r="L798" s="42" t="n">
        <f aca="false">(G798-INDEX('Cohort Summary'!$J$5:$J$14,MATCH($A798,'Cohort Summary'!$A$5:$A$14,0)))/INDEX('Cohort Summary'!$K$5:$K$14,MATCH($A798,'Cohort Summary'!$A$5:$A$14,0))</f>
        <v>0.482758620689657</v>
      </c>
      <c r="M798" s="42" t="n">
        <f aca="false">MAX(I798:K798)</f>
        <v>1.63730569948187</v>
      </c>
      <c r="N798" s="27" t="s">
        <v>197</v>
      </c>
      <c r="O798" s="27"/>
      <c r="P798" s="27" t="str">
        <f aca="false">A798&amp;"|"&amp;N798</f>
        <v>NURSE-04|normal</v>
      </c>
    </row>
    <row r="799" customFormat="false" ht="15" hidden="false" customHeight="true" outlineLevel="0" collapsed="false">
      <c r="A799" s="27" t="s">
        <v>81</v>
      </c>
      <c r="B799" s="41" t="n">
        <v>46303.3600694445</v>
      </c>
      <c r="C799" s="27" t="s">
        <v>200</v>
      </c>
      <c r="D799" s="27" t="n">
        <v>48.8</v>
      </c>
      <c r="E799" s="27" t="n">
        <v>16.2</v>
      </c>
      <c r="F799" s="27" t="n">
        <v>33</v>
      </c>
      <c r="G799" s="27" t="n">
        <v>33</v>
      </c>
      <c r="H799" s="27" t="s">
        <v>198</v>
      </c>
      <c r="I799" s="42" t="n">
        <f aca="false">(D799-INDEX('Cohort Summary'!$D$5:$D$14,MATCH($A799,'Cohort Summary'!$A$5:$A$14,0)))/INDEX('Cohort Summary'!$E$5:$E$14,MATCH($A799,'Cohort Summary'!$A$5:$A$14,0))</f>
        <v>0.94888178913738</v>
      </c>
      <c r="J799" s="42" t="n">
        <f aca="false">(E799-INDEX('Cohort Summary'!$F$5:$F$14,MATCH($A799,'Cohort Summary'!$A$5:$A$14,0)))/INDEX('Cohort Summary'!$G$5:$G$14,MATCH($A799,'Cohort Summary'!$A$5:$A$14,0))</f>
        <v>-1.78238341968912</v>
      </c>
      <c r="K799" s="42" t="n">
        <f aca="false">(F799-INDEX('Cohort Summary'!$H$5:$H$14,MATCH($A799,'Cohort Summary'!$A$5:$A$14,0)))/INDEX('Cohort Summary'!$I$5:$I$14,MATCH($A799,'Cohort Summary'!$A$5:$A$14,0))</f>
        <v>-0.0503355704697982</v>
      </c>
      <c r="L799" s="42" t="n">
        <f aca="false">(G799-INDEX('Cohort Summary'!$J$5:$J$14,MATCH($A799,'Cohort Summary'!$A$5:$A$14,0)))/INDEX('Cohort Summary'!$K$5:$K$14,MATCH($A799,'Cohort Summary'!$A$5:$A$14,0))</f>
        <v>-0.551724137931035</v>
      </c>
      <c r="M799" s="42" t="n">
        <f aca="false">MAX(I799:K799)</f>
        <v>0.94888178913738</v>
      </c>
      <c r="N799" s="27" t="s">
        <v>197</v>
      </c>
      <c r="O799" s="27"/>
      <c r="P799" s="27" t="str">
        <f aca="false">A799&amp;"|"&amp;N799</f>
        <v>NURSE-04|normal</v>
      </c>
    </row>
    <row r="800" customFormat="false" ht="15" hidden="false" customHeight="true" outlineLevel="0" collapsed="false">
      <c r="A800" s="27" t="s">
        <v>81</v>
      </c>
      <c r="B800" s="41" t="n">
        <v>46303.3604166667</v>
      </c>
      <c r="C800" s="27" t="s">
        <v>200</v>
      </c>
      <c r="D800" s="27" t="n">
        <v>50.5</v>
      </c>
      <c r="E800" s="27" t="n">
        <v>17.9</v>
      </c>
      <c r="F800" s="27" t="n">
        <v>28.9</v>
      </c>
      <c r="G800" s="27" t="n">
        <v>32.4</v>
      </c>
      <c r="H800" s="27" t="s">
        <v>199</v>
      </c>
      <c r="I800" s="42" t="n">
        <f aca="false">(D800-INDEX('Cohort Summary'!$D$5:$D$14,MATCH($A800,'Cohort Summary'!$A$5:$A$14,0)))/INDEX('Cohort Summary'!$E$5:$E$14,MATCH($A800,'Cohort Summary'!$A$5:$A$14,0))</f>
        <v>1.49201277955272</v>
      </c>
      <c r="J800" s="42" t="n">
        <f aca="false">(E800-INDEX('Cohort Summary'!$F$5:$F$14,MATCH($A800,'Cohort Summary'!$A$5:$A$14,0)))/INDEX('Cohort Summary'!$G$5:$G$14,MATCH($A800,'Cohort Summary'!$A$5:$A$14,0))</f>
        <v>-0.901554404145079</v>
      </c>
      <c r="K800" s="42" t="n">
        <f aca="false">(F800-INDEX('Cohort Summary'!$H$5:$H$14,MATCH($A800,'Cohort Summary'!$A$5:$A$14,0)))/INDEX('Cohort Summary'!$I$5:$I$14,MATCH($A800,'Cohort Summary'!$A$5:$A$14,0))</f>
        <v>-1.4261744966443</v>
      </c>
      <c r="L800" s="42" t="n">
        <f aca="false">(G800-INDEX('Cohort Summary'!$J$5:$J$14,MATCH($A800,'Cohort Summary'!$A$5:$A$14,0)))/INDEX('Cohort Summary'!$K$5:$K$14,MATCH($A800,'Cohort Summary'!$A$5:$A$14,0))</f>
        <v>-1.58620689655173</v>
      </c>
      <c r="M800" s="42" t="n">
        <f aca="false">MAX(I800:K800)</f>
        <v>1.49201277955272</v>
      </c>
      <c r="N800" s="27" t="s">
        <v>197</v>
      </c>
      <c r="O800" s="27"/>
      <c r="P800" s="27" t="str">
        <f aca="false">A800&amp;"|"&amp;N800</f>
        <v>NURSE-04|normal</v>
      </c>
    </row>
    <row r="801" customFormat="false" ht="15" hidden="false" customHeight="true" outlineLevel="0" collapsed="false">
      <c r="A801" s="27" t="s">
        <v>81</v>
      </c>
      <c r="B801" s="41" t="n">
        <v>46303.3607638889</v>
      </c>
      <c r="C801" s="27" t="s">
        <v>200</v>
      </c>
      <c r="D801" s="27" t="n">
        <v>46.1</v>
      </c>
      <c r="E801" s="27" t="n">
        <v>20.1</v>
      </c>
      <c r="F801" s="27" t="n">
        <v>30.3</v>
      </c>
      <c r="G801" s="27" t="n">
        <v>33.9</v>
      </c>
      <c r="H801" s="27" t="s">
        <v>198</v>
      </c>
      <c r="I801" s="42" t="n">
        <f aca="false">(D801-INDEX('Cohort Summary'!$D$5:$D$14,MATCH($A801,'Cohort Summary'!$A$5:$A$14,0)))/INDEX('Cohort Summary'!$E$5:$E$14,MATCH($A801,'Cohort Summary'!$A$5:$A$14,0))</f>
        <v>0.0862619808306719</v>
      </c>
      <c r="J801" s="42" t="n">
        <f aca="false">(E801-INDEX('Cohort Summary'!$F$5:$F$14,MATCH($A801,'Cohort Summary'!$A$5:$A$14,0)))/INDEX('Cohort Summary'!$G$5:$G$14,MATCH($A801,'Cohort Summary'!$A$5:$A$14,0))</f>
        <v>0.238341968911918</v>
      </c>
      <c r="K801" s="42" t="n">
        <f aca="false">(F801-INDEX('Cohort Summary'!$H$5:$H$14,MATCH($A801,'Cohort Summary'!$A$5:$A$14,0)))/INDEX('Cohort Summary'!$I$5:$I$14,MATCH($A801,'Cohort Summary'!$A$5:$A$14,0))</f>
        <v>-0.956375838926174</v>
      </c>
      <c r="L801" s="42" t="n">
        <f aca="false">(G801-INDEX('Cohort Summary'!$J$5:$J$14,MATCH($A801,'Cohort Summary'!$A$5:$A$14,0)))/INDEX('Cohort Summary'!$K$5:$K$14,MATCH($A801,'Cohort Summary'!$A$5:$A$14,0))</f>
        <v>0.999999999999997</v>
      </c>
      <c r="M801" s="42" t="n">
        <f aca="false">MAX(I801:K801)</f>
        <v>0.238341968911918</v>
      </c>
      <c r="N801" s="27" t="s">
        <v>197</v>
      </c>
      <c r="O801" s="27"/>
      <c r="P801" s="27" t="str">
        <f aca="false">A801&amp;"|"&amp;N801</f>
        <v>NURSE-04|normal</v>
      </c>
    </row>
    <row r="802" customFormat="false" ht="15" hidden="false" customHeight="true" outlineLevel="0" collapsed="false">
      <c r="A802" s="27" t="s">
        <v>86</v>
      </c>
      <c r="B802" s="41" t="n">
        <v>46303.2916666667</v>
      </c>
      <c r="C802" s="27" t="s">
        <v>195</v>
      </c>
      <c r="D802" s="27" t="n">
        <v>68</v>
      </c>
      <c r="E802" s="27" t="n">
        <v>23.7</v>
      </c>
      <c r="F802" s="27" t="n">
        <v>48.3</v>
      </c>
      <c r="G802" s="27" t="n">
        <v>35.5</v>
      </c>
      <c r="H802" s="27" t="s">
        <v>198</v>
      </c>
      <c r="I802" s="42" t="n">
        <f aca="false">(D802-INDEX('Cohort Summary'!$D$5:$D$14,MATCH($A802,'Cohort Summary'!$A$5:$A$14,0)))/INDEX('Cohort Summary'!$E$5:$E$14,MATCH($A802,'Cohort Summary'!$A$5:$A$14,0))</f>
        <v>0.895833333333333</v>
      </c>
      <c r="J802" s="42" t="n">
        <f aca="false">(E802-INDEX('Cohort Summary'!$F$5:$F$14,MATCH($A802,'Cohort Summary'!$A$5:$A$14,0)))/INDEX('Cohort Summary'!$G$5:$G$14,MATCH($A802,'Cohort Summary'!$A$5:$A$14,0))</f>
        <v>1.2962962962963</v>
      </c>
      <c r="K802" s="42" t="n">
        <f aca="false">(F802-INDEX('Cohort Summary'!$H$5:$H$14,MATCH($A802,'Cohort Summary'!$A$5:$A$14,0)))/INDEX('Cohort Summary'!$I$5:$I$14,MATCH($A802,'Cohort Summary'!$A$5:$A$14,0))</f>
        <v>-0.661921708185053</v>
      </c>
      <c r="L802" s="42" t="n">
        <f aca="false">(G802-INDEX('Cohort Summary'!$J$5:$J$14,MATCH($A802,'Cohort Summary'!$A$5:$A$14,0)))/INDEX('Cohort Summary'!$K$5:$K$14,MATCH($A802,'Cohort Summary'!$A$5:$A$14,0))</f>
        <v>1.71428571428571</v>
      </c>
      <c r="M802" s="42" t="n">
        <f aca="false">MAX(I802:K802)</f>
        <v>1.2962962962963</v>
      </c>
      <c r="N802" s="27" t="s">
        <v>197</v>
      </c>
      <c r="O802" s="27"/>
      <c r="P802" s="27" t="str">
        <f aca="false">A802&amp;"|"&amp;N802</f>
        <v>NURSE-05|normal</v>
      </c>
    </row>
    <row r="803" customFormat="false" ht="15" hidden="false" customHeight="true" outlineLevel="0" collapsed="false">
      <c r="A803" s="27" t="s">
        <v>86</v>
      </c>
      <c r="B803" s="41" t="n">
        <v>46303.2920138889</v>
      </c>
      <c r="C803" s="27" t="s">
        <v>195</v>
      </c>
      <c r="D803" s="27" t="n">
        <v>66.4</v>
      </c>
      <c r="E803" s="27" t="n">
        <v>21</v>
      </c>
      <c r="F803" s="27" t="n">
        <v>49.3</v>
      </c>
      <c r="G803" s="27" t="n">
        <v>35.4</v>
      </c>
      <c r="H803" s="27" t="s">
        <v>196</v>
      </c>
      <c r="I803" s="42" t="n">
        <f aca="false">(D803-INDEX('Cohort Summary'!$D$5:$D$14,MATCH($A803,'Cohort Summary'!$A$5:$A$14,0)))/INDEX('Cohort Summary'!$E$5:$E$14,MATCH($A803,'Cohort Summary'!$A$5:$A$14,0))</f>
        <v>0.340277777777779</v>
      </c>
      <c r="J803" s="42" t="n">
        <f aca="false">(E803-INDEX('Cohort Summary'!$F$5:$F$14,MATCH($A803,'Cohort Summary'!$A$5:$A$14,0)))/INDEX('Cohort Summary'!$G$5:$G$14,MATCH($A803,'Cohort Summary'!$A$5:$A$14,0))</f>
        <v>0.046296296296297</v>
      </c>
      <c r="K803" s="42" t="n">
        <f aca="false">(F803-INDEX('Cohort Summary'!$H$5:$H$14,MATCH($A803,'Cohort Summary'!$A$5:$A$14,0)))/INDEX('Cohort Summary'!$I$5:$I$14,MATCH($A803,'Cohort Summary'!$A$5:$A$14,0))</f>
        <v>-0.306049822064057</v>
      </c>
      <c r="L803" s="42" t="n">
        <f aca="false">(G803-INDEX('Cohort Summary'!$J$5:$J$14,MATCH($A803,'Cohort Summary'!$A$5:$A$14,0)))/INDEX('Cohort Summary'!$K$5:$K$14,MATCH($A803,'Cohort Summary'!$A$5:$A$14,0))</f>
        <v>1.55555555555555</v>
      </c>
      <c r="M803" s="42" t="n">
        <f aca="false">MAX(I803:K803)</f>
        <v>0.340277777777779</v>
      </c>
      <c r="N803" s="27" t="s">
        <v>197</v>
      </c>
      <c r="O803" s="27"/>
      <c r="P803" s="27" t="str">
        <f aca="false">A803&amp;"|"&amp;N803</f>
        <v>NURSE-05|normal</v>
      </c>
    </row>
    <row r="804" customFormat="false" ht="15" hidden="false" customHeight="true" outlineLevel="0" collapsed="false">
      <c r="A804" s="27" t="s">
        <v>86</v>
      </c>
      <c r="B804" s="41" t="n">
        <v>46303.2923611111</v>
      </c>
      <c r="C804" s="27" t="s">
        <v>195</v>
      </c>
      <c r="D804" s="27" t="n">
        <v>66.2</v>
      </c>
      <c r="E804" s="27" t="n">
        <v>18.3</v>
      </c>
      <c r="F804" s="27" t="n">
        <v>51.2</v>
      </c>
      <c r="G804" s="27" t="n">
        <v>33.7</v>
      </c>
      <c r="H804" s="27" t="s">
        <v>198</v>
      </c>
      <c r="I804" s="42" t="n">
        <f aca="false">(D804-INDEX('Cohort Summary'!$D$5:$D$14,MATCH($A804,'Cohort Summary'!$A$5:$A$14,0)))/INDEX('Cohort Summary'!$E$5:$E$14,MATCH($A804,'Cohort Summary'!$A$5:$A$14,0))</f>
        <v>0.270833333333334</v>
      </c>
      <c r="J804" s="42" t="n">
        <f aca="false">(E804-INDEX('Cohort Summary'!$F$5:$F$14,MATCH($A804,'Cohort Summary'!$A$5:$A$14,0)))/INDEX('Cohort Summary'!$G$5:$G$14,MATCH($A804,'Cohort Summary'!$A$5:$A$14,0))</f>
        <v>-1.2037037037037</v>
      </c>
      <c r="K804" s="42" t="n">
        <f aca="false">(F804-INDEX('Cohort Summary'!$H$5:$H$14,MATCH($A804,'Cohort Summary'!$A$5:$A$14,0)))/INDEX('Cohort Summary'!$I$5:$I$14,MATCH($A804,'Cohort Summary'!$A$5:$A$14,0))</f>
        <v>0.370106761565839</v>
      </c>
      <c r="L804" s="42" t="n">
        <f aca="false">(G804-INDEX('Cohort Summary'!$J$5:$J$14,MATCH($A804,'Cohort Summary'!$A$5:$A$14,0)))/INDEX('Cohort Summary'!$K$5:$K$14,MATCH($A804,'Cohort Summary'!$A$5:$A$14,0))</f>
        <v>-1.14285714285714</v>
      </c>
      <c r="M804" s="42" t="n">
        <f aca="false">MAX(I804:K804)</f>
        <v>0.370106761565839</v>
      </c>
      <c r="N804" s="27" t="s">
        <v>197</v>
      </c>
      <c r="O804" s="27"/>
      <c r="P804" s="27" t="str">
        <f aca="false">A804&amp;"|"&amp;N804</f>
        <v>NURSE-05|normal</v>
      </c>
    </row>
    <row r="805" customFormat="false" ht="15" hidden="false" customHeight="true" outlineLevel="0" collapsed="false">
      <c r="A805" s="27" t="s">
        <v>86</v>
      </c>
      <c r="B805" s="41" t="n">
        <v>46303.2927083333</v>
      </c>
      <c r="C805" s="27" t="s">
        <v>195</v>
      </c>
      <c r="D805" s="27" t="n">
        <v>62.8</v>
      </c>
      <c r="E805" s="27" t="n">
        <v>18.4</v>
      </c>
      <c r="F805" s="27" t="n">
        <v>52.4</v>
      </c>
      <c r="G805" s="27" t="n">
        <v>34.5</v>
      </c>
      <c r="H805" s="27" t="s">
        <v>199</v>
      </c>
      <c r="I805" s="42" t="n">
        <f aca="false">(D805-INDEX('Cohort Summary'!$D$5:$D$14,MATCH($A805,'Cohort Summary'!$A$5:$A$14,0)))/INDEX('Cohort Summary'!$E$5:$E$14,MATCH($A805,'Cohort Summary'!$A$5:$A$14,0))</f>
        <v>-0.909722222222224</v>
      </c>
      <c r="J805" s="42" t="n">
        <f aca="false">(E805-INDEX('Cohort Summary'!$F$5:$F$14,MATCH($A805,'Cohort Summary'!$A$5:$A$14,0)))/INDEX('Cohort Summary'!$G$5:$G$14,MATCH($A805,'Cohort Summary'!$A$5:$A$14,0))</f>
        <v>-1.15740740740741</v>
      </c>
      <c r="K805" s="42" t="n">
        <f aca="false">(F805-INDEX('Cohort Summary'!$H$5:$H$14,MATCH($A805,'Cohort Summary'!$A$5:$A$14,0)))/INDEX('Cohort Summary'!$I$5:$I$14,MATCH($A805,'Cohort Summary'!$A$5:$A$14,0))</f>
        <v>0.797153024911033</v>
      </c>
      <c r="L805" s="42" t="n">
        <f aca="false">(G805-INDEX('Cohort Summary'!$J$5:$J$14,MATCH($A805,'Cohort Summary'!$A$5:$A$14,0)))/INDEX('Cohort Summary'!$K$5:$K$14,MATCH($A805,'Cohort Summary'!$A$5:$A$14,0))</f>
        <v>0.126984126984124</v>
      </c>
      <c r="M805" s="42" t="n">
        <f aca="false">MAX(I805:K805)</f>
        <v>0.797153024911033</v>
      </c>
      <c r="N805" s="27" t="s">
        <v>197</v>
      </c>
      <c r="O805" s="27"/>
      <c r="P805" s="27" t="str">
        <f aca="false">A805&amp;"|"&amp;N805</f>
        <v>NURSE-05|normal</v>
      </c>
    </row>
    <row r="806" customFormat="false" ht="15" hidden="false" customHeight="true" outlineLevel="0" collapsed="false">
      <c r="A806" s="27" t="s">
        <v>86</v>
      </c>
      <c r="B806" s="41" t="n">
        <v>46303.2930555556</v>
      </c>
      <c r="C806" s="27" t="s">
        <v>195</v>
      </c>
      <c r="D806" s="27" t="n">
        <v>67.8</v>
      </c>
      <c r="E806" s="27" t="n">
        <v>22.5</v>
      </c>
      <c r="F806" s="27" t="n">
        <v>52.4</v>
      </c>
      <c r="G806" s="27" t="n">
        <v>35</v>
      </c>
      <c r="H806" s="27" t="s">
        <v>198</v>
      </c>
      <c r="I806" s="42" t="n">
        <f aca="false">(D806-INDEX('Cohort Summary'!$D$5:$D$14,MATCH($A806,'Cohort Summary'!$A$5:$A$14,0)))/INDEX('Cohort Summary'!$E$5:$E$14,MATCH($A806,'Cohort Summary'!$A$5:$A$14,0))</f>
        <v>0.826388888888887</v>
      </c>
      <c r="J806" s="42" t="n">
        <f aca="false">(E806-INDEX('Cohort Summary'!$F$5:$F$14,MATCH($A806,'Cohort Summary'!$A$5:$A$14,0)))/INDEX('Cohort Summary'!$G$5:$G$14,MATCH($A806,'Cohort Summary'!$A$5:$A$14,0))</f>
        <v>0.740740740740741</v>
      </c>
      <c r="K806" s="42" t="n">
        <f aca="false">(F806-INDEX('Cohort Summary'!$H$5:$H$14,MATCH($A806,'Cohort Summary'!$A$5:$A$14,0)))/INDEX('Cohort Summary'!$I$5:$I$14,MATCH($A806,'Cohort Summary'!$A$5:$A$14,0))</f>
        <v>0.797153024911033</v>
      </c>
      <c r="L806" s="42" t="n">
        <f aca="false">(G806-INDEX('Cohort Summary'!$J$5:$J$14,MATCH($A806,'Cohort Summary'!$A$5:$A$14,0)))/INDEX('Cohort Summary'!$K$5:$K$14,MATCH($A806,'Cohort Summary'!$A$5:$A$14,0))</f>
        <v>0.920634920634918</v>
      </c>
      <c r="M806" s="42" t="n">
        <f aca="false">MAX(I806:K806)</f>
        <v>0.826388888888887</v>
      </c>
      <c r="N806" s="27" t="s">
        <v>197</v>
      </c>
      <c r="O806" s="27"/>
      <c r="P806" s="27" t="str">
        <f aca="false">A806&amp;"|"&amp;N806</f>
        <v>NURSE-05|normal</v>
      </c>
    </row>
    <row r="807" customFormat="false" ht="15" hidden="false" customHeight="true" outlineLevel="0" collapsed="false">
      <c r="A807" s="27" t="s">
        <v>86</v>
      </c>
      <c r="B807" s="41" t="n">
        <v>46303.2934027778</v>
      </c>
      <c r="C807" s="27" t="s">
        <v>195</v>
      </c>
      <c r="D807" s="27" t="n">
        <v>65.6</v>
      </c>
      <c r="E807" s="27" t="n">
        <v>21.9</v>
      </c>
      <c r="F807" s="27" t="n">
        <v>54.7</v>
      </c>
      <c r="G807" s="27" t="n">
        <v>35</v>
      </c>
      <c r="H807" s="27" t="s">
        <v>198</v>
      </c>
      <c r="I807" s="42" t="n">
        <f aca="false">(D807-INDEX('Cohort Summary'!$D$5:$D$14,MATCH($A807,'Cohort Summary'!$A$5:$A$14,0)))/INDEX('Cohort Summary'!$E$5:$E$14,MATCH($A807,'Cohort Summary'!$A$5:$A$14,0))</f>
        <v>0.0624999999999974</v>
      </c>
      <c r="J807" s="42" t="n">
        <f aca="false">(E807-INDEX('Cohort Summary'!$F$5:$F$14,MATCH($A807,'Cohort Summary'!$A$5:$A$14,0)))/INDEX('Cohort Summary'!$G$5:$G$14,MATCH($A807,'Cohort Summary'!$A$5:$A$14,0))</f>
        <v>0.462962962962963</v>
      </c>
      <c r="K807" s="42" t="n">
        <f aca="false">(F807-INDEX('Cohort Summary'!$H$5:$H$14,MATCH($A807,'Cohort Summary'!$A$5:$A$14,0)))/INDEX('Cohort Summary'!$I$5:$I$14,MATCH($A807,'Cohort Summary'!$A$5:$A$14,0))</f>
        <v>1.61565836298933</v>
      </c>
      <c r="L807" s="42" t="n">
        <f aca="false">(G807-INDEX('Cohort Summary'!$J$5:$J$14,MATCH($A807,'Cohort Summary'!$A$5:$A$14,0)))/INDEX('Cohort Summary'!$K$5:$K$14,MATCH($A807,'Cohort Summary'!$A$5:$A$14,0))</f>
        <v>0.920634920634918</v>
      </c>
      <c r="M807" s="42" t="n">
        <f aca="false">MAX(I807:K807)</f>
        <v>1.61565836298933</v>
      </c>
      <c r="N807" s="27" t="s">
        <v>197</v>
      </c>
      <c r="O807" s="27"/>
      <c r="P807" s="27" t="str">
        <f aca="false">A807&amp;"|"&amp;N807</f>
        <v>NURSE-05|normal</v>
      </c>
    </row>
    <row r="808" customFormat="false" ht="15" hidden="false" customHeight="true" outlineLevel="0" collapsed="false">
      <c r="A808" s="27" t="s">
        <v>86</v>
      </c>
      <c r="B808" s="41" t="n">
        <v>46303.29375</v>
      </c>
      <c r="C808" s="27" t="s">
        <v>195</v>
      </c>
      <c r="D808" s="27" t="n">
        <v>69.2</v>
      </c>
      <c r="E808" s="27" t="n">
        <v>22.1</v>
      </c>
      <c r="F808" s="27" t="n">
        <v>52.2</v>
      </c>
      <c r="G808" s="27" t="n">
        <v>33.6</v>
      </c>
      <c r="H808" s="27" t="s">
        <v>198</v>
      </c>
      <c r="I808" s="42" t="n">
        <f aca="false">(D808-INDEX('Cohort Summary'!$D$5:$D$14,MATCH($A808,'Cohort Summary'!$A$5:$A$14,0)))/INDEX('Cohort Summary'!$E$5:$E$14,MATCH($A808,'Cohort Summary'!$A$5:$A$14,0))</f>
        <v>1.3125</v>
      </c>
      <c r="J808" s="42" t="n">
        <f aca="false">(E808-INDEX('Cohort Summary'!$F$5:$F$14,MATCH($A808,'Cohort Summary'!$A$5:$A$14,0)))/INDEX('Cohort Summary'!$G$5:$G$14,MATCH($A808,'Cohort Summary'!$A$5:$A$14,0))</f>
        <v>0.555555555555557</v>
      </c>
      <c r="K808" s="42" t="n">
        <f aca="false">(F808-INDEX('Cohort Summary'!$H$5:$H$14,MATCH($A808,'Cohort Summary'!$A$5:$A$14,0)))/INDEX('Cohort Summary'!$I$5:$I$14,MATCH($A808,'Cohort Summary'!$A$5:$A$14,0))</f>
        <v>0.725978647686835</v>
      </c>
      <c r="L808" s="42" t="n">
        <f aca="false">(G808-INDEX('Cohort Summary'!$J$5:$J$14,MATCH($A808,'Cohort Summary'!$A$5:$A$14,0)))/INDEX('Cohort Summary'!$K$5:$K$14,MATCH($A808,'Cohort Summary'!$A$5:$A$14,0))</f>
        <v>-1.3015873015873</v>
      </c>
      <c r="M808" s="42" t="n">
        <f aca="false">MAX(I808:K808)</f>
        <v>1.3125</v>
      </c>
      <c r="N808" s="27" t="s">
        <v>197</v>
      </c>
      <c r="O808" s="27"/>
      <c r="P808" s="27" t="str">
        <f aca="false">A808&amp;"|"&amp;N808</f>
        <v>NURSE-05|normal</v>
      </c>
    </row>
    <row r="809" customFormat="false" ht="15" hidden="false" customHeight="true" outlineLevel="0" collapsed="false">
      <c r="A809" s="27" t="s">
        <v>86</v>
      </c>
      <c r="B809" s="41" t="n">
        <v>46303.2940972222</v>
      </c>
      <c r="C809" s="27" t="s">
        <v>195</v>
      </c>
      <c r="D809" s="27" t="n">
        <v>64.2</v>
      </c>
      <c r="E809" s="27" t="n">
        <v>22.8</v>
      </c>
      <c r="F809" s="27" t="n">
        <v>51.4</v>
      </c>
      <c r="G809" s="27" t="n">
        <v>35</v>
      </c>
      <c r="H809" s="27" t="s">
        <v>196</v>
      </c>
      <c r="I809" s="42" t="n">
        <f aca="false">(D809-INDEX('Cohort Summary'!$D$5:$D$14,MATCH($A809,'Cohort Summary'!$A$5:$A$14,0)))/INDEX('Cohort Summary'!$E$5:$E$14,MATCH($A809,'Cohort Summary'!$A$5:$A$14,0))</f>
        <v>-0.423611111111111</v>
      </c>
      <c r="J809" s="42" t="n">
        <f aca="false">(E809-INDEX('Cohort Summary'!$F$5:$F$14,MATCH($A809,'Cohort Summary'!$A$5:$A$14,0)))/INDEX('Cohort Summary'!$G$5:$G$14,MATCH($A809,'Cohort Summary'!$A$5:$A$14,0))</f>
        <v>0.879629629629631</v>
      </c>
      <c r="K809" s="42" t="n">
        <f aca="false">(F809-INDEX('Cohort Summary'!$H$5:$H$14,MATCH($A809,'Cohort Summary'!$A$5:$A$14,0)))/INDEX('Cohort Summary'!$I$5:$I$14,MATCH($A809,'Cohort Summary'!$A$5:$A$14,0))</f>
        <v>0.441281138790036</v>
      </c>
      <c r="L809" s="42" t="n">
        <f aca="false">(G809-INDEX('Cohort Summary'!$J$5:$J$14,MATCH($A809,'Cohort Summary'!$A$5:$A$14,0)))/INDEX('Cohort Summary'!$K$5:$K$14,MATCH($A809,'Cohort Summary'!$A$5:$A$14,0))</f>
        <v>0.920634920634918</v>
      </c>
      <c r="M809" s="42" t="n">
        <f aca="false">MAX(I809:K809)</f>
        <v>0.879629629629631</v>
      </c>
      <c r="N809" s="27" t="s">
        <v>197</v>
      </c>
      <c r="O809" s="27"/>
      <c r="P809" s="27" t="str">
        <f aca="false">A809&amp;"|"&amp;N809</f>
        <v>NURSE-05|normal</v>
      </c>
    </row>
    <row r="810" customFormat="false" ht="15" hidden="false" customHeight="true" outlineLevel="0" collapsed="false">
      <c r="A810" s="27" t="s">
        <v>86</v>
      </c>
      <c r="B810" s="41" t="n">
        <v>46303.2944444444</v>
      </c>
      <c r="C810" s="27" t="s">
        <v>195</v>
      </c>
      <c r="D810" s="27" t="n">
        <v>62.6</v>
      </c>
      <c r="E810" s="27" t="n">
        <v>19.5</v>
      </c>
      <c r="F810" s="27" t="n">
        <v>46.6</v>
      </c>
      <c r="G810" s="27" t="n">
        <v>34.8</v>
      </c>
      <c r="H810" s="27" t="s">
        <v>199</v>
      </c>
      <c r="I810" s="42" t="n">
        <f aca="false">(D810-INDEX('Cohort Summary'!$D$5:$D$14,MATCH($A810,'Cohort Summary'!$A$5:$A$14,0)))/INDEX('Cohort Summary'!$E$5:$E$14,MATCH($A810,'Cohort Summary'!$A$5:$A$14,0))</f>
        <v>-0.979166666666667</v>
      </c>
      <c r="J810" s="42" t="n">
        <f aca="false">(E810-INDEX('Cohort Summary'!$F$5:$F$14,MATCH($A810,'Cohort Summary'!$A$5:$A$14,0)))/INDEX('Cohort Summary'!$G$5:$G$14,MATCH($A810,'Cohort Summary'!$A$5:$A$14,0))</f>
        <v>-0.648148148148148</v>
      </c>
      <c r="K810" s="42" t="n">
        <f aca="false">(F810-INDEX('Cohort Summary'!$H$5:$H$14,MATCH($A810,'Cohort Summary'!$A$5:$A$14,0)))/INDEX('Cohort Summary'!$I$5:$I$14,MATCH($A810,'Cohort Summary'!$A$5:$A$14,0))</f>
        <v>-1.26690391459075</v>
      </c>
      <c r="L810" s="42" t="n">
        <f aca="false">(G810-INDEX('Cohort Summary'!$J$5:$J$14,MATCH($A810,'Cohort Summary'!$A$5:$A$14,0)))/INDEX('Cohort Summary'!$K$5:$K$14,MATCH($A810,'Cohort Summary'!$A$5:$A$14,0))</f>
        <v>0.603174603174596</v>
      </c>
      <c r="M810" s="42" t="n">
        <f aca="false">MAX(I810:K810)</f>
        <v>-0.648148148148148</v>
      </c>
      <c r="N810" s="27" t="s">
        <v>197</v>
      </c>
      <c r="O810" s="27"/>
      <c r="P810" s="27" t="str">
        <f aca="false">A810&amp;"|"&amp;N810</f>
        <v>NURSE-05|normal</v>
      </c>
    </row>
    <row r="811" customFormat="false" ht="15" hidden="false" customHeight="true" outlineLevel="0" collapsed="false">
      <c r="A811" s="27" t="s">
        <v>86</v>
      </c>
      <c r="B811" s="41" t="n">
        <v>46303.2947916667</v>
      </c>
      <c r="C811" s="27" t="s">
        <v>195</v>
      </c>
      <c r="D811" s="27" t="n">
        <v>63.1</v>
      </c>
      <c r="E811" s="27" t="n">
        <v>17.3</v>
      </c>
      <c r="F811" s="27" t="n">
        <v>46.8</v>
      </c>
      <c r="G811" s="27" t="n">
        <v>34.2</v>
      </c>
      <c r="H811" s="27" t="s">
        <v>198</v>
      </c>
      <c r="I811" s="42" t="n">
        <f aca="false">(D811-INDEX('Cohort Summary'!$D$5:$D$14,MATCH($A811,'Cohort Summary'!$A$5:$A$14,0)))/INDEX('Cohort Summary'!$E$5:$E$14,MATCH($A811,'Cohort Summary'!$A$5:$A$14,0))</f>
        <v>-0.805555555555556</v>
      </c>
      <c r="J811" s="42" t="n">
        <f aca="false">(E811-INDEX('Cohort Summary'!$F$5:$F$14,MATCH($A811,'Cohort Summary'!$A$5:$A$14,0)))/INDEX('Cohort Summary'!$G$5:$G$14,MATCH($A811,'Cohort Summary'!$A$5:$A$14,0))</f>
        <v>-1.66666666666667</v>
      </c>
      <c r="K811" s="42" t="n">
        <f aca="false">(F811-INDEX('Cohort Summary'!$H$5:$H$14,MATCH($A811,'Cohort Summary'!$A$5:$A$14,0)))/INDEX('Cohort Summary'!$I$5:$I$14,MATCH($A811,'Cohort Summary'!$A$5:$A$14,0))</f>
        <v>-1.19572953736655</v>
      </c>
      <c r="L811" s="42" t="n">
        <f aca="false">(G811-INDEX('Cohort Summary'!$J$5:$J$14,MATCH($A811,'Cohort Summary'!$A$5:$A$14,0)))/INDEX('Cohort Summary'!$K$5:$K$14,MATCH($A811,'Cohort Summary'!$A$5:$A$14,0))</f>
        <v>-0.349206349206347</v>
      </c>
      <c r="M811" s="42" t="n">
        <f aca="false">MAX(I811:K811)</f>
        <v>-0.805555555555556</v>
      </c>
      <c r="N811" s="27" t="s">
        <v>197</v>
      </c>
      <c r="O811" s="27"/>
      <c r="P811" s="27" t="str">
        <f aca="false">A811&amp;"|"&amp;N811</f>
        <v>NURSE-05|normal</v>
      </c>
    </row>
    <row r="812" customFormat="false" ht="15" hidden="false" customHeight="true" outlineLevel="0" collapsed="false">
      <c r="A812" s="27" t="s">
        <v>86</v>
      </c>
      <c r="B812" s="41" t="n">
        <v>46303.2951388889</v>
      </c>
      <c r="C812" s="27" t="s">
        <v>195</v>
      </c>
      <c r="D812" s="27" t="n">
        <v>68</v>
      </c>
      <c r="E812" s="27" t="n">
        <v>20.2</v>
      </c>
      <c r="F812" s="27" t="n">
        <v>46</v>
      </c>
      <c r="G812" s="27" t="n">
        <v>33.7</v>
      </c>
      <c r="H812" s="27" t="s">
        <v>198</v>
      </c>
      <c r="I812" s="42" t="n">
        <f aca="false">(D812-INDEX('Cohort Summary'!$D$5:$D$14,MATCH($A812,'Cohort Summary'!$A$5:$A$14,0)))/INDEX('Cohort Summary'!$E$5:$E$14,MATCH($A812,'Cohort Summary'!$A$5:$A$14,0))</f>
        <v>0.895833333333333</v>
      </c>
      <c r="J812" s="42" t="n">
        <f aca="false">(E812-INDEX('Cohort Summary'!$F$5:$F$14,MATCH($A812,'Cohort Summary'!$A$5:$A$14,0)))/INDEX('Cohort Summary'!$G$5:$G$14,MATCH($A812,'Cohort Summary'!$A$5:$A$14,0))</f>
        <v>-0.324074074074074</v>
      </c>
      <c r="K812" s="42" t="n">
        <f aca="false">(F812-INDEX('Cohort Summary'!$H$5:$H$14,MATCH($A812,'Cohort Summary'!$A$5:$A$14,0)))/INDEX('Cohort Summary'!$I$5:$I$14,MATCH($A812,'Cohort Summary'!$A$5:$A$14,0))</f>
        <v>-1.48042704626334</v>
      </c>
      <c r="L812" s="42" t="n">
        <f aca="false">(G812-INDEX('Cohort Summary'!$J$5:$J$14,MATCH($A812,'Cohort Summary'!$A$5:$A$14,0)))/INDEX('Cohort Summary'!$K$5:$K$14,MATCH($A812,'Cohort Summary'!$A$5:$A$14,0))</f>
        <v>-1.14285714285714</v>
      </c>
      <c r="M812" s="42" t="n">
        <f aca="false">MAX(I812:K812)</f>
        <v>0.895833333333333</v>
      </c>
      <c r="N812" s="27" t="s">
        <v>197</v>
      </c>
      <c r="O812" s="27"/>
      <c r="P812" s="27" t="str">
        <f aca="false">A812&amp;"|"&amp;N812</f>
        <v>NURSE-05|normal</v>
      </c>
    </row>
    <row r="813" customFormat="false" ht="15" hidden="false" customHeight="true" outlineLevel="0" collapsed="false">
      <c r="A813" s="27" t="s">
        <v>86</v>
      </c>
      <c r="B813" s="41" t="n">
        <v>46303.2954861111</v>
      </c>
      <c r="C813" s="27" t="s">
        <v>195</v>
      </c>
      <c r="D813" s="27" t="n">
        <v>63.6</v>
      </c>
      <c r="E813" s="27" t="n">
        <v>23.2</v>
      </c>
      <c r="F813" s="27" t="n">
        <v>49.9</v>
      </c>
      <c r="G813" s="27" t="n">
        <v>33.7</v>
      </c>
      <c r="H813" s="27" t="s">
        <v>199</v>
      </c>
      <c r="I813" s="42" t="n">
        <f aca="false">(D813-INDEX('Cohort Summary'!$D$5:$D$14,MATCH($A813,'Cohort Summary'!$A$5:$A$14,0)))/INDEX('Cohort Summary'!$E$5:$E$14,MATCH($A813,'Cohort Summary'!$A$5:$A$14,0))</f>
        <v>-0.631944444444445</v>
      </c>
      <c r="J813" s="42" t="n">
        <f aca="false">(E813-INDEX('Cohort Summary'!$F$5:$F$14,MATCH($A813,'Cohort Summary'!$A$5:$A$14,0)))/INDEX('Cohort Summary'!$G$5:$G$14,MATCH($A813,'Cohort Summary'!$A$5:$A$14,0))</f>
        <v>1.06481481481482</v>
      </c>
      <c r="K813" s="42" t="n">
        <f aca="false">(F813-INDEX('Cohort Summary'!$H$5:$H$14,MATCH($A813,'Cohort Summary'!$A$5:$A$14,0)))/INDEX('Cohort Summary'!$I$5:$I$14,MATCH($A813,'Cohort Summary'!$A$5:$A$14,0))</f>
        <v>-0.0925266903914584</v>
      </c>
      <c r="L813" s="42" t="n">
        <f aca="false">(G813-INDEX('Cohort Summary'!$J$5:$J$14,MATCH($A813,'Cohort Summary'!$A$5:$A$14,0)))/INDEX('Cohort Summary'!$K$5:$K$14,MATCH($A813,'Cohort Summary'!$A$5:$A$14,0))</f>
        <v>-1.14285714285714</v>
      </c>
      <c r="M813" s="42" t="n">
        <f aca="false">MAX(I813:K813)</f>
        <v>1.06481481481482</v>
      </c>
      <c r="N813" s="27" t="s">
        <v>197</v>
      </c>
      <c r="O813" s="27"/>
      <c r="P813" s="27" t="str">
        <f aca="false">A813&amp;"|"&amp;N813</f>
        <v>NURSE-05|normal</v>
      </c>
    </row>
    <row r="814" customFormat="false" ht="15" hidden="false" customHeight="true" outlineLevel="0" collapsed="false">
      <c r="A814" s="27" t="s">
        <v>86</v>
      </c>
      <c r="B814" s="41" t="n">
        <v>46303.2958333333</v>
      </c>
      <c r="C814" s="27" t="s">
        <v>195</v>
      </c>
      <c r="D814" s="27" t="n">
        <v>67.9</v>
      </c>
      <c r="E814" s="27" t="n">
        <v>20.3</v>
      </c>
      <c r="F814" s="27" t="n">
        <v>53.2</v>
      </c>
      <c r="G814" s="27" t="n">
        <v>33.8</v>
      </c>
      <c r="H814" s="27" t="s">
        <v>198</v>
      </c>
      <c r="I814" s="42" t="n">
        <f aca="false">(D814-INDEX('Cohort Summary'!$D$5:$D$14,MATCH($A814,'Cohort Summary'!$A$5:$A$14,0)))/INDEX('Cohort Summary'!$E$5:$E$14,MATCH($A814,'Cohort Summary'!$A$5:$A$14,0))</f>
        <v>0.861111111111113</v>
      </c>
      <c r="J814" s="42" t="n">
        <f aca="false">(E814-INDEX('Cohort Summary'!$F$5:$F$14,MATCH($A814,'Cohort Summary'!$A$5:$A$14,0)))/INDEX('Cohort Summary'!$G$5:$G$14,MATCH($A814,'Cohort Summary'!$A$5:$A$14,0))</f>
        <v>-0.277777777777777</v>
      </c>
      <c r="K814" s="42" t="n">
        <f aca="false">(F814-INDEX('Cohort Summary'!$H$5:$H$14,MATCH($A814,'Cohort Summary'!$A$5:$A$14,0)))/INDEX('Cohort Summary'!$I$5:$I$14,MATCH($A814,'Cohort Summary'!$A$5:$A$14,0))</f>
        <v>1.08185053380783</v>
      </c>
      <c r="L814" s="42" t="n">
        <f aca="false">(G814-INDEX('Cohort Summary'!$J$5:$J$14,MATCH($A814,'Cohort Summary'!$A$5:$A$14,0)))/INDEX('Cohort Summary'!$K$5:$K$14,MATCH($A814,'Cohort Summary'!$A$5:$A$14,0))</f>
        <v>-0.984126984126991</v>
      </c>
      <c r="M814" s="42" t="n">
        <f aca="false">MAX(I814:K814)</f>
        <v>1.08185053380783</v>
      </c>
      <c r="N814" s="27" t="s">
        <v>197</v>
      </c>
      <c r="O814" s="27"/>
      <c r="P814" s="27" t="str">
        <f aca="false">A814&amp;"|"&amp;N814</f>
        <v>NURSE-05|normal</v>
      </c>
    </row>
    <row r="815" customFormat="false" ht="15" hidden="false" customHeight="true" outlineLevel="0" collapsed="false">
      <c r="A815" s="27" t="s">
        <v>86</v>
      </c>
      <c r="B815" s="41" t="n">
        <v>46303.2961805556</v>
      </c>
      <c r="C815" s="27" t="s">
        <v>195</v>
      </c>
      <c r="D815" s="27" t="n">
        <v>65.3</v>
      </c>
      <c r="E815" s="27" t="n">
        <v>18.8</v>
      </c>
      <c r="F815" s="27" t="n">
        <v>48.9</v>
      </c>
      <c r="G815" s="27" t="n">
        <v>34.2</v>
      </c>
      <c r="H815" s="27" t="s">
        <v>196</v>
      </c>
      <c r="I815" s="42" t="n">
        <f aca="false">(D815-INDEX('Cohort Summary'!$D$5:$D$14,MATCH($A815,'Cohort Summary'!$A$5:$A$14,0)))/INDEX('Cohort Summary'!$E$5:$E$14,MATCH($A815,'Cohort Summary'!$A$5:$A$14,0))</f>
        <v>-0.0416666666666682</v>
      </c>
      <c r="J815" s="42" t="n">
        <f aca="false">(E815-INDEX('Cohort Summary'!$F$5:$F$14,MATCH($A815,'Cohort Summary'!$A$5:$A$14,0)))/INDEX('Cohort Summary'!$G$5:$G$14,MATCH($A815,'Cohort Summary'!$A$5:$A$14,0))</f>
        <v>-0.972222222222221</v>
      </c>
      <c r="K815" s="42" t="n">
        <f aca="false">(F815-INDEX('Cohort Summary'!$H$5:$H$14,MATCH($A815,'Cohort Summary'!$A$5:$A$14,0)))/INDEX('Cohort Summary'!$I$5:$I$14,MATCH($A815,'Cohort Summary'!$A$5:$A$14,0))</f>
        <v>-0.448398576512455</v>
      </c>
      <c r="L815" s="42" t="n">
        <f aca="false">(G815-INDEX('Cohort Summary'!$J$5:$J$14,MATCH($A815,'Cohort Summary'!$A$5:$A$14,0)))/INDEX('Cohort Summary'!$K$5:$K$14,MATCH($A815,'Cohort Summary'!$A$5:$A$14,0))</f>
        <v>-0.349206349206347</v>
      </c>
      <c r="M815" s="42" t="n">
        <f aca="false">MAX(I815:K815)</f>
        <v>-0.0416666666666682</v>
      </c>
      <c r="N815" s="27" t="s">
        <v>197</v>
      </c>
      <c r="O815" s="27"/>
      <c r="P815" s="27" t="str">
        <f aca="false">A815&amp;"|"&amp;N815</f>
        <v>NURSE-05|normal</v>
      </c>
    </row>
    <row r="816" customFormat="false" ht="15" hidden="false" customHeight="true" outlineLevel="0" collapsed="false">
      <c r="A816" s="27" t="s">
        <v>86</v>
      </c>
      <c r="B816" s="41" t="n">
        <v>46303.2965277778</v>
      </c>
      <c r="C816" s="27" t="s">
        <v>195</v>
      </c>
      <c r="D816" s="27" t="n">
        <v>60.2</v>
      </c>
      <c r="E816" s="27" t="n">
        <v>23.4</v>
      </c>
      <c r="F816" s="27" t="n">
        <v>52.1</v>
      </c>
      <c r="G816" s="27" t="n">
        <v>35.4</v>
      </c>
      <c r="H816" s="27" t="s">
        <v>196</v>
      </c>
      <c r="I816" s="42" t="n">
        <f aca="false">(D816-INDEX('Cohort Summary'!$D$5:$D$14,MATCH($A816,'Cohort Summary'!$A$5:$A$14,0)))/INDEX('Cohort Summary'!$E$5:$E$14,MATCH($A816,'Cohort Summary'!$A$5:$A$14,0))</f>
        <v>-1.8125</v>
      </c>
      <c r="J816" s="42" t="n">
        <f aca="false">(E816-INDEX('Cohort Summary'!$F$5:$F$14,MATCH($A816,'Cohort Summary'!$A$5:$A$14,0)))/INDEX('Cohort Summary'!$G$5:$G$14,MATCH($A816,'Cohort Summary'!$A$5:$A$14,0))</f>
        <v>1.15740740740741</v>
      </c>
      <c r="K816" s="42" t="n">
        <f aca="false">(F816-INDEX('Cohort Summary'!$H$5:$H$14,MATCH($A816,'Cohort Summary'!$A$5:$A$14,0)))/INDEX('Cohort Summary'!$I$5:$I$14,MATCH($A816,'Cohort Summary'!$A$5:$A$14,0))</f>
        <v>0.690391459074735</v>
      </c>
      <c r="L816" s="42" t="n">
        <f aca="false">(G816-INDEX('Cohort Summary'!$J$5:$J$14,MATCH($A816,'Cohort Summary'!$A$5:$A$14,0)))/INDEX('Cohort Summary'!$K$5:$K$14,MATCH($A816,'Cohort Summary'!$A$5:$A$14,0))</f>
        <v>1.55555555555555</v>
      </c>
      <c r="M816" s="42" t="n">
        <f aca="false">MAX(I816:K816)</f>
        <v>1.15740740740741</v>
      </c>
      <c r="N816" s="27" t="s">
        <v>197</v>
      </c>
      <c r="O816" s="27"/>
      <c r="P816" s="27" t="str">
        <f aca="false">A816&amp;"|"&amp;N816</f>
        <v>NURSE-05|normal</v>
      </c>
    </row>
    <row r="817" customFormat="false" ht="15" hidden="false" customHeight="true" outlineLevel="0" collapsed="false">
      <c r="A817" s="27" t="s">
        <v>86</v>
      </c>
      <c r="B817" s="41" t="n">
        <v>46303.296875</v>
      </c>
      <c r="C817" s="27" t="s">
        <v>195</v>
      </c>
      <c r="D817" s="27" t="n">
        <v>64.4</v>
      </c>
      <c r="E817" s="27" t="n">
        <v>22.1</v>
      </c>
      <c r="F817" s="27" t="n">
        <v>48.8</v>
      </c>
      <c r="G817" s="27" t="n">
        <v>35.1</v>
      </c>
      <c r="H817" s="27" t="s">
        <v>199</v>
      </c>
      <c r="I817" s="42" t="n">
        <f aca="false">(D817-INDEX('Cohort Summary'!$D$5:$D$14,MATCH($A817,'Cohort Summary'!$A$5:$A$14,0)))/INDEX('Cohort Summary'!$E$5:$E$14,MATCH($A817,'Cohort Summary'!$A$5:$A$14,0))</f>
        <v>-0.354166666666665</v>
      </c>
      <c r="J817" s="42" t="n">
        <f aca="false">(E817-INDEX('Cohort Summary'!$F$5:$F$14,MATCH($A817,'Cohort Summary'!$A$5:$A$14,0)))/INDEX('Cohort Summary'!$G$5:$G$14,MATCH($A817,'Cohort Summary'!$A$5:$A$14,0))</f>
        <v>0.555555555555557</v>
      </c>
      <c r="K817" s="42" t="n">
        <f aca="false">(F817-INDEX('Cohort Summary'!$H$5:$H$14,MATCH($A817,'Cohort Summary'!$A$5:$A$14,0)))/INDEX('Cohort Summary'!$I$5:$I$14,MATCH($A817,'Cohort Summary'!$A$5:$A$14,0))</f>
        <v>-0.483985765124555</v>
      </c>
      <c r="L817" s="42" t="n">
        <f aca="false">(G817-INDEX('Cohort Summary'!$J$5:$J$14,MATCH($A817,'Cohort Summary'!$A$5:$A$14,0)))/INDEX('Cohort Summary'!$K$5:$K$14,MATCH($A817,'Cohort Summary'!$A$5:$A$14,0))</f>
        <v>1.07936507936508</v>
      </c>
      <c r="M817" s="42" t="n">
        <f aca="false">MAX(I817:K817)</f>
        <v>0.555555555555557</v>
      </c>
      <c r="N817" s="27" t="s">
        <v>197</v>
      </c>
      <c r="O817" s="27"/>
      <c r="P817" s="27" t="str">
        <f aca="false">A817&amp;"|"&amp;N817</f>
        <v>NURSE-05|normal</v>
      </c>
    </row>
    <row r="818" customFormat="false" ht="15" hidden="false" customHeight="true" outlineLevel="0" collapsed="false">
      <c r="A818" s="27" t="s">
        <v>86</v>
      </c>
      <c r="B818" s="41" t="n">
        <v>46303.2972222222</v>
      </c>
      <c r="C818" s="27" t="s">
        <v>195</v>
      </c>
      <c r="D818" s="27" t="n">
        <v>61.3</v>
      </c>
      <c r="E818" s="27" t="n">
        <v>17.1</v>
      </c>
      <c r="F818" s="27" t="n">
        <v>47.1</v>
      </c>
      <c r="G818" s="27" t="n">
        <v>34.7</v>
      </c>
      <c r="H818" s="27" t="s">
        <v>199</v>
      </c>
      <c r="I818" s="42" t="n">
        <f aca="false">(D818-INDEX('Cohort Summary'!$D$5:$D$14,MATCH($A818,'Cohort Summary'!$A$5:$A$14,0)))/INDEX('Cohort Summary'!$E$5:$E$14,MATCH($A818,'Cohort Summary'!$A$5:$A$14,0))</f>
        <v>-1.43055555555556</v>
      </c>
      <c r="J818" s="42" t="n">
        <f aca="false">(E818-INDEX('Cohort Summary'!$F$5:$F$14,MATCH($A818,'Cohort Summary'!$A$5:$A$14,0)))/INDEX('Cohort Summary'!$G$5:$G$14,MATCH($A818,'Cohort Summary'!$A$5:$A$14,0))</f>
        <v>-1.75925925925926</v>
      </c>
      <c r="K818" s="42" t="n">
        <f aca="false">(F818-INDEX('Cohort Summary'!$H$5:$H$14,MATCH($A818,'Cohort Summary'!$A$5:$A$14,0)))/INDEX('Cohort Summary'!$I$5:$I$14,MATCH($A818,'Cohort Summary'!$A$5:$A$14,0))</f>
        <v>-1.08896797153025</v>
      </c>
      <c r="L818" s="42" t="n">
        <f aca="false">(G818-INDEX('Cohort Summary'!$J$5:$J$14,MATCH($A818,'Cohort Summary'!$A$5:$A$14,0)))/INDEX('Cohort Summary'!$K$5:$K$14,MATCH($A818,'Cohort Summary'!$A$5:$A$14,0))</f>
        <v>0.444444444444446</v>
      </c>
      <c r="M818" s="42" t="n">
        <f aca="false">MAX(I818:K818)</f>
        <v>-1.08896797153025</v>
      </c>
      <c r="N818" s="27" t="s">
        <v>197</v>
      </c>
      <c r="O818" s="27"/>
      <c r="P818" s="27" t="str">
        <f aca="false">A818&amp;"|"&amp;N818</f>
        <v>NURSE-05|normal</v>
      </c>
    </row>
    <row r="819" customFormat="false" ht="15" hidden="false" customHeight="true" outlineLevel="0" collapsed="false">
      <c r="A819" s="27" t="s">
        <v>86</v>
      </c>
      <c r="B819" s="41" t="n">
        <v>46303.2975694445</v>
      </c>
      <c r="C819" s="27" t="s">
        <v>195</v>
      </c>
      <c r="D819" s="27" t="n">
        <v>60.3</v>
      </c>
      <c r="E819" s="27" t="n">
        <v>22.7</v>
      </c>
      <c r="F819" s="27" t="n">
        <v>54.7</v>
      </c>
      <c r="G819" s="27" t="n">
        <v>33.7</v>
      </c>
      <c r="H819" s="27" t="s">
        <v>198</v>
      </c>
      <c r="I819" s="42" t="n">
        <f aca="false">(D819-INDEX('Cohort Summary'!$D$5:$D$14,MATCH($A819,'Cohort Summary'!$A$5:$A$14,0)))/INDEX('Cohort Summary'!$E$5:$E$14,MATCH($A819,'Cohort Summary'!$A$5:$A$14,0))</f>
        <v>-1.77777777777778</v>
      </c>
      <c r="J819" s="42" t="n">
        <f aca="false">(E819-INDEX('Cohort Summary'!$F$5:$F$14,MATCH($A819,'Cohort Summary'!$A$5:$A$14,0)))/INDEX('Cohort Summary'!$G$5:$G$14,MATCH($A819,'Cohort Summary'!$A$5:$A$14,0))</f>
        <v>0.833333333333334</v>
      </c>
      <c r="K819" s="42" t="n">
        <f aca="false">(F819-INDEX('Cohort Summary'!$H$5:$H$14,MATCH($A819,'Cohort Summary'!$A$5:$A$14,0)))/INDEX('Cohort Summary'!$I$5:$I$14,MATCH($A819,'Cohort Summary'!$A$5:$A$14,0))</f>
        <v>1.61565836298933</v>
      </c>
      <c r="L819" s="42" t="n">
        <f aca="false">(G819-INDEX('Cohort Summary'!$J$5:$J$14,MATCH($A819,'Cohort Summary'!$A$5:$A$14,0)))/INDEX('Cohort Summary'!$K$5:$K$14,MATCH($A819,'Cohort Summary'!$A$5:$A$14,0))</f>
        <v>-1.14285714285714</v>
      </c>
      <c r="M819" s="42" t="n">
        <f aca="false">MAX(I819:K819)</f>
        <v>1.61565836298933</v>
      </c>
      <c r="N819" s="27" t="s">
        <v>197</v>
      </c>
      <c r="O819" s="27"/>
      <c r="P819" s="27" t="str">
        <f aca="false">A819&amp;"|"&amp;N819</f>
        <v>NURSE-05|normal</v>
      </c>
    </row>
    <row r="820" customFormat="false" ht="15" hidden="false" customHeight="true" outlineLevel="0" collapsed="false">
      <c r="A820" s="27" t="s">
        <v>86</v>
      </c>
      <c r="B820" s="41" t="n">
        <v>46303.2979166667</v>
      </c>
      <c r="C820" s="27" t="s">
        <v>195</v>
      </c>
      <c r="D820" s="27" t="n">
        <v>62</v>
      </c>
      <c r="E820" s="27" t="n">
        <v>21</v>
      </c>
      <c r="F820" s="27" t="n">
        <v>54.1</v>
      </c>
      <c r="G820" s="27" t="n">
        <v>35.2</v>
      </c>
      <c r="H820" s="27" t="s">
        <v>199</v>
      </c>
      <c r="I820" s="42" t="n">
        <f aca="false">(D820-INDEX('Cohort Summary'!$D$5:$D$14,MATCH($A820,'Cohort Summary'!$A$5:$A$14,0)))/INDEX('Cohort Summary'!$E$5:$E$14,MATCH($A820,'Cohort Summary'!$A$5:$A$14,0))</f>
        <v>-1.1875</v>
      </c>
      <c r="J820" s="42" t="n">
        <f aca="false">(E820-INDEX('Cohort Summary'!$F$5:$F$14,MATCH($A820,'Cohort Summary'!$A$5:$A$14,0)))/INDEX('Cohort Summary'!$G$5:$G$14,MATCH($A820,'Cohort Summary'!$A$5:$A$14,0))</f>
        <v>0.046296296296297</v>
      </c>
      <c r="K820" s="42" t="n">
        <f aca="false">(F820-INDEX('Cohort Summary'!$H$5:$H$14,MATCH($A820,'Cohort Summary'!$A$5:$A$14,0)))/INDEX('Cohort Summary'!$I$5:$I$14,MATCH($A820,'Cohort Summary'!$A$5:$A$14,0))</f>
        <v>1.40213523131673</v>
      </c>
      <c r="L820" s="42" t="n">
        <f aca="false">(G820-INDEX('Cohort Summary'!$J$5:$J$14,MATCH($A820,'Cohort Summary'!$A$5:$A$14,0)))/INDEX('Cohort Summary'!$K$5:$K$14,MATCH($A820,'Cohort Summary'!$A$5:$A$14,0))</f>
        <v>1.23809523809524</v>
      </c>
      <c r="M820" s="42" t="n">
        <f aca="false">MAX(I820:K820)</f>
        <v>1.40213523131673</v>
      </c>
      <c r="N820" s="27" t="s">
        <v>197</v>
      </c>
      <c r="O820" s="27"/>
      <c r="P820" s="27" t="str">
        <f aca="false">A820&amp;"|"&amp;N820</f>
        <v>NURSE-05|normal</v>
      </c>
    </row>
    <row r="821" customFormat="false" ht="15" hidden="false" customHeight="true" outlineLevel="0" collapsed="false">
      <c r="A821" s="27" t="s">
        <v>86</v>
      </c>
      <c r="B821" s="41" t="n">
        <v>46303.2982638889</v>
      </c>
      <c r="C821" s="27" t="s">
        <v>195</v>
      </c>
      <c r="D821" s="27" t="n">
        <v>66.2</v>
      </c>
      <c r="E821" s="27" t="n">
        <v>23.2</v>
      </c>
      <c r="F821" s="27" t="n">
        <v>49.8</v>
      </c>
      <c r="G821" s="27" t="n">
        <v>34.8</v>
      </c>
      <c r="H821" s="27" t="s">
        <v>198</v>
      </c>
      <c r="I821" s="42" t="n">
        <f aca="false">(D821-INDEX('Cohort Summary'!$D$5:$D$14,MATCH($A821,'Cohort Summary'!$A$5:$A$14,0)))/INDEX('Cohort Summary'!$E$5:$E$14,MATCH($A821,'Cohort Summary'!$A$5:$A$14,0))</f>
        <v>0.270833333333334</v>
      </c>
      <c r="J821" s="42" t="n">
        <f aca="false">(E821-INDEX('Cohort Summary'!$F$5:$F$14,MATCH($A821,'Cohort Summary'!$A$5:$A$14,0)))/INDEX('Cohort Summary'!$G$5:$G$14,MATCH($A821,'Cohort Summary'!$A$5:$A$14,0))</f>
        <v>1.06481481481482</v>
      </c>
      <c r="K821" s="42" t="n">
        <f aca="false">(F821-INDEX('Cohort Summary'!$H$5:$H$14,MATCH($A821,'Cohort Summary'!$A$5:$A$14,0)))/INDEX('Cohort Summary'!$I$5:$I$14,MATCH($A821,'Cohort Summary'!$A$5:$A$14,0))</f>
        <v>-0.128113879003559</v>
      </c>
      <c r="L821" s="42" t="n">
        <f aca="false">(G821-INDEX('Cohort Summary'!$J$5:$J$14,MATCH($A821,'Cohort Summary'!$A$5:$A$14,0)))/INDEX('Cohort Summary'!$K$5:$K$14,MATCH($A821,'Cohort Summary'!$A$5:$A$14,0))</f>
        <v>0.603174603174596</v>
      </c>
      <c r="M821" s="42" t="n">
        <f aca="false">MAX(I821:K821)</f>
        <v>1.06481481481482</v>
      </c>
      <c r="N821" s="27" t="s">
        <v>197</v>
      </c>
      <c r="O821" s="27"/>
      <c r="P821" s="27" t="str">
        <f aca="false">A821&amp;"|"&amp;N821</f>
        <v>NURSE-05|normal</v>
      </c>
    </row>
    <row r="822" customFormat="false" ht="15" hidden="false" customHeight="true" outlineLevel="0" collapsed="false">
      <c r="A822" s="27" t="s">
        <v>86</v>
      </c>
      <c r="B822" s="41" t="n">
        <v>46303.2986111111</v>
      </c>
      <c r="C822" s="27" t="s">
        <v>195</v>
      </c>
      <c r="D822" s="27" t="n">
        <v>60.1</v>
      </c>
      <c r="E822" s="27" t="n">
        <v>18.4</v>
      </c>
      <c r="F822" s="27" t="n">
        <v>48.5</v>
      </c>
      <c r="G822" s="27" t="n">
        <v>35.3</v>
      </c>
      <c r="H822" s="27" t="s">
        <v>198</v>
      </c>
      <c r="I822" s="42" t="n">
        <f aca="false">(D822-INDEX('Cohort Summary'!$D$5:$D$14,MATCH($A822,'Cohort Summary'!$A$5:$A$14,0)))/INDEX('Cohort Summary'!$E$5:$E$14,MATCH($A822,'Cohort Summary'!$A$5:$A$14,0))</f>
        <v>-1.84722222222222</v>
      </c>
      <c r="J822" s="42" t="n">
        <f aca="false">(E822-INDEX('Cohort Summary'!$F$5:$F$14,MATCH($A822,'Cohort Summary'!$A$5:$A$14,0)))/INDEX('Cohort Summary'!$G$5:$G$14,MATCH($A822,'Cohort Summary'!$A$5:$A$14,0))</f>
        <v>-1.15740740740741</v>
      </c>
      <c r="K822" s="42" t="n">
        <f aca="false">(F822-INDEX('Cohort Summary'!$H$5:$H$14,MATCH($A822,'Cohort Summary'!$A$5:$A$14,0)))/INDEX('Cohort Summary'!$I$5:$I$14,MATCH($A822,'Cohort Summary'!$A$5:$A$14,0))</f>
        <v>-0.590747330960853</v>
      </c>
      <c r="L822" s="42" t="n">
        <f aca="false">(G822-INDEX('Cohort Summary'!$J$5:$J$14,MATCH($A822,'Cohort Summary'!$A$5:$A$14,0)))/INDEX('Cohort Summary'!$K$5:$K$14,MATCH($A822,'Cohort Summary'!$A$5:$A$14,0))</f>
        <v>1.39682539682539</v>
      </c>
      <c r="M822" s="42" t="n">
        <f aca="false">MAX(I822:K822)</f>
        <v>-0.590747330960853</v>
      </c>
      <c r="N822" s="27" t="s">
        <v>197</v>
      </c>
      <c r="O822" s="27"/>
      <c r="P822" s="27" t="str">
        <f aca="false">A822&amp;"|"&amp;N822</f>
        <v>NURSE-05|normal</v>
      </c>
    </row>
    <row r="823" customFormat="false" ht="15" hidden="false" customHeight="true" outlineLevel="0" collapsed="false">
      <c r="A823" s="27" t="s">
        <v>86</v>
      </c>
      <c r="B823" s="41" t="n">
        <v>46303.2989583333</v>
      </c>
      <c r="C823" s="27" t="s">
        <v>195</v>
      </c>
      <c r="D823" s="27" t="n">
        <v>65.9</v>
      </c>
      <c r="E823" s="27" t="n">
        <v>17.9</v>
      </c>
      <c r="F823" s="27" t="n">
        <v>47</v>
      </c>
      <c r="G823" s="27" t="n">
        <v>34.4</v>
      </c>
      <c r="H823" s="27" t="s">
        <v>196</v>
      </c>
      <c r="I823" s="42" t="n">
        <f aca="false">(D823-INDEX('Cohort Summary'!$D$5:$D$14,MATCH($A823,'Cohort Summary'!$A$5:$A$14,0)))/INDEX('Cohort Summary'!$E$5:$E$14,MATCH($A823,'Cohort Summary'!$A$5:$A$14,0))</f>
        <v>0.166666666666668</v>
      </c>
      <c r="J823" s="42" t="n">
        <f aca="false">(E823-INDEX('Cohort Summary'!$F$5:$F$14,MATCH($A823,'Cohort Summary'!$A$5:$A$14,0)))/INDEX('Cohort Summary'!$G$5:$G$14,MATCH($A823,'Cohort Summary'!$A$5:$A$14,0))</f>
        <v>-1.38888888888889</v>
      </c>
      <c r="K823" s="42" t="n">
        <f aca="false">(F823-INDEX('Cohort Summary'!$H$5:$H$14,MATCH($A823,'Cohort Summary'!$A$5:$A$14,0)))/INDEX('Cohort Summary'!$I$5:$I$14,MATCH($A823,'Cohort Summary'!$A$5:$A$14,0))</f>
        <v>-1.12455516014235</v>
      </c>
      <c r="L823" s="42" t="n">
        <f aca="false">(G823-INDEX('Cohort Summary'!$J$5:$J$14,MATCH($A823,'Cohort Summary'!$A$5:$A$14,0)))/INDEX('Cohort Summary'!$K$5:$K$14,MATCH($A823,'Cohort Summary'!$A$5:$A$14,0))</f>
        <v>-0.0317460317460367</v>
      </c>
      <c r="M823" s="42" t="n">
        <f aca="false">MAX(I823:K823)</f>
        <v>0.166666666666668</v>
      </c>
      <c r="N823" s="27" t="s">
        <v>197</v>
      </c>
      <c r="O823" s="27"/>
      <c r="P823" s="27" t="str">
        <f aca="false">A823&amp;"|"&amp;N823</f>
        <v>NURSE-05|normal</v>
      </c>
    </row>
    <row r="824" customFormat="false" ht="15" hidden="false" customHeight="true" outlineLevel="0" collapsed="false">
      <c r="A824" s="27" t="s">
        <v>86</v>
      </c>
      <c r="B824" s="41" t="n">
        <v>46303.2993055556</v>
      </c>
      <c r="C824" s="27" t="s">
        <v>195</v>
      </c>
      <c r="D824" s="27" t="n">
        <v>69.2</v>
      </c>
      <c r="E824" s="27" t="n">
        <v>21.8</v>
      </c>
      <c r="F824" s="27" t="n">
        <v>54.1</v>
      </c>
      <c r="G824" s="27" t="n">
        <v>35</v>
      </c>
      <c r="H824" s="27" t="s">
        <v>196</v>
      </c>
      <c r="I824" s="42" t="n">
        <f aca="false">(D824-INDEX('Cohort Summary'!$D$5:$D$14,MATCH($A824,'Cohort Summary'!$A$5:$A$14,0)))/INDEX('Cohort Summary'!$E$5:$E$14,MATCH($A824,'Cohort Summary'!$A$5:$A$14,0))</f>
        <v>1.3125</v>
      </c>
      <c r="J824" s="42" t="n">
        <f aca="false">(E824-INDEX('Cohort Summary'!$F$5:$F$14,MATCH($A824,'Cohort Summary'!$A$5:$A$14,0)))/INDEX('Cohort Summary'!$G$5:$G$14,MATCH($A824,'Cohort Summary'!$A$5:$A$14,0))</f>
        <v>0.416666666666668</v>
      </c>
      <c r="K824" s="42" t="n">
        <f aca="false">(F824-INDEX('Cohort Summary'!$H$5:$H$14,MATCH($A824,'Cohort Summary'!$A$5:$A$14,0)))/INDEX('Cohort Summary'!$I$5:$I$14,MATCH($A824,'Cohort Summary'!$A$5:$A$14,0))</f>
        <v>1.40213523131673</v>
      </c>
      <c r="L824" s="42" t="n">
        <f aca="false">(G824-INDEX('Cohort Summary'!$J$5:$J$14,MATCH($A824,'Cohort Summary'!$A$5:$A$14,0)))/INDEX('Cohort Summary'!$K$5:$K$14,MATCH($A824,'Cohort Summary'!$A$5:$A$14,0))</f>
        <v>0.920634920634918</v>
      </c>
      <c r="M824" s="42" t="n">
        <f aca="false">MAX(I824:K824)</f>
        <v>1.40213523131673</v>
      </c>
      <c r="N824" s="27" t="s">
        <v>197</v>
      </c>
      <c r="O824" s="27"/>
      <c r="P824" s="27" t="str">
        <f aca="false">A824&amp;"|"&amp;N824</f>
        <v>NURSE-05|normal</v>
      </c>
    </row>
    <row r="825" customFormat="false" ht="15" hidden="false" customHeight="true" outlineLevel="0" collapsed="false">
      <c r="A825" s="27" t="s">
        <v>86</v>
      </c>
      <c r="B825" s="41" t="n">
        <v>46303.2996527778</v>
      </c>
      <c r="C825" s="27" t="s">
        <v>195</v>
      </c>
      <c r="D825" s="27" t="n">
        <v>67.2</v>
      </c>
      <c r="E825" s="27" t="n">
        <v>17.4</v>
      </c>
      <c r="F825" s="27" t="n">
        <v>49.7</v>
      </c>
      <c r="G825" s="27" t="n">
        <v>34.3</v>
      </c>
      <c r="H825" s="27" t="s">
        <v>196</v>
      </c>
      <c r="I825" s="42" t="n">
        <f aca="false">(D825-INDEX('Cohort Summary'!$D$5:$D$14,MATCH($A825,'Cohort Summary'!$A$5:$A$14,0)))/INDEX('Cohort Summary'!$E$5:$E$14,MATCH($A825,'Cohort Summary'!$A$5:$A$14,0))</f>
        <v>0.618055555555556</v>
      </c>
      <c r="J825" s="42" t="n">
        <f aca="false">(E825-INDEX('Cohort Summary'!$F$5:$F$14,MATCH($A825,'Cohort Summary'!$A$5:$A$14,0)))/INDEX('Cohort Summary'!$G$5:$G$14,MATCH($A825,'Cohort Summary'!$A$5:$A$14,0))</f>
        <v>-1.62037037037037</v>
      </c>
      <c r="K825" s="42" t="n">
        <f aca="false">(F825-INDEX('Cohort Summary'!$H$5:$H$14,MATCH($A825,'Cohort Summary'!$A$5:$A$14,0)))/INDEX('Cohort Summary'!$I$5:$I$14,MATCH($A825,'Cohort Summary'!$A$5:$A$14,0))</f>
        <v>-0.163701067615656</v>
      </c>
      <c r="L825" s="42" t="n">
        <f aca="false">(G825-INDEX('Cohort Summary'!$J$5:$J$14,MATCH($A825,'Cohort Summary'!$A$5:$A$14,0)))/INDEX('Cohort Summary'!$K$5:$K$14,MATCH($A825,'Cohort Summary'!$A$5:$A$14,0))</f>
        <v>-0.190476190476198</v>
      </c>
      <c r="M825" s="42" t="n">
        <f aca="false">MAX(I825:K825)</f>
        <v>0.618055555555556</v>
      </c>
      <c r="N825" s="27" t="s">
        <v>197</v>
      </c>
      <c r="O825" s="27"/>
      <c r="P825" s="27" t="str">
        <f aca="false">A825&amp;"|"&amp;N825</f>
        <v>NURSE-05|normal</v>
      </c>
    </row>
    <row r="826" customFormat="false" ht="15" hidden="false" customHeight="true" outlineLevel="0" collapsed="false">
      <c r="A826" s="27" t="s">
        <v>86</v>
      </c>
      <c r="B826" s="41" t="n">
        <v>46303.3</v>
      </c>
      <c r="C826" s="27" t="s">
        <v>195</v>
      </c>
      <c r="D826" s="27" t="n">
        <v>68.6</v>
      </c>
      <c r="E826" s="27" t="n">
        <v>23.9</v>
      </c>
      <c r="F826" s="27" t="n">
        <v>52.2</v>
      </c>
      <c r="G826" s="27" t="n">
        <v>34.4</v>
      </c>
      <c r="H826" s="27" t="s">
        <v>199</v>
      </c>
      <c r="I826" s="42" t="n">
        <f aca="false">(D826-INDEX('Cohort Summary'!$D$5:$D$14,MATCH($A826,'Cohort Summary'!$A$5:$A$14,0)))/INDEX('Cohort Summary'!$E$5:$E$14,MATCH($A826,'Cohort Summary'!$A$5:$A$14,0))</f>
        <v>1.10416666666666</v>
      </c>
      <c r="J826" s="42" t="n">
        <f aca="false">(E826-INDEX('Cohort Summary'!$F$5:$F$14,MATCH($A826,'Cohort Summary'!$A$5:$A$14,0)))/INDEX('Cohort Summary'!$G$5:$G$14,MATCH($A826,'Cohort Summary'!$A$5:$A$14,0))</f>
        <v>1.38888888888889</v>
      </c>
      <c r="K826" s="42" t="n">
        <f aca="false">(F826-INDEX('Cohort Summary'!$H$5:$H$14,MATCH($A826,'Cohort Summary'!$A$5:$A$14,0)))/INDEX('Cohort Summary'!$I$5:$I$14,MATCH($A826,'Cohort Summary'!$A$5:$A$14,0))</f>
        <v>0.725978647686835</v>
      </c>
      <c r="L826" s="42" t="n">
        <f aca="false">(G826-INDEX('Cohort Summary'!$J$5:$J$14,MATCH($A826,'Cohort Summary'!$A$5:$A$14,0)))/INDEX('Cohort Summary'!$K$5:$K$14,MATCH($A826,'Cohort Summary'!$A$5:$A$14,0))</f>
        <v>-0.0317460317460367</v>
      </c>
      <c r="M826" s="42" t="n">
        <f aca="false">MAX(I826:K826)</f>
        <v>1.38888888888889</v>
      </c>
      <c r="N826" s="27" t="s">
        <v>197</v>
      </c>
      <c r="O826" s="27"/>
      <c r="P826" s="27" t="str">
        <f aca="false">A826&amp;"|"&amp;N826</f>
        <v>NURSE-05|normal</v>
      </c>
    </row>
    <row r="827" customFormat="false" ht="15" hidden="false" customHeight="true" outlineLevel="0" collapsed="false">
      <c r="A827" s="27" t="s">
        <v>86</v>
      </c>
      <c r="B827" s="41" t="n">
        <v>46303.3003472222</v>
      </c>
      <c r="C827" s="27" t="s">
        <v>195</v>
      </c>
      <c r="D827" s="27" t="n">
        <v>66.1</v>
      </c>
      <c r="E827" s="27" t="n">
        <v>17.8</v>
      </c>
      <c r="F827" s="27" t="n">
        <v>50</v>
      </c>
      <c r="G827" s="27" t="n">
        <v>34.3</v>
      </c>
      <c r="H827" s="27" t="s">
        <v>196</v>
      </c>
      <c r="I827" s="42" t="n">
        <f aca="false">(D827-INDEX('Cohort Summary'!$D$5:$D$14,MATCH($A827,'Cohort Summary'!$A$5:$A$14,0)))/INDEX('Cohort Summary'!$E$5:$E$14,MATCH($A827,'Cohort Summary'!$A$5:$A$14,0))</f>
        <v>0.236111111111109</v>
      </c>
      <c r="J827" s="42" t="n">
        <f aca="false">(E827-INDEX('Cohort Summary'!$F$5:$F$14,MATCH($A827,'Cohort Summary'!$A$5:$A$14,0)))/INDEX('Cohort Summary'!$G$5:$G$14,MATCH($A827,'Cohort Summary'!$A$5:$A$14,0))</f>
        <v>-1.43518518518518</v>
      </c>
      <c r="K827" s="42" t="n">
        <f aca="false">(F827-INDEX('Cohort Summary'!$H$5:$H$14,MATCH($A827,'Cohort Summary'!$A$5:$A$14,0)))/INDEX('Cohort Summary'!$I$5:$I$14,MATCH($A827,'Cohort Summary'!$A$5:$A$14,0))</f>
        <v>-0.0569395017793582</v>
      </c>
      <c r="L827" s="42" t="n">
        <f aca="false">(G827-INDEX('Cohort Summary'!$J$5:$J$14,MATCH($A827,'Cohort Summary'!$A$5:$A$14,0)))/INDEX('Cohort Summary'!$K$5:$K$14,MATCH($A827,'Cohort Summary'!$A$5:$A$14,0))</f>
        <v>-0.190476190476198</v>
      </c>
      <c r="M827" s="42" t="n">
        <f aca="false">MAX(I827:K827)</f>
        <v>0.236111111111109</v>
      </c>
      <c r="N827" s="27" t="s">
        <v>197</v>
      </c>
      <c r="O827" s="27"/>
      <c r="P827" s="27" t="str">
        <f aca="false">A827&amp;"|"&amp;N827</f>
        <v>NURSE-05|normal</v>
      </c>
    </row>
    <row r="828" customFormat="false" ht="15" hidden="false" customHeight="true" outlineLevel="0" collapsed="false">
      <c r="A828" s="27" t="s">
        <v>86</v>
      </c>
      <c r="B828" s="41" t="n">
        <v>46303.3006944444</v>
      </c>
      <c r="C828" s="27" t="s">
        <v>195</v>
      </c>
      <c r="D828" s="27" t="n">
        <v>62.4</v>
      </c>
      <c r="E828" s="27" t="n">
        <v>23.9</v>
      </c>
      <c r="F828" s="27" t="n">
        <v>47.3</v>
      </c>
      <c r="G828" s="27" t="n">
        <v>34.3</v>
      </c>
      <c r="H828" s="27" t="s">
        <v>196</v>
      </c>
      <c r="I828" s="42" t="n">
        <f aca="false">(D828-INDEX('Cohort Summary'!$D$5:$D$14,MATCH($A828,'Cohort Summary'!$A$5:$A$14,0)))/INDEX('Cohort Summary'!$E$5:$E$14,MATCH($A828,'Cohort Summary'!$A$5:$A$14,0))</f>
        <v>-1.04861111111111</v>
      </c>
      <c r="J828" s="42" t="n">
        <f aca="false">(E828-INDEX('Cohort Summary'!$F$5:$F$14,MATCH($A828,'Cohort Summary'!$A$5:$A$14,0)))/INDEX('Cohort Summary'!$G$5:$G$14,MATCH($A828,'Cohort Summary'!$A$5:$A$14,0))</f>
        <v>1.38888888888889</v>
      </c>
      <c r="K828" s="42" t="n">
        <f aca="false">(F828-INDEX('Cohort Summary'!$H$5:$H$14,MATCH($A828,'Cohort Summary'!$A$5:$A$14,0)))/INDEX('Cohort Summary'!$I$5:$I$14,MATCH($A828,'Cohort Summary'!$A$5:$A$14,0))</f>
        <v>-1.01779359430605</v>
      </c>
      <c r="L828" s="42" t="n">
        <f aca="false">(G828-INDEX('Cohort Summary'!$J$5:$J$14,MATCH($A828,'Cohort Summary'!$A$5:$A$14,0)))/INDEX('Cohort Summary'!$K$5:$K$14,MATCH($A828,'Cohort Summary'!$A$5:$A$14,0))</f>
        <v>-0.190476190476198</v>
      </c>
      <c r="M828" s="42" t="n">
        <f aca="false">MAX(I828:K828)</f>
        <v>1.38888888888889</v>
      </c>
      <c r="N828" s="27" t="s">
        <v>197</v>
      </c>
      <c r="O828" s="27"/>
      <c r="P828" s="27" t="str">
        <f aca="false">A828&amp;"|"&amp;N828</f>
        <v>NURSE-05|normal</v>
      </c>
    </row>
    <row r="829" customFormat="false" ht="15" hidden="false" customHeight="true" outlineLevel="0" collapsed="false">
      <c r="A829" s="27" t="s">
        <v>86</v>
      </c>
      <c r="B829" s="41" t="n">
        <v>46303.3010416667</v>
      </c>
      <c r="C829" s="27" t="s">
        <v>195</v>
      </c>
      <c r="D829" s="27" t="n">
        <v>68.2</v>
      </c>
      <c r="E829" s="27" t="n">
        <v>21.4</v>
      </c>
      <c r="F829" s="27" t="n">
        <v>52.4</v>
      </c>
      <c r="G829" s="27" t="n">
        <v>33.6</v>
      </c>
      <c r="H829" s="27" t="s">
        <v>198</v>
      </c>
      <c r="I829" s="42" t="n">
        <f aca="false">(D829-INDEX('Cohort Summary'!$D$5:$D$14,MATCH($A829,'Cohort Summary'!$A$5:$A$14,0)))/INDEX('Cohort Summary'!$E$5:$E$14,MATCH($A829,'Cohort Summary'!$A$5:$A$14,0))</f>
        <v>0.965277777777778</v>
      </c>
      <c r="J829" s="42" t="n">
        <f aca="false">(E829-INDEX('Cohort Summary'!$F$5:$F$14,MATCH($A829,'Cohort Summary'!$A$5:$A$14,0)))/INDEX('Cohort Summary'!$G$5:$G$14,MATCH($A829,'Cohort Summary'!$A$5:$A$14,0))</f>
        <v>0.231481481481481</v>
      </c>
      <c r="K829" s="42" t="n">
        <f aca="false">(F829-INDEX('Cohort Summary'!$H$5:$H$14,MATCH($A829,'Cohort Summary'!$A$5:$A$14,0)))/INDEX('Cohort Summary'!$I$5:$I$14,MATCH($A829,'Cohort Summary'!$A$5:$A$14,0))</f>
        <v>0.797153024911033</v>
      </c>
      <c r="L829" s="42" t="n">
        <f aca="false">(G829-INDEX('Cohort Summary'!$J$5:$J$14,MATCH($A829,'Cohort Summary'!$A$5:$A$14,0)))/INDEX('Cohort Summary'!$K$5:$K$14,MATCH($A829,'Cohort Summary'!$A$5:$A$14,0))</f>
        <v>-1.3015873015873</v>
      </c>
      <c r="M829" s="42" t="n">
        <f aca="false">MAX(I829:K829)</f>
        <v>0.965277777777778</v>
      </c>
      <c r="N829" s="27" t="s">
        <v>197</v>
      </c>
      <c r="O829" s="27"/>
      <c r="P829" s="27" t="str">
        <f aca="false">A829&amp;"|"&amp;N829</f>
        <v>NURSE-05|normal</v>
      </c>
    </row>
    <row r="830" customFormat="false" ht="15" hidden="false" customHeight="true" outlineLevel="0" collapsed="false">
      <c r="A830" s="27" t="s">
        <v>86</v>
      </c>
      <c r="B830" s="41" t="n">
        <v>46303.3013888889</v>
      </c>
      <c r="C830" s="27" t="s">
        <v>195</v>
      </c>
      <c r="D830" s="27" t="n">
        <v>69.1</v>
      </c>
      <c r="E830" s="27" t="n">
        <v>18.4</v>
      </c>
      <c r="F830" s="27" t="n">
        <v>45</v>
      </c>
      <c r="G830" s="27" t="n">
        <v>34.4</v>
      </c>
      <c r="H830" s="27" t="s">
        <v>199</v>
      </c>
      <c r="I830" s="42" t="n">
        <f aca="false">(D830-INDEX('Cohort Summary'!$D$5:$D$14,MATCH($A830,'Cohort Summary'!$A$5:$A$14,0)))/INDEX('Cohort Summary'!$E$5:$E$14,MATCH($A830,'Cohort Summary'!$A$5:$A$14,0))</f>
        <v>1.27777777777778</v>
      </c>
      <c r="J830" s="42" t="n">
        <f aca="false">(E830-INDEX('Cohort Summary'!$F$5:$F$14,MATCH($A830,'Cohort Summary'!$A$5:$A$14,0)))/INDEX('Cohort Summary'!$G$5:$G$14,MATCH($A830,'Cohort Summary'!$A$5:$A$14,0))</f>
        <v>-1.15740740740741</v>
      </c>
      <c r="K830" s="42" t="n">
        <f aca="false">(F830-INDEX('Cohort Summary'!$H$5:$H$14,MATCH($A830,'Cohort Summary'!$A$5:$A$14,0)))/INDEX('Cohort Summary'!$I$5:$I$14,MATCH($A830,'Cohort Summary'!$A$5:$A$14,0))</f>
        <v>-1.83629893238434</v>
      </c>
      <c r="L830" s="42" t="n">
        <f aca="false">(G830-INDEX('Cohort Summary'!$J$5:$J$14,MATCH($A830,'Cohort Summary'!$A$5:$A$14,0)))/INDEX('Cohort Summary'!$K$5:$K$14,MATCH($A830,'Cohort Summary'!$A$5:$A$14,0))</f>
        <v>-0.0317460317460367</v>
      </c>
      <c r="M830" s="42" t="n">
        <f aca="false">MAX(I830:K830)</f>
        <v>1.27777777777778</v>
      </c>
      <c r="N830" s="27" t="s">
        <v>197</v>
      </c>
      <c r="O830" s="27"/>
      <c r="P830" s="27" t="str">
        <f aca="false">A830&amp;"|"&amp;N830</f>
        <v>NURSE-05|normal</v>
      </c>
    </row>
    <row r="831" customFormat="false" ht="15" hidden="false" customHeight="true" outlineLevel="0" collapsed="false">
      <c r="A831" s="27" t="s">
        <v>86</v>
      </c>
      <c r="B831" s="41" t="n">
        <v>46303.3017361111</v>
      </c>
      <c r="C831" s="27" t="s">
        <v>195</v>
      </c>
      <c r="D831" s="27" t="n">
        <v>62.4</v>
      </c>
      <c r="E831" s="27" t="n">
        <v>23.5</v>
      </c>
      <c r="F831" s="27" t="n">
        <v>47.2</v>
      </c>
      <c r="G831" s="27" t="n">
        <v>34.8</v>
      </c>
      <c r="H831" s="27" t="s">
        <v>196</v>
      </c>
      <c r="I831" s="42" t="n">
        <f aca="false">(D831-INDEX('Cohort Summary'!$D$5:$D$14,MATCH($A831,'Cohort Summary'!$A$5:$A$14,0)))/INDEX('Cohort Summary'!$E$5:$E$14,MATCH($A831,'Cohort Summary'!$A$5:$A$14,0))</f>
        <v>-1.04861111111111</v>
      </c>
      <c r="J831" s="42" t="n">
        <f aca="false">(E831-INDEX('Cohort Summary'!$F$5:$F$14,MATCH($A831,'Cohort Summary'!$A$5:$A$14,0)))/INDEX('Cohort Summary'!$G$5:$G$14,MATCH($A831,'Cohort Summary'!$A$5:$A$14,0))</f>
        <v>1.2037037037037</v>
      </c>
      <c r="K831" s="42" t="n">
        <f aca="false">(F831-INDEX('Cohort Summary'!$H$5:$H$14,MATCH($A831,'Cohort Summary'!$A$5:$A$14,0)))/INDEX('Cohort Summary'!$I$5:$I$14,MATCH($A831,'Cohort Summary'!$A$5:$A$14,0))</f>
        <v>-1.05338078291815</v>
      </c>
      <c r="L831" s="42" t="n">
        <f aca="false">(G831-INDEX('Cohort Summary'!$J$5:$J$14,MATCH($A831,'Cohort Summary'!$A$5:$A$14,0)))/INDEX('Cohort Summary'!$K$5:$K$14,MATCH($A831,'Cohort Summary'!$A$5:$A$14,0))</f>
        <v>0.603174603174596</v>
      </c>
      <c r="M831" s="42" t="n">
        <f aca="false">MAX(I831:K831)</f>
        <v>1.2037037037037</v>
      </c>
      <c r="N831" s="27" t="s">
        <v>197</v>
      </c>
      <c r="O831" s="27"/>
      <c r="P831" s="27" t="str">
        <f aca="false">A831&amp;"|"&amp;N831</f>
        <v>NURSE-05|normal</v>
      </c>
    </row>
    <row r="832" customFormat="false" ht="15" hidden="false" customHeight="true" outlineLevel="0" collapsed="false">
      <c r="A832" s="27" t="s">
        <v>86</v>
      </c>
      <c r="B832" s="41" t="n">
        <v>46303.3020833333</v>
      </c>
      <c r="C832" s="27" t="s">
        <v>195</v>
      </c>
      <c r="D832" s="27" t="n">
        <v>66.4</v>
      </c>
      <c r="E832" s="27" t="n">
        <v>23.4</v>
      </c>
      <c r="F832" s="27" t="n">
        <v>47.6</v>
      </c>
      <c r="G832" s="27" t="n">
        <v>33.8</v>
      </c>
      <c r="H832" s="27" t="s">
        <v>198</v>
      </c>
      <c r="I832" s="42" t="n">
        <f aca="false">(D832-INDEX('Cohort Summary'!$D$5:$D$14,MATCH($A832,'Cohort Summary'!$A$5:$A$14,0)))/INDEX('Cohort Summary'!$E$5:$E$14,MATCH($A832,'Cohort Summary'!$A$5:$A$14,0))</f>
        <v>0.340277777777779</v>
      </c>
      <c r="J832" s="42" t="n">
        <f aca="false">(E832-INDEX('Cohort Summary'!$F$5:$F$14,MATCH($A832,'Cohort Summary'!$A$5:$A$14,0)))/INDEX('Cohort Summary'!$G$5:$G$14,MATCH($A832,'Cohort Summary'!$A$5:$A$14,0))</f>
        <v>1.15740740740741</v>
      </c>
      <c r="K832" s="42" t="n">
        <f aca="false">(F832-INDEX('Cohort Summary'!$H$5:$H$14,MATCH($A832,'Cohort Summary'!$A$5:$A$14,0)))/INDEX('Cohort Summary'!$I$5:$I$14,MATCH($A832,'Cohort Summary'!$A$5:$A$14,0))</f>
        <v>-0.911032028469749</v>
      </c>
      <c r="L832" s="42" t="n">
        <f aca="false">(G832-INDEX('Cohort Summary'!$J$5:$J$14,MATCH($A832,'Cohort Summary'!$A$5:$A$14,0)))/INDEX('Cohort Summary'!$K$5:$K$14,MATCH($A832,'Cohort Summary'!$A$5:$A$14,0))</f>
        <v>-0.984126984126991</v>
      </c>
      <c r="M832" s="42" t="n">
        <f aca="false">MAX(I832:K832)</f>
        <v>1.15740740740741</v>
      </c>
      <c r="N832" s="27" t="s">
        <v>197</v>
      </c>
      <c r="O832" s="27"/>
      <c r="P832" s="27" t="str">
        <f aca="false">A832&amp;"|"&amp;N832</f>
        <v>NURSE-05|normal</v>
      </c>
    </row>
    <row r="833" customFormat="false" ht="15" hidden="false" customHeight="true" outlineLevel="0" collapsed="false">
      <c r="A833" s="27" t="s">
        <v>86</v>
      </c>
      <c r="B833" s="41" t="n">
        <v>46303.3024305556</v>
      </c>
      <c r="C833" s="27" t="s">
        <v>195</v>
      </c>
      <c r="D833" s="27" t="n">
        <v>64.8</v>
      </c>
      <c r="E833" s="27" t="n">
        <v>23.7</v>
      </c>
      <c r="F833" s="27" t="n">
        <v>52.6</v>
      </c>
      <c r="G833" s="27" t="n">
        <v>35.3</v>
      </c>
      <c r="H833" s="27" t="s">
        <v>198</v>
      </c>
      <c r="I833" s="42" t="n">
        <f aca="false">(D833-INDEX('Cohort Summary'!$D$5:$D$14,MATCH($A833,'Cohort Summary'!$A$5:$A$14,0)))/INDEX('Cohort Summary'!$E$5:$E$14,MATCH($A833,'Cohort Summary'!$A$5:$A$14,0))</f>
        <v>-0.215277777777779</v>
      </c>
      <c r="J833" s="42" t="n">
        <f aca="false">(E833-INDEX('Cohort Summary'!$F$5:$F$14,MATCH($A833,'Cohort Summary'!$A$5:$A$14,0)))/INDEX('Cohort Summary'!$G$5:$G$14,MATCH($A833,'Cohort Summary'!$A$5:$A$14,0))</f>
        <v>1.2962962962963</v>
      </c>
      <c r="K833" s="42" t="n">
        <f aca="false">(F833-INDEX('Cohort Summary'!$H$5:$H$14,MATCH($A833,'Cohort Summary'!$A$5:$A$14,0)))/INDEX('Cohort Summary'!$I$5:$I$14,MATCH($A833,'Cohort Summary'!$A$5:$A$14,0))</f>
        <v>0.868327402135233</v>
      </c>
      <c r="L833" s="42" t="n">
        <f aca="false">(G833-INDEX('Cohort Summary'!$J$5:$J$14,MATCH($A833,'Cohort Summary'!$A$5:$A$14,0)))/INDEX('Cohort Summary'!$K$5:$K$14,MATCH($A833,'Cohort Summary'!$A$5:$A$14,0))</f>
        <v>1.39682539682539</v>
      </c>
      <c r="M833" s="42" t="n">
        <f aca="false">MAX(I833:K833)</f>
        <v>1.2962962962963</v>
      </c>
      <c r="N833" s="27" t="s">
        <v>197</v>
      </c>
      <c r="O833" s="27"/>
      <c r="P833" s="27" t="str">
        <f aca="false">A833&amp;"|"&amp;N833</f>
        <v>NURSE-05|normal</v>
      </c>
    </row>
    <row r="834" customFormat="false" ht="15" hidden="false" customHeight="true" outlineLevel="0" collapsed="false">
      <c r="A834" s="27" t="s">
        <v>86</v>
      </c>
      <c r="B834" s="41" t="n">
        <v>46303.3027777778</v>
      </c>
      <c r="C834" s="27" t="s">
        <v>195</v>
      </c>
      <c r="D834" s="27" t="n">
        <v>61.9</v>
      </c>
      <c r="E834" s="27" t="n">
        <v>22.6</v>
      </c>
      <c r="F834" s="27" t="n">
        <v>46.6</v>
      </c>
      <c r="G834" s="27" t="n">
        <v>34.5</v>
      </c>
      <c r="H834" s="27" t="s">
        <v>198</v>
      </c>
      <c r="I834" s="42" t="n">
        <f aca="false">(D834-INDEX('Cohort Summary'!$D$5:$D$14,MATCH($A834,'Cohort Summary'!$A$5:$A$14,0)))/INDEX('Cohort Summary'!$E$5:$E$14,MATCH($A834,'Cohort Summary'!$A$5:$A$14,0))</f>
        <v>-1.22222222222222</v>
      </c>
      <c r="J834" s="42" t="n">
        <f aca="false">(E834-INDEX('Cohort Summary'!$F$5:$F$14,MATCH($A834,'Cohort Summary'!$A$5:$A$14,0)))/INDEX('Cohort Summary'!$G$5:$G$14,MATCH($A834,'Cohort Summary'!$A$5:$A$14,0))</f>
        <v>0.787037037037038</v>
      </c>
      <c r="K834" s="42" t="n">
        <f aca="false">(F834-INDEX('Cohort Summary'!$H$5:$H$14,MATCH($A834,'Cohort Summary'!$A$5:$A$14,0)))/INDEX('Cohort Summary'!$I$5:$I$14,MATCH($A834,'Cohort Summary'!$A$5:$A$14,0))</f>
        <v>-1.26690391459075</v>
      </c>
      <c r="L834" s="42" t="n">
        <f aca="false">(G834-INDEX('Cohort Summary'!$J$5:$J$14,MATCH($A834,'Cohort Summary'!$A$5:$A$14,0)))/INDEX('Cohort Summary'!$K$5:$K$14,MATCH($A834,'Cohort Summary'!$A$5:$A$14,0))</f>
        <v>0.126984126984124</v>
      </c>
      <c r="M834" s="42" t="n">
        <f aca="false">MAX(I834:K834)</f>
        <v>0.787037037037038</v>
      </c>
      <c r="N834" s="27" t="s">
        <v>197</v>
      </c>
      <c r="O834" s="27"/>
      <c r="P834" s="27" t="str">
        <f aca="false">A834&amp;"|"&amp;N834</f>
        <v>NURSE-05|normal</v>
      </c>
    </row>
    <row r="835" customFormat="false" ht="15" hidden="false" customHeight="true" outlineLevel="0" collapsed="false">
      <c r="A835" s="27" t="s">
        <v>86</v>
      </c>
      <c r="B835" s="41" t="n">
        <v>46303.303125</v>
      </c>
      <c r="C835" s="27" t="s">
        <v>195</v>
      </c>
      <c r="D835" s="27" t="n">
        <v>65.1</v>
      </c>
      <c r="E835" s="27" t="n">
        <v>23.7</v>
      </c>
      <c r="F835" s="27" t="n">
        <v>48.8</v>
      </c>
      <c r="G835" s="27" t="n">
        <v>35.3</v>
      </c>
      <c r="H835" s="27" t="s">
        <v>198</v>
      </c>
      <c r="I835" s="42" t="n">
        <f aca="false">(D835-INDEX('Cohort Summary'!$D$5:$D$14,MATCH($A835,'Cohort Summary'!$A$5:$A$14,0)))/INDEX('Cohort Summary'!$E$5:$E$14,MATCH($A835,'Cohort Summary'!$A$5:$A$14,0))</f>
        <v>-0.111111111111114</v>
      </c>
      <c r="J835" s="42" t="n">
        <f aca="false">(E835-INDEX('Cohort Summary'!$F$5:$F$14,MATCH($A835,'Cohort Summary'!$A$5:$A$14,0)))/INDEX('Cohort Summary'!$G$5:$G$14,MATCH($A835,'Cohort Summary'!$A$5:$A$14,0))</f>
        <v>1.2962962962963</v>
      </c>
      <c r="K835" s="42" t="n">
        <f aca="false">(F835-INDEX('Cohort Summary'!$H$5:$H$14,MATCH($A835,'Cohort Summary'!$A$5:$A$14,0)))/INDEX('Cohort Summary'!$I$5:$I$14,MATCH($A835,'Cohort Summary'!$A$5:$A$14,0))</f>
        <v>-0.483985765124555</v>
      </c>
      <c r="L835" s="42" t="n">
        <f aca="false">(G835-INDEX('Cohort Summary'!$J$5:$J$14,MATCH($A835,'Cohort Summary'!$A$5:$A$14,0)))/INDEX('Cohort Summary'!$K$5:$K$14,MATCH($A835,'Cohort Summary'!$A$5:$A$14,0))</f>
        <v>1.39682539682539</v>
      </c>
      <c r="M835" s="42" t="n">
        <f aca="false">MAX(I835:K835)</f>
        <v>1.2962962962963</v>
      </c>
      <c r="N835" s="27" t="s">
        <v>197</v>
      </c>
      <c r="O835" s="27"/>
      <c r="P835" s="27" t="str">
        <f aca="false">A835&amp;"|"&amp;N835</f>
        <v>NURSE-05|normal</v>
      </c>
    </row>
    <row r="836" customFormat="false" ht="15" hidden="false" customHeight="true" outlineLevel="0" collapsed="false">
      <c r="A836" s="27" t="s">
        <v>86</v>
      </c>
      <c r="B836" s="41" t="n">
        <v>46303.3034722222</v>
      </c>
      <c r="C836" s="27" t="s">
        <v>195</v>
      </c>
      <c r="D836" s="27" t="n">
        <v>68.5</v>
      </c>
      <c r="E836" s="27" t="n">
        <v>20.9</v>
      </c>
      <c r="F836" s="27" t="n">
        <v>53.2</v>
      </c>
      <c r="G836" s="27" t="n">
        <v>34.5</v>
      </c>
      <c r="H836" s="27" t="s">
        <v>196</v>
      </c>
      <c r="I836" s="42" t="n">
        <f aca="false">(D836-INDEX('Cohort Summary'!$D$5:$D$14,MATCH($A836,'Cohort Summary'!$A$5:$A$14,0)))/INDEX('Cohort Summary'!$E$5:$E$14,MATCH($A836,'Cohort Summary'!$A$5:$A$14,0))</f>
        <v>1.06944444444444</v>
      </c>
      <c r="J836" s="42" t="n">
        <f aca="false">(E836-INDEX('Cohort Summary'!$F$5:$F$14,MATCH($A836,'Cohort Summary'!$A$5:$A$14,0)))/INDEX('Cohort Summary'!$G$5:$G$14,MATCH($A836,'Cohort Summary'!$A$5:$A$14,0))</f>
        <v>0</v>
      </c>
      <c r="K836" s="42" t="n">
        <f aca="false">(F836-INDEX('Cohort Summary'!$H$5:$H$14,MATCH($A836,'Cohort Summary'!$A$5:$A$14,0)))/INDEX('Cohort Summary'!$I$5:$I$14,MATCH($A836,'Cohort Summary'!$A$5:$A$14,0))</f>
        <v>1.08185053380783</v>
      </c>
      <c r="L836" s="42" t="n">
        <f aca="false">(G836-INDEX('Cohort Summary'!$J$5:$J$14,MATCH($A836,'Cohort Summary'!$A$5:$A$14,0)))/INDEX('Cohort Summary'!$K$5:$K$14,MATCH($A836,'Cohort Summary'!$A$5:$A$14,0))</f>
        <v>0.126984126984124</v>
      </c>
      <c r="M836" s="42" t="n">
        <f aca="false">MAX(I836:K836)</f>
        <v>1.08185053380783</v>
      </c>
      <c r="N836" s="27" t="s">
        <v>197</v>
      </c>
      <c r="O836" s="27"/>
      <c r="P836" s="27" t="str">
        <f aca="false">A836&amp;"|"&amp;N836</f>
        <v>NURSE-05|normal</v>
      </c>
    </row>
    <row r="837" customFormat="false" ht="15" hidden="false" customHeight="true" outlineLevel="0" collapsed="false">
      <c r="A837" s="27" t="s">
        <v>86</v>
      </c>
      <c r="B837" s="41" t="n">
        <v>46303.3038194445</v>
      </c>
      <c r="C837" s="27" t="s">
        <v>195</v>
      </c>
      <c r="D837" s="27" t="n">
        <v>66.1</v>
      </c>
      <c r="E837" s="27" t="n">
        <v>22.5</v>
      </c>
      <c r="F837" s="27" t="n">
        <v>50.4</v>
      </c>
      <c r="G837" s="27" t="n">
        <v>34.9</v>
      </c>
      <c r="H837" s="27" t="s">
        <v>196</v>
      </c>
      <c r="I837" s="42" t="n">
        <f aca="false">(D837-INDEX('Cohort Summary'!$D$5:$D$14,MATCH($A837,'Cohort Summary'!$A$5:$A$14,0)))/INDEX('Cohort Summary'!$E$5:$E$14,MATCH($A837,'Cohort Summary'!$A$5:$A$14,0))</f>
        <v>0.236111111111109</v>
      </c>
      <c r="J837" s="42" t="n">
        <f aca="false">(E837-INDEX('Cohort Summary'!$F$5:$F$14,MATCH($A837,'Cohort Summary'!$A$5:$A$14,0)))/INDEX('Cohort Summary'!$G$5:$G$14,MATCH($A837,'Cohort Summary'!$A$5:$A$14,0))</f>
        <v>0.740740740740741</v>
      </c>
      <c r="K837" s="42" t="n">
        <f aca="false">(F837-INDEX('Cohort Summary'!$H$5:$H$14,MATCH($A837,'Cohort Summary'!$A$5:$A$14,0)))/INDEX('Cohort Summary'!$I$5:$I$14,MATCH($A837,'Cohort Summary'!$A$5:$A$14,0))</f>
        <v>0.0854092526690399</v>
      </c>
      <c r="L837" s="42" t="n">
        <f aca="false">(G837-INDEX('Cohort Summary'!$J$5:$J$14,MATCH($A837,'Cohort Summary'!$A$5:$A$14,0)))/INDEX('Cohort Summary'!$K$5:$K$14,MATCH($A837,'Cohort Summary'!$A$5:$A$14,0))</f>
        <v>0.761904761904757</v>
      </c>
      <c r="M837" s="42" t="n">
        <f aca="false">MAX(I837:K837)</f>
        <v>0.740740740740741</v>
      </c>
      <c r="N837" s="27" t="s">
        <v>197</v>
      </c>
      <c r="O837" s="27"/>
      <c r="P837" s="27" t="str">
        <f aca="false">A837&amp;"|"&amp;N837</f>
        <v>NURSE-05|normal</v>
      </c>
    </row>
    <row r="838" customFormat="false" ht="15" hidden="false" customHeight="true" outlineLevel="0" collapsed="false">
      <c r="A838" s="27" t="s">
        <v>86</v>
      </c>
      <c r="B838" s="41" t="n">
        <v>46303.3041666667</v>
      </c>
      <c r="C838" s="27" t="s">
        <v>195</v>
      </c>
      <c r="D838" s="27" t="n">
        <v>65.5</v>
      </c>
      <c r="E838" s="27" t="n">
        <v>19</v>
      </c>
      <c r="F838" s="27" t="n">
        <v>49</v>
      </c>
      <c r="G838" s="27" t="n">
        <v>33.5</v>
      </c>
      <c r="H838" s="27" t="s">
        <v>196</v>
      </c>
      <c r="I838" s="42" t="n">
        <f aca="false">(D838-INDEX('Cohort Summary'!$D$5:$D$14,MATCH($A838,'Cohort Summary'!$A$5:$A$14,0)))/INDEX('Cohort Summary'!$E$5:$E$14,MATCH($A838,'Cohort Summary'!$A$5:$A$14,0))</f>
        <v>0.0277777777777772</v>
      </c>
      <c r="J838" s="42" t="n">
        <f aca="false">(E838-INDEX('Cohort Summary'!$F$5:$F$14,MATCH($A838,'Cohort Summary'!$A$5:$A$14,0)))/INDEX('Cohort Summary'!$G$5:$G$14,MATCH($A838,'Cohort Summary'!$A$5:$A$14,0))</f>
        <v>-0.879629629629629</v>
      </c>
      <c r="K838" s="42" t="n">
        <f aca="false">(F838-INDEX('Cohort Summary'!$H$5:$H$14,MATCH($A838,'Cohort Summary'!$A$5:$A$14,0)))/INDEX('Cohort Summary'!$I$5:$I$14,MATCH($A838,'Cohort Summary'!$A$5:$A$14,0))</f>
        <v>-0.412811387900355</v>
      </c>
      <c r="L838" s="42" t="n">
        <f aca="false">(G838-INDEX('Cohort Summary'!$J$5:$J$14,MATCH($A838,'Cohort Summary'!$A$5:$A$14,0)))/INDEX('Cohort Summary'!$K$5:$K$14,MATCH($A838,'Cohort Summary'!$A$5:$A$14,0))</f>
        <v>-1.46031746031746</v>
      </c>
      <c r="M838" s="42" t="n">
        <f aca="false">MAX(I838:K838)</f>
        <v>0.0277777777777772</v>
      </c>
      <c r="N838" s="27" t="s">
        <v>197</v>
      </c>
      <c r="O838" s="27"/>
      <c r="P838" s="27" t="str">
        <f aca="false">A838&amp;"|"&amp;N838</f>
        <v>NURSE-05|normal</v>
      </c>
    </row>
    <row r="839" customFormat="false" ht="15" hidden="false" customHeight="true" outlineLevel="0" collapsed="false">
      <c r="A839" s="27" t="s">
        <v>86</v>
      </c>
      <c r="B839" s="41" t="n">
        <v>46303.3045138889</v>
      </c>
      <c r="C839" s="27" t="s">
        <v>195</v>
      </c>
      <c r="D839" s="27" t="n">
        <v>62.1</v>
      </c>
      <c r="E839" s="27" t="n">
        <v>18.3</v>
      </c>
      <c r="F839" s="27" t="n">
        <v>50.1</v>
      </c>
      <c r="G839" s="27" t="n">
        <v>35.2</v>
      </c>
      <c r="H839" s="27" t="s">
        <v>198</v>
      </c>
      <c r="I839" s="42" t="n">
        <f aca="false">(D839-INDEX('Cohort Summary'!$D$5:$D$14,MATCH($A839,'Cohort Summary'!$A$5:$A$14,0)))/INDEX('Cohort Summary'!$E$5:$E$14,MATCH($A839,'Cohort Summary'!$A$5:$A$14,0))</f>
        <v>-1.15277777777778</v>
      </c>
      <c r="J839" s="42" t="n">
        <f aca="false">(E839-INDEX('Cohort Summary'!$F$5:$F$14,MATCH($A839,'Cohort Summary'!$A$5:$A$14,0)))/INDEX('Cohort Summary'!$G$5:$G$14,MATCH($A839,'Cohort Summary'!$A$5:$A$14,0))</f>
        <v>-1.2037037037037</v>
      </c>
      <c r="K839" s="42" t="n">
        <f aca="false">(F839-INDEX('Cohort Summary'!$H$5:$H$14,MATCH($A839,'Cohort Summary'!$A$5:$A$14,0)))/INDEX('Cohort Summary'!$I$5:$I$14,MATCH($A839,'Cohort Summary'!$A$5:$A$14,0))</f>
        <v>-0.0213523131672581</v>
      </c>
      <c r="L839" s="42" t="n">
        <f aca="false">(G839-INDEX('Cohort Summary'!$J$5:$J$14,MATCH($A839,'Cohort Summary'!$A$5:$A$14,0)))/INDEX('Cohort Summary'!$K$5:$K$14,MATCH($A839,'Cohort Summary'!$A$5:$A$14,0))</f>
        <v>1.23809523809524</v>
      </c>
      <c r="M839" s="42" t="n">
        <f aca="false">MAX(I839:K839)</f>
        <v>-0.0213523131672581</v>
      </c>
      <c r="N839" s="27" t="s">
        <v>197</v>
      </c>
      <c r="O839" s="27"/>
      <c r="P839" s="27" t="str">
        <f aca="false">A839&amp;"|"&amp;N839</f>
        <v>NURSE-05|normal</v>
      </c>
    </row>
    <row r="840" customFormat="false" ht="15" hidden="false" customHeight="true" outlineLevel="0" collapsed="false">
      <c r="A840" s="27" t="s">
        <v>86</v>
      </c>
      <c r="B840" s="41" t="n">
        <v>46303.3048611111</v>
      </c>
      <c r="C840" s="27" t="s">
        <v>195</v>
      </c>
      <c r="D840" s="27" t="n">
        <v>61.2</v>
      </c>
      <c r="E840" s="27" t="n">
        <v>21.6</v>
      </c>
      <c r="F840" s="27" t="n">
        <v>47.1</v>
      </c>
      <c r="G840" s="27" t="n">
        <v>34.4</v>
      </c>
      <c r="H840" s="27" t="s">
        <v>198</v>
      </c>
      <c r="I840" s="42" t="n">
        <f aca="false">(D840-INDEX('Cohort Summary'!$D$5:$D$14,MATCH($A840,'Cohort Summary'!$A$5:$A$14,0)))/INDEX('Cohort Summary'!$E$5:$E$14,MATCH($A840,'Cohort Summary'!$A$5:$A$14,0))</f>
        <v>-1.46527777777778</v>
      </c>
      <c r="J840" s="42" t="n">
        <f aca="false">(E840-INDEX('Cohort Summary'!$F$5:$F$14,MATCH($A840,'Cohort Summary'!$A$5:$A$14,0)))/INDEX('Cohort Summary'!$G$5:$G$14,MATCH($A840,'Cohort Summary'!$A$5:$A$14,0))</f>
        <v>0.324074074074075</v>
      </c>
      <c r="K840" s="42" t="n">
        <f aca="false">(F840-INDEX('Cohort Summary'!$H$5:$H$14,MATCH($A840,'Cohort Summary'!$A$5:$A$14,0)))/INDEX('Cohort Summary'!$I$5:$I$14,MATCH($A840,'Cohort Summary'!$A$5:$A$14,0))</f>
        <v>-1.08896797153025</v>
      </c>
      <c r="L840" s="42" t="n">
        <f aca="false">(G840-INDEX('Cohort Summary'!$J$5:$J$14,MATCH($A840,'Cohort Summary'!$A$5:$A$14,0)))/INDEX('Cohort Summary'!$K$5:$K$14,MATCH($A840,'Cohort Summary'!$A$5:$A$14,0))</f>
        <v>-0.0317460317460367</v>
      </c>
      <c r="M840" s="42" t="n">
        <f aca="false">MAX(I840:K840)</f>
        <v>0.324074074074075</v>
      </c>
      <c r="N840" s="27" t="s">
        <v>197</v>
      </c>
      <c r="O840" s="27"/>
      <c r="P840" s="27" t="str">
        <f aca="false">A840&amp;"|"&amp;N840</f>
        <v>NURSE-05|normal</v>
      </c>
    </row>
    <row r="841" customFormat="false" ht="15" hidden="false" customHeight="true" outlineLevel="0" collapsed="false">
      <c r="A841" s="27" t="s">
        <v>86</v>
      </c>
      <c r="B841" s="41" t="n">
        <v>46303.3052083333</v>
      </c>
      <c r="C841" s="27" t="s">
        <v>195</v>
      </c>
      <c r="D841" s="27" t="n">
        <v>66.1</v>
      </c>
      <c r="E841" s="27" t="n">
        <v>17.6</v>
      </c>
      <c r="F841" s="27" t="n">
        <v>50.2</v>
      </c>
      <c r="G841" s="27" t="n">
        <v>34.9</v>
      </c>
      <c r="H841" s="27" t="s">
        <v>198</v>
      </c>
      <c r="I841" s="42" t="n">
        <f aca="false">(D841-INDEX('Cohort Summary'!$D$5:$D$14,MATCH($A841,'Cohort Summary'!$A$5:$A$14,0)))/INDEX('Cohort Summary'!$E$5:$E$14,MATCH($A841,'Cohort Summary'!$A$5:$A$14,0))</f>
        <v>0.236111111111109</v>
      </c>
      <c r="J841" s="42" t="n">
        <f aca="false">(E841-INDEX('Cohort Summary'!$F$5:$F$14,MATCH($A841,'Cohort Summary'!$A$5:$A$14,0)))/INDEX('Cohort Summary'!$G$5:$G$14,MATCH($A841,'Cohort Summary'!$A$5:$A$14,0))</f>
        <v>-1.52777777777778</v>
      </c>
      <c r="K841" s="42" t="n">
        <f aca="false">(F841-INDEX('Cohort Summary'!$H$5:$H$14,MATCH($A841,'Cohort Summary'!$A$5:$A$14,0)))/INDEX('Cohort Summary'!$I$5:$I$14,MATCH($A841,'Cohort Summary'!$A$5:$A$14,0))</f>
        <v>0.0142348754448421</v>
      </c>
      <c r="L841" s="42" t="n">
        <f aca="false">(G841-INDEX('Cohort Summary'!$J$5:$J$14,MATCH($A841,'Cohort Summary'!$A$5:$A$14,0)))/INDEX('Cohort Summary'!$K$5:$K$14,MATCH($A841,'Cohort Summary'!$A$5:$A$14,0))</f>
        <v>0.761904761904757</v>
      </c>
      <c r="M841" s="42" t="n">
        <f aca="false">MAX(I841:K841)</f>
        <v>0.236111111111109</v>
      </c>
      <c r="N841" s="27" t="s">
        <v>197</v>
      </c>
      <c r="O841" s="27"/>
      <c r="P841" s="27" t="str">
        <f aca="false">A841&amp;"|"&amp;N841</f>
        <v>NURSE-05|normal</v>
      </c>
    </row>
    <row r="842" customFormat="false" ht="15" hidden="false" customHeight="true" outlineLevel="0" collapsed="false">
      <c r="A842" s="27" t="s">
        <v>86</v>
      </c>
      <c r="B842" s="41" t="n">
        <v>46303.3055555556</v>
      </c>
      <c r="C842" s="27" t="s">
        <v>195</v>
      </c>
      <c r="D842" s="27" t="n">
        <v>67.3</v>
      </c>
      <c r="E842" s="27" t="n">
        <v>22.9</v>
      </c>
      <c r="F842" s="27" t="n">
        <v>53.5</v>
      </c>
      <c r="G842" s="27" t="n">
        <v>33.7</v>
      </c>
      <c r="H842" s="27" t="s">
        <v>199</v>
      </c>
      <c r="I842" s="42" t="n">
        <f aca="false">(D842-INDEX('Cohort Summary'!$D$5:$D$14,MATCH($A842,'Cohort Summary'!$A$5:$A$14,0)))/INDEX('Cohort Summary'!$E$5:$E$14,MATCH($A842,'Cohort Summary'!$A$5:$A$14,0))</f>
        <v>0.652777777777776</v>
      </c>
      <c r="J842" s="42" t="n">
        <f aca="false">(E842-INDEX('Cohort Summary'!$F$5:$F$14,MATCH($A842,'Cohort Summary'!$A$5:$A$14,0)))/INDEX('Cohort Summary'!$G$5:$G$14,MATCH($A842,'Cohort Summary'!$A$5:$A$14,0))</f>
        <v>0.925925925925926</v>
      </c>
      <c r="K842" s="42" t="n">
        <f aca="false">(F842-INDEX('Cohort Summary'!$H$5:$H$14,MATCH($A842,'Cohort Summary'!$A$5:$A$14,0)))/INDEX('Cohort Summary'!$I$5:$I$14,MATCH($A842,'Cohort Summary'!$A$5:$A$14,0))</f>
        <v>1.18861209964413</v>
      </c>
      <c r="L842" s="42" t="n">
        <f aca="false">(G842-INDEX('Cohort Summary'!$J$5:$J$14,MATCH($A842,'Cohort Summary'!$A$5:$A$14,0)))/INDEX('Cohort Summary'!$K$5:$K$14,MATCH($A842,'Cohort Summary'!$A$5:$A$14,0))</f>
        <v>-1.14285714285714</v>
      </c>
      <c r="M842" s="42" t="n">
        <f aca="false">MAX(I842:K842)</f>
        <v>1.18861209964413</v>
      </c>
      <c r="N842" s="27" t="s">
        <v>197</v>
      </c>
      <c r="O842" s="27"/>
      <c r="P842" s="27" t="str">
        <f aca="false">A842&amp;"|"&amp;N842</f>
        <v>NURSE-05|normal</v>
      </c>
    </row>
    <row r="843" customFormat="false" ht="15" hidden="false" customHeight="true" outlineLevel="0" collapsed="false">
      <c r="A843" s="27" t="s">
        <v>86</v>
      </c>
      <c r="B843" s="41" t="n">
        <v>46303.3059027778</v>
      </c>
      <c r="C843" s="27" t="s">
        <v>195</v>
      </c>
      <c r="D843" s="27" t="n">
        <v>62.7</v>
      </c>
      <c r="E843" s="27" t="n">
        <v>19.2</v>
      </c>
      <c r="F843" s="27" t="n">
        <v>48</v>
      </c>
      <c r="G843" s="27" t="n">
        <v>34.5</v>
      </c>
      <c r="H843" s="27" t="s">
        <v>196</v>
      </c>
      <c r="I843" s="42" t="n">
        <f aca="false">(D843-INDEX('Cohort Summary'!$D$5:$D$14,MATCH($A843,'Cohort Summary'!$A$5:$A$14,0)))/INDEX('Cohort Summary'!$E$5:$E$14,MATCH($A843,'Cohort Summary'!$A$5:$A$14,0))</f>
        <v>-0.944444444444444</v>
      </c>
      <c r="J843" s="42" t="n">
        <f aca="false">(E843-INDEX('Cohort Summary'!$F$5:$F$14,MATCH($A843,'Cohort Summary'!$A$5:$A$14,0)))/INDEX('Cohort Summary'!$G$5:$G$14,MATCH($A843,'Cohort Summary'!$A$5:$A$14,0))</f>
        <v>-0.787037037037037</v>
      </c>
      <c r="K843" s="42" t="n">
        <f aca="false">(F843-INDEX('Cohort Summary'!$H$5:$H$14,MATCH($A843,'Cohort Summary'!$A$5:$A$14,0)))/INDEX('Cohort Summary'!$I$5:$I$14,MATCH($A843,'Cohort Summary'!$A$5:$A$14,0))</f>
        <v>-0.768683274021351</v>
      </c>
      <c r="L843" s="42" t="n">
        <f aca="false">(G843-INDEX('Cohort Summary'!$J$5:$J$14,MATCH($A843,'Cohort Summary'!$A$5:$A$14,0)))/INDEX('Cohort Summary'!$K$5:$K$14,MATCH($A843,'Cohort Summary'!$A$5:$A$14,0))</f>
        <v>0.126984126984124</v>
      </c>
      <c r="M843" s="42" t="n">
        <f aca="false">MAX(I843:K843)</f>
        <v>-0.768683274021351</v>
      </c>
      <c r="N843" s="27" t="s">
        <v>197</v>
      </c>
      <c r="O843" s="27"/>
      <c r="P843" s="27" t="str">
        <f aca="false">A843&amp;"|"&amp;N843</f>
        <v>NURSE-05|normal</v>
      </c>
    </row>
    <row r="844" customFormat="false" ht="15" hidden="false" customHeight="true" outlineLevel="0" collapsed="false">
      <c r="A844" s="27" t="s">
        <v>86</v>
      </c>
      <c r="B844" s="41" t="n">
        <v>46303.30625</v>
      </c>
      <c r="C844" s="27" t="s">
        <v>195</v>
      </c>
      <c r="D844" s="27" t="n">
        <v>69.8</v>
      </c>
      <c r="E844" s="27" t="n">
        <v>22.4</v>
      </c>
      <c r="F844" s="27" t="n">
        <v>45.1</v>
      </c>
      <c r="G844" s="27" t="n">
        <v>33.6</v>
      </c>
      <c r="H844" s="27" t="s">
        <v>198</v>
      </c>
      <c r="I844" s="42" t="n">
        <f aca="false">(D844-INDEX('Cohort Summary'!$D$5:$D$14,MATCH($A844,'Cohort Summary'!$A$5:$A$14,0)))/INDEX('Cohort Summary'!$E$5:$E$14,MATCH($A844,'Cohort Summary'!$A$5:$A$14,0))</f>
        <v>1.52083333333333</v>
      </c>
      <c r="J844" s="42" t="n">
        <f aca="false">(E844-INDEX('Cohort Summary'!$F$5:$F$14,MATCH($A844,'Cohort Summary'!$A$5:$A$14,0)))/INDEX('Cohort Summary'!$G$5:$G$14,MATCH($A844,'Cohort Summary'!$A$5:$A$14,0))</f>
        <v>0.694444444444444</v>
      </c>
      <c r="K844" s="42" t="n">
        <f aca="false">(F844-INDEX('Cohort Summary'!$H$5:$H$14,MATCH($A844,'Cohort Summary'!$A$5:$A$14,0)))/INDEX('Cohort Summary'!$I$5:$I$14,MATCH($A844,'Cohort Summary'!$A$5:$A$14,0))</f>
        <v>-1.80071174377224</v>
      </c>
      <c r="L844" s="42" t="n">
        <f aca="false">(G844-INDEX('Cohort Summary'!$J$5:$J$14,MATCH($A844,'Cohort Summary'!$A$5:$A$14,0)))/INDEX('Cohort Summary'!$K$5:$K$14,MATCH($A844,'Cohort Summary'!$A$5:$A$14,0))</f>
        <v>-1.3015873015873</v>
      </c>
      <c r="M844" s="42" t="n">
        <f aca="false">MAX(I844:K844)</f>
        <v>1.52083333333333</v>
      </c>
      <c r="N844" s="27" t="s">
        <v>197</v>
      </c>
      <c r="O844" s="27"/>
      <c r="P844" s="27" t="str">
        <f aca="false">A844&amp;"|"&amp;N844</f>
        <v>NURSE-05|normal</v>
      </c>
    </row>
    <row r="845" customFormat="false" ht="15" hidden="false" customHeight="true" outlineLevel="0" collapsed="false">
      <c r="A845" s="27" t="s">
        <v>86</v>
      </c>
      <c r="B845" s="41" t="n">
        <v>46303.3065972222</v>
      </c>
      <c r="C845" s="27" t="s">
        <v>195</v>
      </c>
      <c r="D845" s="27" t="n">
        <v>66.8</v>
      </c>
      <c r="E845" s="27" t="n">
        <v>22.4</v>
      </c>
      <c r="F845" s="27" t="n">
        <v>47.1</v>
      </c>
      <c r="G845" s="27" t="n">
        <v>34.3</v>
      </c>
      <c r="H845" s="27" t="s">
        <v>199</v>
      </c>
      <c r="I845" s="42" t="n">
        <f aca="false">(D845-INDEX('Cohort Summary'!$D$5:$D$14,MATCH($A845,'Cohort Summary'!$A$5:$A$14,0)))/INDEX('Cohort Summary'!$E$5:$E$14,MATCH($A845,'Cohort Summary'!$A$5:$A$14,0))</f>
        <v>0.479166666666665</v>
      </c>
      <c r="J845" s="42" t="n">
        <f aca="false">(E845-INDEX('Cohort Summary'!$F$5:$F$14,MATCH($A845,'Cohort Summary'!$A$5:$A$14,0)))/INDEX('Cohort Summary'!$G$5:$G$14,MATCH($A845,'Cohort Summary'!$A$5:$A$14,0))</f>
        <v>0.694444444444444</v>
      </c>
      <c r="K845" s="42" t="n">
        <f aca="false">(F845-INDEX('Cohort Summary'!$H$5:$H$14,MATCH($A845,'Cohort Summary'!$A$5:$A$14,0)))/INDEX('Cohort Summary'!$I$5:$I$14,MATCH($A845,'Cohort Summary'!$A$5:$A$14,0))</f>
        <v>-1.08896797153025</v>
      </c>
      <c r="L845" s="42" t="n">
        <f aca="false">(G845-INDEX('Cohort Summary'!$J$5:$J$14,MATCH($A845,'Cohort Summary'!$A$5:$A$14,0)))/INDEX('Cohort Summary'!$K$5:$K$14,MATCH($A845,'Cohort Summary'!$A$5:$A$14,0))</f>
        <v>-0.190476190476198</v>
      </c>
      <c r="M845" s="42" t="n">
        <f aca="false">MAX(I845:K845)</f>
        <v>0.694444444444444</v>
      </c>
      <c r="N845" s="27" t="s">
        <v>197</v>
      </c>
      <c r="O845" s="27"/>
      <c r="P845" s="27" t="str">
        <f aca="false">A845&amp;"|"&amp;N845</f>
        <v>NURSE-05|normal</v>
      </c>
    </row>
    <row r="846" customFormat="false" ht="15" hidden="false" customHeight="true" outlineLevel="0" collapsed="false">
      <c r="A846" s="27" t="s">
        <v>86</v>
      </c>
      <c r="B846" s="41" t="n">
        <v>46303.3069444444</v>
      </c>
      <c r="C846" s="27" t="s">
        <v>195</v>
      </c>
      <c r="D846" s="27" t="n">
        <v>69.2</v>
      </c>
      <c r="E846" s="27" t="n">
        <v>21</v>
      </c>
      <c r="F846" s="27" t="n">
        <v>47.1</v>
      </c>
      <c r="G846" s="27" t="n">
        <v>35</v>
      </c>
      <c r="H846" s="27" t="s">
        <v>198</v>
      </c>
      <c r="I846" s="42" t="n">
        <f aca="false">(D846-INDEX('Cohort Summary'!$D$5:$D$14,MATCH($A846,'Cohort Summary'!$A$5:$A$14,0)))/INDEX('Cohort Summary'!$E$5:$E$14,MATCH($A846,'Cohort Summary'!$A$5:$A$14,0))</f>
        <v>1.3125</v>
      </c>
      <c r="J846" s="42" t="n">
        <f aca="false">(E846-INDEX('Cohort Summary'!$F$5:$F$14,MATCH($A846,'Cohort Summary'!$A$5:$A$14,0)))/INDEX('Cohort Summary'!$G$5:$G$14,MATCH($A846,'Cohort Summary'!$A$5:$A$14,0))</f>
        <v>0.046296296296297</v>
      </c>
      <c r="K846" s="42" t="n">
        <f aca="false">(F846-INDEX('Cohort Summary'!$H$5:$H$14,MATCH($A846,'Cohort Summary'!$A$5:$A$14,0)))/INDEX('Cohort Summary'!$I$5:$I$14,MATCH($A846,'Cohort Summary'!$A$5:$A$14,0))</f>
        <v>-1.08896797153025</v>
      </c>
      <c r="L846" s="42" t="n">
        <f aca="false">(G846-INDEX('Cohort Summary'!$J$5:$J$14,MATCH($A846,'Cohort Summary'!$A$5:$A$14,0)))/INDEX('Cohort Summary'!$K$5:$K$14,MATCH($A846,'Cohort Summary'!$A$5:$A$14,0))</f>
        <v>0.920634920634918</v>
      </c>
      <c r="M846" s="42" t="n">
        <f aca="false">MAX(I846:K846)</f>
        <v>1.3125</v>
      </c>
      <c r="N846" s="27" t="s">
        <v>197</v>
      </c>
      <c r="O846" s="27"/>
      <c r="P846" s="27" t="str">
        <f aca="false">A846&amp;"|"&amp;N846</f>
        <v>NURSE-05|normal</v>
      </c>
    </row>
    <row r="847" customFormat="false" ht="15" hidden="false" customHeight="true" outlineLevel="0" collapsed="false">
      <c r="A847" s="27" t="s">
        <v>86</v>
      </c>
      <c r="B847" s="41" t="n">
        <v>46303.3072916667</v>
      </c>
      <c r="C847" s="27" t="s">
        <v>195</v>
      </c>
      <c r="D847" s="27" t="n">
        <v>69.1</v>
      </c>
      <c r="E847" s="27" t="n">
        <v>22.9</v>
      </c>
      <c r="F847" s="27" t="n">
        <v>52.2</v>
      </c>
      <c r="G847" s="27" t="n">
        <v>33.6</v>
      </c>
      <c r="H847" s="27" t="s">
        <v>196</v>
      </c>
      <c r="I847" s="42" t="n">
        <f aca="false">(D847-INDEX('Cohort Summary'!$D$5:$D$14,MATCH($A847,'Cohort Summary'!$A$5:$A$14,0)))/INDEX('Cohort Summary'!$E$5:$E$14,MATCH($A847,'Cohort Summary'!$A$5:$A$14,0))</f>
        <v>1.27777777777778</v>
      </c>
      <c r="J847" s="42" t="n">
        <f aca="false">(E847-INDEX('Cohort Summary'!$F$5:$F$14,MATCH($A847,'Cohort Summary'!$A$5:$A$14,0)))/INDEX('Cohort Summary'!$G$5:$G$14,MATCH($A847,'Cohort Summary'!$A$5:$A$14,0))</f>
        <v>0.925925925925926</v>
      </c>
      <c r="K847" s="42" t="n">
        <f aca="false">(F847-INDEX('Cohort Summary'!$H$5:$H$14,MATCH($A847,'Cohort Summary'!$A$5:$A$14,0)))/INDEX('Cohort Summary'!$I$5:$I$14,MATCH($A847,'Cohort Summary'!$A$5:$A$14,0))</f>
        <v>0.725978647686835</v>
      </c>
      <c r="L847" s="42" t="n">
        <f aca="false">(G847-INDEX('Cohort Summary'!$J$5:$J$14,MATCH($A847,'Cohort Summary'!$A$5:$A$14,0)))/INDEX('Cohort Summary'!$K$5:$K$14,MATCH($A847,'Cohort Summary'!$A$5:$A$14,0))</f>
        <v>-1.3015873015873</v>
      </c>
      <c r="M847" s="42" t="n">
        <f aca="false">MAX(I847:K847)</f>
        <v>1.27777777777778</v>
      </c>
      <c r="N847" s="27" t="s">
        <v>197</v>
      </c>
      <c r="O847" s="27"/>
      <c r="P847" s="27" t="str">
        <f aca="false">A847&amp;"|"&amp;N847</f>
        <v>NURSE-05|normal</v>
      </c>
    </row>
    <row r="848" customFormat="false" ht="15" hidden="false" customHeight="true" outlineLevel="0" collapsed="false">
      <c r="A848" s="27" t="s">
        <v>86</v>
      </c>
      <c r="B848" s="41" t="n">
        <v>46303.3076388889</v>
      </c>
      <c r="C848" s="27" t="s">
        <v>195</v>
      </c>
      <c r="D848" s="27" t="n">
        <v>61.4</v>
      </c>
      <c r="E848" s="27" t="n">
        <v>23.4</v>
      </c>
      <c r="F848" s="27" t="n">
        <v>53</v>
      </c>
      <c r="G848" s="27" t="n">
        <v>33.6</v>
      </c>
      <c r="H848" s="27" t="s">
        <v>196</v>
      </c>
      <c r="I848" s="42" t="n">
        <f aca="false">(D848-INDEX('Cohort Summary'!$D$5:$D$14,MATCH($A848,'Cohort Summary'!$A$5:$A$14,0)))/INDEX('Cohort Summary'!$E$5:$E$14,MATCH($A848,'Cohort Summary'!$A$5:$A$14,0))</f>
        <v>-1.39583333333333</v>
      </c>
      <c r="J848" s="42" t="n">
        <f aca="false">(E848-INDEX('Cohort Summary'!$F$5:$F$14,MATCH($A848,'Cohort Summary'!$A$5:$A$14,0)))/INDEX('Cohort Summary'!$G$5:$G$14,MATCH($A848,'Cohort Summary'!$A$5:$A$14,0))</f>
        <v>1.15740740740741</v>
      </c>
      <c r="K848" s="42" t="n">
        <f aca="false">(F848-INDEX('Cohort Summary'!$H$5:$H$14,MATCH($A848,'Cohort Summary'!$A$5:$A$14,0)))/INDEX('Cohort Summary'!$I$5:$I$14,MATCH($A848,'Cohort Summary'!$A$5:$A$14,0))</f>
        <v>1.01067615658363</v>
      </c>
      <c r="L848" s="42" t="n">
        <f aca="false">(G848-INDEX('Cohort Summary'!$J$5:$J$14,MATCH($A848,'Cohort Summary'!$A$5:$A$14,0)))/INDEX('Cohort Summary'!$K$5:$K$14,MATCH($A848,'Cohort Summary'!$A$5:$A$14,0))</f>
        <v>-1.3015873015873</v>
      </c>
      <c r="M848" s="42" t="n">
        <f aca="false">MAX(I848:K848)</f>
        <v>1.15740740740741</v>
      </c>
      <c r="N848" s="27" t="s">
        <v>197</v>
      </c>
      <c r="O848" s="27"/>
      <c r="P848" s="27" t="str">
        <f aca="false">A848&amp;"|"&amp;N848</f>
        <v>NURSE-05|normal</v>
      </c>
    </row>
    <row r="849" customFormat="false" ht="15" hidden="false" customHeight="true" outlineLevel="0" collapsed="false">
      <c r="A849" s="27" t="s">
        <v>86</v>
      </c>
      <c r="B849" s="41" t="n">
        <v>46303.3079861111</v>
      </c>
      <c r="C849" s="27" t="s">
        <v>195</v>
      </c>
      <c r="D849" s="27" t="n">
        <v>69.4</v>
      </c>
      <c r="E849" s="27" t="n">
        <v>20.1</v>
      </c>
      <c r="F849" s="27" t="n">
        <v>52.1</v>
      </c>
      <c r="G849" s="27" t="n">
        <v>34</v>
      </c>
      <c r="H849" s="27" t="s">
        <v>199</v>
      </c>
      <c r="I849" s="42" t="n">
        <f aca="false">(D849-INDEX('Cohort Summary'!$D$5:$D$14,MATCH($A849,'Cohort Summary'!$A$5:$A$14,0)))/INDEX('Cohort Summary'!$E$5:$E$14,MATCH($A849,'Cohort Summary'!$A$5:$A$14,0))</f>
        <v>1.38194444444445</v>
      </c>
      <c r="J849" s="42" t="n">
        <f aca="false">(E849-INDEX('Cohort Summary'!$F$5:$F$14,MATCH($A849,'Cohort Summary'!$A$5:$A$14,0)))/INDEX('Cohort Summary'!$G$5:$G$14,MATCH($A849,'Cohort Summary'!$A$5:$A$14,0))</f>
        <v>-0.370370370370369</v>
      </c>
      <c r="K849" s="42" t="n">
        <f aca="false">(F849-INDEX('Cohort Summary'!$H$5:$H$14,MATCH($A849,'Cohort Summary'!$A$5:$A$14,0)))/INDEX('Cohort Summary'!$I$5:$I$14,MATCH($A849,'Cohort Summary'!$A$5:$A$14,0))</f>
        <v>0.690391459074735</v>
      </c>
      <c r="L849" s="42" t="n">
        <f aca="false">(G849-INDEX('Cohort Summary'!$J$5:$J$14,MATCH($A849,'Cohort Summary'!$A$5:$A$14,0)))/INDEX('Cohort Summary'!$K$5:$K$14,MATCH($A849,'Cohort Summary'!$A$5:$A$14,0))</f>
        <v>-0.666666666666669</v>
      </c>
      <c r="M849" s="42" t="n">
        <f aca="false">MAX(I849:K849)</f>
        <v>1.38194444444445</v>
      </c>
      <c r="N849" s="27" t="s">
        <v>197</v>
      </c>
      <c r="O849" s="27"/>
      <c r="P849" s="27" t="str">
        <f aca="false">A849&amp;"|"&amp;N849</f>
        <v>NURSE-05|normal</v>
      </c>
    </row>
    <row r="850" customFormat="false" ht="15" hidden="false" customHeight="true" outlineLevel="0" collapsed="false">
      <c r="A850" s="27" t="s">
        <v>86</v>
      </c>
      <c r="B850" s="41" t="n">
        <v>46303.3083333333</v>
      </c>
      <c r="C850" s="27" t="s">
        <v>195</v>
      </c>
      <c r="D850" s="27" t="n">
        <v>68.5</v>
      </c>
      <c r="E850" s="27" t="n">
        <v>17.2</v>
      </c>
      <c r="F850" s="27" t="n">
        <v>48.8</v>
      </c>
      <c r="G850" s="27" t="n">
        <v>33.8</v>
      </c>
      <c r="H850" s="27" t="s">
        <v>198</v>
      </c>
      <c r="I850" s="42" t="n">
        <f aca="false">(D850-INDEX('Cohort Summary'!$D$5:$D$14,MATCH($A850,'Cohort Summary'!$A$5:$A$14,0)))/INDEX('Cohort Summary'!$E$5:$E$14,MATCH($A850,'Cohort Summary'!$A$5:$A$14,0))</f>
        <v>1.06944444444444</v>
      </c>
      <c r="J850" s="42" t="n">
        <f aca="false">(E850-INDEX('Cohort Summary'!$F$5:$F$14,MATCH($A850,'Cohort Summary'!$A$5:$A$14,0)))/INDEX('Cohort Summary'!$G$5:$G$14,MATCH($A850,'Cohort Summary'!$A$5:$A$14,0))</f>
        <v>-1.71296296296296</v>
      </c>
      <c r="K850" s="42" t="n">
        <f aca="false">(F850-INDEX('Cohort Summary'!$H$5:$H$14,MATCH($A850,'Cohort Summary'!$A$5:$A$14,0)))/INDEX('Cohort Summary'!$I$5:$I$14,MATCH($A850,'Cohort Summary'!$A$5:$A$14,0))</f>
        <v>-0.483985765124555</v>
      </c>
      <c r="L850" s="42" t="n">
        <f aca="false">(G850-INDEX('Cohort Summary'!$J$5:$J$14,MATCH($A850,'Cohort Summary'!$A$5:$A$14,0)))/INDEX('Cohort Summary'!$K$5:$K$14,MATCH($A850,'Cohort Summary'!$A$5:$A$14,0))</f>
        <v>-0.984126984126991</v>
      </c>
      <c r="M850" s="42" t="n">
        <f aca="false">MAX(I850:K850)</f>
        <v>1.06944444444444</v>
      </c>
      <c r="N850" s="27" t="s">
        <v>197</v>
      </c>
      <c r="O850" s="27"/>
      <c r="P850" s="27" t="str">
        <f aca="false">A850&amp;"|"&amp;N850</f>
        <v>NURSE-05|normal</v>
      </c>
    </row>
    <row r="851" customFormat="false" ht="15" hidden="false" customHeight="true" outlineLevel="0" collapsed="false">
      <c r="A851" s="27" t="s">
        <v>86</v>
      </c>
      <c r="B851" s="41" t="n">
        <v>46303.3086805556</v>
      </c>
      <c r="C851" s="27" t="s">
        <v>195</v>
      </c>
      <c r="D851" s="27" t="n">
        <v>69.8</v>
      </c>
      <c r="E851" s="27" t="n">
        <v>21.6</v>
      </c>
      <c r="F851" s="27" t="n">
        <v>54.3</v>
      </c>
      <c r="G851" s="27" t="n">
        <v>35</v>
      </c>
      <c r="H851" s="27" t="s">
        <v>199</v>
      </c>
      <c r="I851" s="42" t="n">
        <f aca="false">(D851-INDEX('Cohort Summary'!$D$5:$D$14,MATCH($A851,'Cohort Summary'!$A$5:$A$14,0)))/INDEX('Cohort Summary'!$E$5:$E$14,MATCH($A851,'Cohort Summary'!$A$5:$A$14,0))</f>
        <v>1.52083333333333</v>
      </c>
      <c r="J851" s="42" t="n">
        <f aca="false">(E851-INDEX('Cohort Summary'!$F$5:$F$14,MATCH($A851,'Cohort Summary'!$A$5:$A$14,0)))/INDEX('Cohort Summary'!$G$5:$G$14,MATCH($A851,'Cohort Summary'!$A$5:$A$14,0))</f>
        <v>0.324074074074075</v>
      </c>
      <c r="K851" s="42" t="n">
        <f aca="false">(F851-INDEX('Cohort Summary'!$H$5:$H$14,MATCH($A851,'Cohort Summary'!$A$5:$A$14,0)))/INDEX('Cohort Summary'!$I$5:$I$14,MATCH($A851,'Cohort Summary'!$A$5:$A$14,0))</f>
        <v>1.47330960854093</v>
      </c>
      <c r="L851" s="42" t="n">
        <f aca="false">(G851-INDEX('Cohort Summary'!$J$5:$J$14,MATCH($A851,'Cohort Summary'!$A$5:$A$14,0)))/INDEX('Cohort Summary'!$K$5:$K$14,MATCH($A851,'Cohort Summary'!$A$5:$A$14,0))</f>
        <v>0.920634920634918</v>
      </c>
      <c r="M851" s="42" t="n">
        <f aca="false">MAX(I851:K851)</f>
        <v>1.52083333333333</v>
      </c>
      <c r="N851" s="27" t="s">
        <v>197</v>
      </c>
      <c r="O851" s="27"/>
      <c r="P851" s="27" t="str">
        <f aca="false">A851&amp;"|"&amp;N851</f>
        <v>NURSE-05|normal</v>
      </c>
    </row>
    <row r="852" customFormat="false" ht="15" hidden="false" customHeight="true" outlineLevel="0" collapsed="false">
      <c r="A852" s="27" t="s">
        <v>86</v>
      </c>
      <c r="B852" s="41" t="n">
        <v>46303.3090277778</v>
      </c>
      <c r="C852" s="27" t="s">
        <v>195</v>
      </c>
      <c r="D852" s="27" t="n">
        <v>62.7</v>
      </c>
      <c r="E852" s="27" t="n">
        <v>18.7</v>
      </c>
      <c r="F852" s="27" t="n">
        <v>49.1</v>
      </c>
      <c r="G852" s="27" t="n">
        <v>33.5</v>
      </c>
      <c r="H852" s="27" t="s">
        <v>198</v>
      </c>
      <c r="I852" s="42" t="n">
        <f aca="false">(D852-INDEX('Cohort Summary'!$D$5:$D$14,MATCH($A852,'Cohort Summary'!$A$5:$A$14,0)))/INDEX('Cohort Summary'!$E$5:$E$14,MATCH($A852,'Cohort Summary'!$A$5:$A$14,0))</f>
        <v>-0.944444444444444</v>
      </c>
      <c r="J852" s="42" t="n">
        <f aca="false">(E852-INDEX('Cohort Summary'!$F$5:$F$14,MATCH($A852,'Cohort Summary'!$A$5:$A$14,0)))/INDEX('Cohort Summary'!$G$5:$G$14,MATCH($A852,'Cohort Summary'!$A$5:$A$14,0))</f>
        <v>-1.01851851851852</v>
      </c>
      <c r="K852" s="42" t="n">
        <f aca="false">(F852-INDEX('Cohort Summary'!$H$5:$H$14,MATCH($A852,'Cohort Summary'!$A$5:$A$14,0)))/INDEX('Cohort Summary'!$I$5:$I$14,MATCH($A852,'Cohort Summary'!$A$5:$A$14,0))</f>
        <v>-0.377224199288255</v>
      </c>
      <c r="L852" s="42" t="n">
        <f aca="false">(G852-INDEX('Cohort Summary'!$J$5:$J$14,MATCH($A852,'Cohort Summary'!$A$5:$A$14,0)))/INDEX('Cohort Summary'!$K$5:$K$14,MATCH($A852,'Cohort Summary'!$A$5:$A$14,0))</f>
        <v>-1.46031746031746</v>
      </c>
      <c r="M852" s="42" t="n">
        <f aca="false">MAX(I852:K852)</f>
        <v>-0.377224199288255</v>
      </c>
      <c r="N852" s="27" t="s">
        <v>197</v>
      </c>
      <c r="O852" s="27"/>
      <c r="P852" s="27" t="str">
        <f aca="false">A852&amp;"|"&amp;N852</f>
        <v>NURSE-05|normal</v>
      </c>
    </row>
    <row r="853" customFormat="false" ht="15" hidden="false" customHeight="true" outlineLevel="0" collapsed="false">
      <c r="A853" s="27" t="s">
        <v>86</v>
      </c>
      <c r="B853" s="41" t="n">
        <v>46303.309375</v>
      </c>
      <c r="C853" s="27" t="s">
        <v>195</v>
      </c>
      <c r="D853" s="27" t="n">
        <v>65.4</v>
      </c>
      <c r="E853" s="27" t="n">
        <v>19.5</v>
      </c>
      <c r="F853" s="27" t="n">
        <v>53.2</v>
      </c>
      <c r="G853" s="27" t="n">
        <v>33.5</v>
      </c>
      <c r="H853" s="27" t="s">
        <v>198</v>
      </c>
      <c r="I853" s="42" t="n">
        <f aca="false">(D853-INDEX('Cohort Summary'!$D$5:$D$14,MATCH($A853,'Cohort Summary'!$A$5:$A$14,0)))/INDEX('Cohort Summary'!$E$5:$E$14,MATCH($A853,'Cohort Summary'!$A$5:$A$14,0))</f>
        <v>-0.00694444444444306</v>
      </c>
      <c r="J853" s="42" t="n">
        <f aca="false">(E853-INDEX('Cohort Summary'!$F$5:$F$14,MATCH($A853,'Cohort Summary'!$A$5:$A$14,0)))/INDEX('Cohort Summary'!$G$5:$G$14,MATCH($A853,'Cohort Summary'!$A$5:$A$14,0))</f>
        <v>-0.648148148148148</v>
      </c>
      <c r="K853" s="42" t="n">
        <f aca="false">(F853-INDEX('Cohort Summary'!$H$5:$H$14,MATCH($A853,'Cohort Summary'!$A$5:$A$14,0)))/INDEX('Cohort Summary'!$I$5:$I$14,MATCH($A853,'Cohort Summary'!$A$5:$A$14,0))</f>
        <v>1.08185053380783</v>
      </c>
      <c r="L853" s="42" t="n">
        <f aca="false">(G853-INDEX('Cohort Summary'!$J$5:$J$14,MATCH($A853,'Cohort Summary'!$A$5:$A$14,0)))/INDEX('Cohort Summary'!$K$5:$K$14,MATCH($A853,'Cohort Summary'!$A$5:$A$14,0))</f>
        <v>-1.46031746031746</v>
      </c>
      <c r="M853" s="42" t="n">
        <f aca="false">MAX(I853:K853)</f>
        <v>1.08185053380783</v>
      </c>
      <c r="N853" s="27" t="s">
        <v>197</v>
      </c>
      <c r="O853" s="27"/>
      <c r="P853" s="27" t="str">
        <f aca="false">A853&amp;"|"&amp;N853</f>
        <v>NURSE-05|normal</v>
      </c>
    </row>
    <row r="854" customFormat="false" ht="15" hidden="false" customHeight="true" outlineLevel="0" collapsed="false">
      <c r="A854" s="27" t="s">
        <v>86</v>
      </c>
      <c r="B854" s="41" t="n">
        <v>46303.3097222222</v>
      </c>
      <c r="C854" s="27" t="s">
        <v>195</v>
      </c>
      <c r="D854" s="27" t="n">
        <v>68.9</v>
      </c>
      <c r="E854" s="27" t="n">
        <v>22.6</v>
      </c>
      <c r="F854" s="27" t="n">
        <v>50.3</v>
      </c>
      <c r="G854" s="27" t="n">
        <v>33.7</v>
      </c>
      <c r="H854" s="27" t="s">
        <v>199</v>
      </c>
      <c r="I854" s="42" t="n">
        <f aca="false">(D854-INDEX('Cohort Summary'!$D$5:$D$14,MATCH($A854,'Cohort Summary'!$A$5:$A$14,0)))/INDEX('Cohort Summary'!$E$5:$E$14,MATCH($A854,'Cohort Summary'!$A$5:$A$14,0))</f>
        <v>1.20833333333333</v>
      </c>
      <c r="J854" s="42" t="n">
        <f aca="false">(E854-INDEX('Cohort Summary'!$F$5:$F$14,MATCH($A854,'Cohort Summary'!$A$5:$A$14,0)))/INDEX('Cohort Summary'!$G$5:$G$14,MATCH($A854,'Cohort Summary'!$A$5:$A$14,0))</f>
        <v>0.787037037037038</v>
      </c>
      <c r="K854" s="42" t="n">
        <f aca="false">(F854-INDEX('Cohort Summary'!$H$5:$H$14,MATCH($A854,'Cohort Summary'!$A$5:$A$14,0)))/INDEX('Cohort Summary'!$I$5:$I$14,MATCH($A854,'Cohort Summary'!$A$5:$A$14,0))</f>
        <v>0.0498220640569397</v>
      </c>
      <c r="L854" s="42" t="n">
        <f aca="false">(G854-INDEX('Cohort Summary'!$J$5:$J$14,MATCH($A854,'Cohort Summary'!$A$5:$A$14,0)))/INDEX('Cohort Summary'!$K$5:$K$14,MATCH($A854,'Cohort Summary'!$A$5:$A$14,0))</f>
        <v>-1.14285714285714</v>
      </c>
      <c r="M854" s="42" t="n">
        <f aca="false">MAX(I854:K854)</f>
        <v>1.20833333333333</v>
      </c>
      <c r="N854" s="27" t="s">
        <v>197</v>
      </c>
      <c r="O854" s="27"/>
      <c r="P854" s="27" t="str">
        <f aca="false">A854&amp;"|"&amp;N854</f>
        <v>NURSE-05|normal</v>
      </c>
    </row>
    <row r="855" customFormat="false" ht="15" hidden="false" customHeight="true" outlineLevel="0" collapsed="false">
      <c r="A855" s="27" t="s">
        <v>86</v>
      </c>
      <c r="B855" s="41" t="n">
        <v>46303.3100694444</v>
      </c>
      <c r="C855" s="27" t="s">
        <v>195</v>
      </c>
      <c r="D855" s="27" t="n">
        <v>64.3</v>
      </c>
      <c r="E855" s="27" t="n">
        <v>19.4</v>
      </c>
      <c r="F855" s="27" t="n">
        <v>45.6</v>
      </c>
      <c r="G855" s="27" t="n">
        <v>33.7</v>
      </c>
      <c r="H855" s="27" t="s">
        <v>199</v>
      </c>
      <c r="I855" s="42" t="n">
        <f aca="false">(D855-INDEX('Cohort Summary'!$D$5:$D$14,MATCH($A855,'Cohort Summary'!$A$5:$A$14,0)))/INDEX('Cohort Summary'!$E$5:$E$14,MATCH($A855,'Cohort Summary'!$A$5:$A$14,0))</f>
        <v>-0.388888888888891</v>
      </c>
      <c r="J855" s="42" t="n">
        <f aca="false">(E855-INDEX('Cohort Summary'!$F$5:$F$14,MATCH($A855,'Cohort Summary'!$A$5:$A$14,0)))/INDEX('Cohort Summary'!$G$5:$G$14,MATCH($A855,'Cohort Summary'!$A$5:$A$14,0))</f>
        <v>-0.694444444444444</v>
      </c>
      <c r="K855" s="42" t="n">
        <f aca="false">(F855-INDEX('Cohort Summary'!$H$5:$H$14,MATCH($A855,'Cohort Summary'!$A$5:$A$14,0)))/INDEX('Cohort Summary'!$I$5:$I$14,MATCH($A855,'Cohort Summary'!$A$5:$A$14,0))</f>
        <v>-1.62277580071174</v>
      </c>
      <c r="L855" s="42" t="n">
        <f aca="false">(G855-INDEX('Cohort Summary'!$J$5:$J$14,MATCH($A855,'Cohort Summary'!$A$5:$A$14,0)))/INDEX('Cohort Summary'!$K$5:$K$14,MATCH($A855,'Cohort Summary'!$A$5:$A$14,0))</f>
        <v>-1.14285714285714</v>
      </c>
      <c r="M855" s="42" t="n">
        <f aca="false">MAX(I855:K855)</f>
        <v>-0.388888888888891</v>
      </c>
      <c r="N855" s="27" t="s">
        <v>197</v>
      </c>
      <c r="O855" s="27"/>
      <c r="P855" s="27" t="str">
        <f aca="false">A855&amp;"|"&amp;N855</f>
        <v>NURSE-05|normal</v>
      </c>
    </row>
    <row r="856" customFormat="false" ht="15" hidden="false" customHeight="true" outlineLevel="0" collapsed="false">
      <c r="A856" s="27" t="s">
        <v>86</v>
      </c>
      <c r="B856" s="41" t="n">
        <v>46303.3104166667</v>
      </c>
      <c r="C856" s="27" t="s">
        <v>195</v>
      </c>
      <c r="D856" s="27" t="n">
        <v>61.6</v>
      </c>
      <c r="E856" s="27" t="n">
        <v>20.7</v>
      </c>
      <c r="F856" s="27" t="n">
        <v>51.5</v>
      </c>
      <c r="G856" s="27" t="n">
        <v>34.6</v>
      </c>
      <c r="H856" s="27" t="s">
        <v>199</v>
      </c>
      <c r="I856" s="42" t="n">
        <f aca="false">(D856-INDEX('Cohort Summary'!$D$5:$D$14,MATCH($A856,'Cohort Summary'!$A$5:$A$14,0)))/INDEX('Cohort Summary'!$E$5:$E$14,MATCH($A856,'Cohort Summary'!$A$5:$A$14,0))</f>
        <v>-1.32638888888889</v>
      </c>
      <c r="J856" s="42" t="n">
        <f aca="false">(E856-INDEX('Cohort Summary'!$F$5:$F$14,MATCH($A856,'Cohort Summary'!$A$5:$A$14,0)))/INDEX('Cohort Summary'!$G$5:$G$14,MATCH($A856,'Cohort Summary'!$A$5:$A$14,0))</f>
        <v>-0.0925925925925923</v>
      </c>
      <c r="K856" s="42" t="n">
        <f aca="false">(F856-INDEX('Cohort Summary'!$H$5:$H$14,MATCH($A856,'Cohort Summary'!$A$5:$A$14,0)))/INDEX('Cohort Summary'!$I$5:$I$14,MATCH($A856,'Cohort Summary'!$A$5:$A$14,0))</f>
        <v>0.476868327402136</v>
      </c>
      <c r="L856" s="42" t="n">
        <f aca="false">(G856-INDEX('Cohort Summary'!$J$5:$J$14,MATCH($A856,'Cohort Summary'!$A$5:$A$14,0)))/INDEX('Cohort Summary'!$K$5:$K$14,MATCH($A856,'Cohort Summary'!$A$5:$A$14,0))</f>
        <v>0.285714285714285</v>
      </c>
      <c r="M856" s="42" t="n">
        <f aca="false">MAX(I856:K856)</f>
        <v>0.476868327402136</v>
      </c>
      <c r="N856" s="27" t="s">
        <v>197</v>
      </c>
      <c r="O856" s="27"/>
      <c r="P856" s="27" t="str">
        <f aca="false">A856&amp;"|"&amp;N856</f>
        <v>NURSE-05|normal</v>
      </c>
    </row>
    <row r="857" customFormat="false" ht="15" hidden="false" customHeight="true" outlineLevel="0" collapsed="false">
      <c r="A857" s="27" t="s">
        <v>86</v>
      </c>
      <c r="B857" s="41" t="n">
        <v>46303.3107638889</v>
      </c>
      <c r="C857" s="27" t="s">
        <v>195</v>
      </c>
      <c r="D857" s="27" t="n">
        <v>69.3</v>
      </c>
      <c r="E857" s="27" t="n">
        <v>20.6</v>
      </c>
      <c r="F857" s="27" t="n">
        <v>52.8</v>
      </c>
      <c r="G857" s="27" t="n">
        <v>34.8</v>
      </c>
      <c r="H857" s="27" t="s">
        <v>196</v>
      </c>
      <c r="I857" s="42" t="n">
        <f aca="false">(D857-INDEX('Cohort Summary'!$D$5:$D$14,MATCH($A857,'Cohort Summary'!$A$5:$A$14,0)))/INDEX('Cohort Summary'!$E$5:$E$14,MATCH($A857,'Cohort Summary'!$A$5:$A$14,0))</f>
        <v>1.34722222222222</v>
      </c>
      <c r="J857" s="42" t="n">
        <f aca="false">(E857-INDEX('Cohort Summary'!$F$5:$F$14,MATCH($A857,'Cohort Summary'!$A$5:$A$14,0)))/INDEX('Cohort Summary'!$G$5:$G$14,MATCH($A857,'Cohort Summary'!$A$5:$A$14,0))</f>
        <v>-0.138888888888888</v>
      </c>
      <c r="K857" s="42" t="n">
        <f aca="false">(F857-INDEX('Cohort Summary'!$H$5:$H$14,MATCH($A857,'Cohort Summary'!$A$5:$A$14,0)))/INDEX('Cohort Summary'!$I$5:$I$14,MATCH($A857,'Cohort Summary'!$A$5:$A$14,0))</f>
        <v>0.939501779359431</v>
      </c>
      <c r="L857" s="42" t="n">
        <f aca="false">(G857-INDEX('Cohort Summary'!$J$5:$J$14,MATCH($A857,'Cohort Summary'!$A$5:$A$14,0)))/INDEX('Cohort Summary'!$K$5:$K$14,MATCH($A857,'Cohort Summary'!$A$5:$A$14,0))</f>
        <v>0.603174603174596</v>
      </c>
      <c r="M857" s="42" t="n">
        <f aca="false">MAX(I857:K857)</f>
        <v>1.34722222222222</v>
      </c>
      <c r="N857" s="27" t="s">
        <v>197</v>
      </c>
      <c r="O857" s="27"/>
      <c r="P857" s="27" t="str">
        <f aca="false">A857&amp;"|"&amp;N857</f>
        <v>NURSE-05|normal</v>
      </c>
    </row>
    <row r="858" customFormat="false" ht="15" hidden="false" customHeight="true" outlineLevel="0" collapsed="false">
      <c r="A858" s="27" t="s">
        <v>86</v>
      </c>
      <c r="B858" s="41" t="n">
        <v>46303.3111111111</v>
      </c>
      <c r="C858" s="27" t="s">
        <v>195</v>
      </c>
      <c r="D858" s="27" t="n">
        <v>62.1</v>
      </c>
      <c r="E858" s="27" t="n">
        <v>19</v>
      </c>
      <c r="F858" s="27" t="n">
        <v>54.1</v>
      </c>
      <c r="G858" s="27" t="n">
        <v>33.5</v>
      </c>
      <c r="H858" s="27" t="s">
        <v>199</v>
      </c>
      <c r="I858" s="42" t="n">
        <f aca="false">(D858-INDEX('Cohort Summary'!$D$5:$D$14,MATCH($A858,'Cohort Summary'!$A$5:$A$14,0)))/INDEX('Cohort Summary'!$E$5:$E$14,MATCH($A858,'Cohort Summary'!$A$5:$A$14,0))</f>
        <v>-1.15277777777778</v>
      </c>
      <c r="J858" s="42" t="n">
        <f aca="false">(E858-INDEX('Cohort Summary'!$F$5:$F$14,MATCH($A858,'Cohort Summary'!$A$5:$A$14,0)))/INDEX('Cohort Summary'!$G$5:$G$14,MATCH($A858,'Cohort Summary'!$A$5:$A$14,0))</f>
        <v>-0.879629629629629</v>
      </c>
      <c r="K858" s="42" t="n">
        <f aca="false">(F858-INDEX('Cohort Summary'!$H$5:$H$14,MATCH($A858,'Cohort Summary'!$A$5:$A$14,0)))/INDEX('Cohort Summary'!$I$5:$I$14,MATCH($A858,'Cohort Summary'!$A$5:$A$14,0))</f>
        <v>1.40213523131673</v>
      </c>
      <c r="L858" s="42" t="n">
        <f aca="false">(G858-INDEX('Cohort Summary'!$J$5:$J$14,MATCH($A858,'Cohort Summary'!$A$5:$A$14,0)))/INDEX('Cohort Summary'!$K$5:$K$14,MATCH($A858,'Cohort Summary'!$A$5:$A$14,0))</f>
        <v>-1.46031746031746</v>
      </c>
      <c r="M858" s="42" t="n">
        <f aca="false">MAX(I858:K858)</f>
        <v>1.40213523131673</v>
      </c>
      <c r="N858" s="27" t="s">
        <v>197</v>
      </c>
      <c r="O858" s="27"/>
      <c r="P858" s="27" t="str">
        <f aca="false">A858&amp;"|"&amp;N858</f>
        <v>NURSE-05|normal</v>
      </c>
    </row>
    <row r="859" customFormat="false" ht="15" hidden="false" customHeight="true" outlineLevel="0" collapsed="false">
      <c r="A859" s="27" t="s">
        <v>86</v>
      </c>
      <c r="B859" s="41" t="n">
        <v>46303.3114583333</v>
      </c>
      <c r="C859" s="27" t="s">
        <v>195</v>
      </c>
      <c r="D859" s="27" t="n">
        <v>64.3</v>
      </c>
      <c r="E859" s="27" t="n">
        <v>17.8</v>
      </c>
      <c r="F859" s="27" t="n">
        <v>54.5</v>
      </c>
      <c r="G859" s="27" t="n">
        <v>34.7</v>
      </c>
      <c r="H859" s="27" t="s">
        <v>196</v>
      </c>
      <c r="I859" s="42" t="n">
        <f aca="false">(D859-INDEX('Cohort Summary'!$D$5:$D$14,MATCH($A859,'Cohort Summary'!$A$5:$A$14,0)))/INDEX('Cohort Summary'!$E$5:$E$14,MATCH($A859,'Cohort Summary'!$A$5:$A$14,0))</f>
        <v>-0.388888888888891</v>
      </c>
      <c r="J859" s="42" t="n">
        <f aca="false">(E859-INDEX('Cohort Summary'!$F$5:$F$14,MATCH($A859,'Cohort Summary'!$A$5:$A$14,0)))/INDEX('Cohort Summary'!$G$5:$G$14,MATCH($A859,'Cohort Summary'!$A$5:$A$14,0))</f>
        <v>-1.43518518518518</v>
      </c>
      <c r="K859" s="42" t="n">
        <f aca="false">(F859-INDEX('Cohort Summary'!$H$5:$H$14,MATCH($A859,'Cohort Summary'!$A$5:$A$14,0)))/INDEX('Cohort Summary'!$I$5:$I$14,MATCH($A859,'Cohort Summary'!$A$5:$A$14,0))</f>
        <v>1.54448398576513</v>
      </c>
      <c r="L859" s="42" t="n">
        <f aca="false">(G859-INDEX('Cohort Summary'!$J$5:$J$14,MATCH($A859,'Cohort Summary'!$A$5:$A$14,0)))/INDEX('Cohort Summary'!$K$5:$K$14,MATCH($A859,'Cohort Summary'!$A$5:$A$14,0))</f>
        <v>0.444444444444446</v>
      </c>
      <c r="M859" s="42" t="n">
        <f aca="false">MAX(I859:K859)</f>
        <v>1.54448398576513</v>
      </c>
      <c r="N859" s="27" t="s">
        <v>197</v>
      </c>
      <c r="O859" s="27"/>
      <c r="P859" s="27" t="str">
        <f aca="false">A859&amp;"|"&amp;N859</f>
        <v>NURSE-05|normal</v>
      </c>
    </row>
    <row r="860" customFormat="false" ht="15" hidden="false" customHeight="true" outlineLevel="0" collapsed="false">
      <c r="A860" s="27" t="s">
        <v>86</v>
      </c>
      <c r="B860" s="41" t="n">
        <v>46303.3118055556</v>
      </c>
      <c r="C860" s="27" t="s">
        <v>195</v>
      </c>
      <c r="D860" s="27" t="n">
        <v>66.9</v>
      </c>
      <c r="E860" s="27" t="n">
        <v>21.8</v>
      </c>
      <c r="F860" s="27" t="n">
        <v>52.5</v>
      </c>
      <c r="G860" s="27" t="n">
        <v>35</v>
      </c>
      <c r="H860" s="27" t="s">
        <v>198</v>
      </c>
      <c r="I860" s="42" t="n">
        <f aca="false">(D860-INDEX('Cohort Summary'!$D$5:$D$14,MATCH($A860,'Cohort Summary'!$A$5:$A$14,0)))/INDEX('Cohort Summary'!$E$5:$E$14,MATCH($A860,'Cohort Summary'!$A$5:$A$14,0))</f>
        <v>0.51388888888889</v>
      </c>
      <c r="J860" s="42" t="n">
        <f aca="false">(E860-INDEX('Cohort Summary'!$F$5:$F$14,MATCH($A860,'Cohort Summary'!$A$5:$A$14,0)))/INDEX('Cohort Summary'!$G$5:$G$14,MATCH($A860,'Cohort Summary'!$A$5:$A$14,0))</f>
        <v>0.416666666666668</v>
      </c>
      <c r="K860" s="42" t="n">
        <f aca="false">(F860-INDEX('Cohort Summary'!$H$5:$H$14,MATCH($A860,'Cohort Summary'!$A$5:$A$14,0)))/INDEX('Cohort Summary'!$I$5:$I$14,MATCH($A860,'Cohort Summary'!$A$5:$A$14,0))</f>
        <v>0.832740213523133</v>
      </c>
      <c r="L860" s="42" t="n">
        <f aca="false">(G860-INDEX('Cohort Summary'!$J$5:$J$14,MATCH($A860,'Cohort Summary'!$A$5:$A$14,0)))/INDEX('Cohort Summary'!$K$5:$K$14,MATCH($A860,'Cohort Summary'!$A$5:$A$14,0))</f>
        <v>0.920634920634918</v>
      </c>
      <c r="M860" s="42" t="n">
        <f aca="false">MAX(I860:K860)</f>
        <v>0.832740213523133</v>
      </c>
      <c r="N860" s="27" t="s">
        <v>197</v>
      </c>
      <c r="O860" s="27"/>
      <c r="P860" s="27" t="str">
        <f aca="false">A860&amp;"|"&amp;N860</f>
        <v>NURSE-05|normal</v>
      </c>
    </row>
    <row r="861" customFormat="false" ht="15" hidden="false" customHeight="true" outlineLevel="0" collapsed="false">
      <c r="A861" s="27" t="s">
        <v>86</v>
      </c>
      <c r="B861" s="41" t="n">
        <v>46303.3121527778</v>
      </c>
      <c r="C861" s="27" t="s">
        <v>195</v>
      </c>
      <c r="D861" s="27" t="n">
        <v>63.4</v>
      </c>
      <c r="E861" s="27" t="n">
        <v>23.7</v>
      </c>
      <c r="F861" s="27" t="n">
        <v>45.9</v>
      </c>
      <c r="G861" s="27" t="n">
        <v>35.2</v>
      </c>
      <c r="H861" s="27" t="s">
        <v>196</v>
      </c>
      <c r="I861" s="42" t="n">
        <f aca="false">(D861-INDEX('Cohort Summary'!$D$5:$D$14,MATCH($A861,'Cohort Summary'!$A$5:$A$14,0)))/INDEX('Cohort Summary'!$E$5:$E$14,MATCH($A861,'Cohort Summary'!$A$5:$A$14,0))</f>
        <v>-0.70138888888889</v>
      </c>
      <c r="J861" s="42" t="n">
        <f aca="false">(E861-INDEX('Cohort Summary'!$F$5:$F$14,MATCH($A861,'Cohort Summary'!$A$5:$A$14,0)))/INDEX('Cohort Summary'!$G$5:$G$14,MATCH($A861,'Cohort Summary'!$A$5:$A$14,0))</f>
        <v>1.2962962962963</v>
      </c>
      <c r="K861" s="42" t="n">
        <f aca="false">(F861-INDEX('Cohort Summary'!$H$5:$H$14,MATCH($A861,'Cohort Summary'!$A$5:$A$14,0)))/INDEX('Cohort Summary'!$I$5:$I$14,MATCH($A861,'Cohort Summary'!$A$5:$A$14,0))</f>
        <v>-1.51601423487544</v>
      </c>
      <c r="L861" s="42" t="n">
        <f aca="false">(G861-INDEX('Cohort Summary'!$J$5:$J$14,MATCH($A861,'Cohort Summary'!$A$5:$A$14,0)))/INDEX('Cohort Summary'!$K$5:$K$14,MATCH($A861,'Cohort Summary'!$A$5:$A$14,0))</f>
        <v>1.23809523809524</v>
      </c>
      <c r="M861" s="42" t="n">
        <f aca="false">MAX(I861:K861)</f>
        <v>1.2962962962963</v>
      </c>
      <c r="N861" s="27" t="s">
        <v>197</v>
      </c>
      <c r="O861" s="27"/>
      <c r="P861" s="27" t="str">
        <f aca="false">A861&amp;"|"&amp;N861</f>
        <v>NURSE-05|normal</v>
      </c>
    </row>
    <row r="862" customFormat="false" ht="15" hidden="false" customHeight="true" outlineLevel="0" collapsed="false">
      <c r="A862" s="27" t="s">
        <v>86</v>
      </c>
      <c r="B862" s="41" t="n">
        <v>46303.3125</v>
      </c>
      <c r="C862" s="27" t="s">
        <v>200</v>
      </c>
      <c r="D862" s="27" t="n">
        <v>62.6</v>
      </c>
      <c r="E862" s="27" t="n">
        <v>23.8</v>
      </c>
      <c r="F862" s="27" t="n">
        <v>51.4</v>
      </c>
      <c r="G862" s="27" t="n">
        <v>34.7</v>
      </c>
      <c r="H862" s="27" t="s">
        <v>196</v>
      </c>
      <c r="I862" s="42" t="n">
        <f aca="false">(D862-INDEX('Cohort Summary'!$D$5:$D$14,MATCH($A862,'Cohort Summary'!$A$5:$A$14,0)))/INDEX('Cohort Summary'!$E$5:$E$14,MATCH($A862,'Cohort Summary'!$A$5:$A$14,0))</f>
        <v>-0.979166666666667</v>
      </c>
      <c r="J862" s="42" t="n">
        <f aca="false">(E862-INDEX('Cohort Summary'!$F$5:$F$14,MATCH($A862,'Cohort Summary'!$A$5:$A$14,0)))/INDEX('Cohort Summary'!$G$5:$G$14,MATCH($A862,'Cohort Summary'!$A$5:$A$14,0))</f>
        <v>1.34259259259259</v>
      </c>
      <c r="K862" s="42" t="n">
        <f aca="false">(F862-INDEX('Cohort Summary'!$H$5:$H$14,MATCH($A862,'Cohort Summary'!$A$5:$A$14,0)))/INDEX('Cohort Summary'!$I$5:$I$14,MATCH($A862,'Cohort Summary'!$A$5:$A$14,0))</f>
        <v>0.441281138790036</v>
      </c>
      <c r="L862" s="42" t="n">
        <f aca="false">(G862-INDEX('Cohort Summary'!$J$5:$J$14,MATCH($A862,'Cohort Summary'!$A$5:$A$14,0)))/INDEX('Cohort Summary'!$K$5:$K$14,MATCH($A862,'Cohort Summary'!$A$5:$A$14,0))</f>
        <v>0.444444444444446</v>
      </c>
      <c r="M862" s="42" t="n">
        <f aca="false">MAX(I862:K862)</f>
        <v>1.34259259259259</v>
      </c>
      <c r="N862" s="27" t="s">
        <v>197</v>
      </c>
      <c r="O862" s="27"/>
      <c r="P862" s="27" t="str">
        <f aca="false">A862&amp;"|"&amp;N862</f>
        <v>NURSE-05|normal</v>
      </c>
    </row>
    <row r="863" customFormat="false" ht="15" hidden="false" customHeight="true" outlineLevel="0" collapsed="false">
      <c r="A863" s="27" t="s">
        <v>86</v>
      </c>
      <c r="B863" s="41" t="n">
        <v>46303.3128472222</v>
      </c>
      <c r="C863" s="27" t="s">
        <v>200</v>
      </c>
      <c r="D863" s="27" t="n">
        <v>60.7</v>
      </c>
      <c r="E863" s="27" t="n">
        <v>17.5</v>
      </c>
      <c r="F863" s="27" t="n">
        <v>48.9</v>
      </c>
      <c r="G863" s="27" t="n">
        <v>33.7</v>
      </c>
      <c r="H863" s="27" t="s">
        <v>196</v>
      </c>
      <c r="I863" s="42" t="n">
        <f aca="false">(D863-INDEX('Cohort Summary'!$D$5:$D$14,MATCH($A863,'Cohort Summary'!$A$5:$A$14,0)))/INDEX('Cohort Summary'!$E$5:$E$14,MATCH($A863,'Cohort Summary'!$A$5:$A$14,0))</f>
        <v>-1.63888888888889</v>
      </c>
      <c r="J863" s="42" t="n">
        <f aca="false">(E863-INDEX('Cohort Summary'!$F$5:$F$14,MATCH($A863,'Cohort Summary'!$A$5:$A$14,0)))/INDEX('Cohort Summary'!$G$5:$G$14,MATCH($A863,'Cohort Summary'!$A$5:$A$14,0))</f>
        <v>-1.57407407407407</v>
      </c>
      <c r="K863" s="42" t="n">
        <f aca="false">(F863-INDEX('Cohort Summary'!$H$5:$H$14,MATCH($A863,'Cohort Summary'!$A$5:$A$14,0)))/INDEX('Cohort Summary'!$I$5:$I$14,MATCH($A863,'Cohort Summary'!$A$5:$A$14,0))</f>
        <v>-0.448398576512455</v>
      </c>
      <c r="L863" s="42" t="n">
        <f aca="false">(G863-INDEX('Cohort Summary'!$J$5:$J$14,MATCH($A863,'Cohort Summary'!$A$5:$A$14,0)))/INDEX('Cohort Summary'!$K$5:$K$14,MATCH($A863,'Cohort Summary'!$A$5:$A$14,0))</f>
        <v>-1.14285714285714</v>
      </c>
      <c r="M863" s="42" t="n">
        <f aca="false">MAX(I863:K863)</f>
        <v>-0.448398576512455</v>
      </c>
      <c r="N863" s="27" t="s">
        <v>197</v>
      </c>
      <c r="O863" s="27"/>
      <c r="P863" s="27" t="str">
        <f aca="false">A863&amp;"|"&amp;N863</f>
        <v>NURSE-05|normal</v>
      </c>
    </row>
    <row r="864" customFormat="false" ht="15" hidden="false" customHeight="true" outlineLevel="0" collapsed="false">
      <c r="A864" s="27" t="s">
        <v>86</v>
      </c>
      <c r="B864" s="41" t="n">
        <v>46303.3131944445</v>
      </c>
      <c r="C864" s="27" t="s">
        <v>200</v>
      </c>
      <c r="D864" s="27" t="n">
        <v>60.7</v>
      </c>
      <c r="E864" s="27" t="n">
        <v>17.1</v>
      </c>
      <c r="F864" s="27" t="n">
        <v>48.6</v>
      </c>
      <c r="G864" s="27" t="n">
        <v>33.8</v>
      </c>
      <c r="H864" s="27" t="s">
        <v>198</v>
      </c>
      <c r="I864" s="42" t="n">
        <f aca="false">(D864-INDEX('Cohort Summary'!$D$5:$D$14,MATCH($A864,'Cohort Summary'!$A$5:$A$14,0)))/INDEX('Cohort Summary'!$E$5:$E$14,MATCH($A864,'Cohort Summary'!$A$5:$A$14,0))</f>
        <v>-1.63888888888889</v>
      </c>
      <c r="J864" s="42" t="n">
        <f aca="false">(E864-INDEX('Cohort Summary'!$F$5:$F$14,MATCH($A864,'Cohort Summary'!$A$5:$A$14,0)))/INDEX('Cohort Summary'!$G$5:$G$14,MATCH($A864,'Cohort Summary'!$A$5:$A$14,0))</f>
        <v>-1.75925925925926</v>
      </c>
      <c r="K864" s="42" t="n">
        <f aca="false">(F864-INDEX('Cohort Summary'!$H$5:$H$14,MATCH($A864,'Cohort Summary'!$A$5:$A$14,0)))/INDEX('Cohort Summary'!$I$5:$I$14,MATCH($A864,'Cohort Summary'!$A$5:$A$14,0))</f>
        <v>-0.555160142348753</v>
      </c>
      <c r="L864" s="42" t="n">
        <f aca="false">(G864-INDEX('Cohort Summary'!$J$5:$J$14,MATCH($A864,'Cohort Summary'!$A$5:$A$14,0)))/INDEX('Cohort Summary'!$K$5:$K$14,MATCH($A864,'Cohort Summary'!$A$5:$A$14,0))</f>
        <v>-0.984126984126991</v>
      </c>
      <c r="M864" s="42" t="n">
        <f aca="false">MAX(I864:K864)</f>
        <v>-0.555160142348753</v>
      </c>
      <c r="N864" s="27" t="s">
        <v>197</v>
      </c>
      <c r="O864" s="27"/>
      <c r="P864" s="27" t="str">
        <f aca="false">A864&amp;"|"&amp;N864</f>
        <v>NURSE-05|normal</v>
      </c>
    </row>
    <row r="865" customFormat="false" ht="15" hidden="false" customHeight="true" outlineLevel="0" collapsed="false">
      <c r="A865" s="27" t="s">
        <v>86</v>
      </c>
      <c r="B865" s="41" t="n">
        <v>46303.3135416667</v>
      </c>
      <c r="C865" s="27" t="s">
        <v>200</v>
      </c>
      <c r="D865" s="27" t="n">
        <v>67.2</v>
      </c>
      <c r="E865" s="27" t="n">
        <v>21.5</v>
      </c>
      <c r="F865" s="27" t="n">
        <v>50.1</v>
      </c>
      <c r="G865" s="27" t="n">
        <v>35.3</v>
      </c>
      <c r="H865" s="27" t="s">
        <v>199</v>
      </c>
      <c r="I865" s="42" t="n">
        <f aca="false">(D865-INDEX('Cohort Summary'!$D$5:$D$14,MATCH($A865,'Cohort Summary'!$A$5:$A$14,0)))/INDEX('Cohort Summary'!$E$5:$E$14,MATCH($A865,'Cohort Summary'!$A$5:$A$14,0))</f>
        <v>0.618055555555556</v>
      </c>
      <c r="J865" s="42" t="n">
        <f aca="false">(E865-INDEX('Cohort Summary'!$F$5:$F$14,MATCH($A865,'Cohort Summary'!$A$5:$A$14,0)))/INDEX('Cohort Summary'!$G$5:$G$14,MATCH($A865,'Cohort Summary'!$A$5:$A$14,0))</f>
        <v>0.277777777777778</v>
      </c>
      <c r="K865" s="42" t="n">
        <f aca="false">(F865-INDEX('Cohort Summary'!$H$5:$H$14,MATCH($A865,'Cohort Summary'!$A$5:$A$14,0)))/INDEX('Cohort Summary'!$I$5:$I$14,MATCH($A865,'Cohort Summary'!$A$5:$A$14,0))</f>
        <v>-0.0213523131672581</v>
      </c>
      <c r="L865" s="42" t="n">
        <f aca="false">(G865-INDEX('Cohort Summary'!$J$5:$J$14,MATCH($A865,'Cohort Summary'!$A$5:$A$14,0)))/INDEX('Cohort Summary'!$K$5:$K$14,MATCH($A865,'Cohort Summary'!$A$5:$A$14,0))</f>
        <v>1.39682539682539</v>
      </c>
      <c r="M865" s="42" t="n">
        <f aca="false">MAX(I865:K865)</f>
        <v>0.618055555555556</v>
      </c>
      <c r="N865" s="27" t="s">
        <v>197</v>
      </c>
      <c r="O865" s="27"/>
      <c r="P865" s="27" t="str">
        <f aca="false">A865&amp;"|"&amp;N865</f>
        <v>NURSE-05|normal</v>
      </c>
    </row>
    <row r="866" customFormat="false" ht="15" hidden="false" customHeight="true" outlineLevel="0" collapsed="false">
      <c r="A866" s="27" t="s">
        <v>86</v>
      </c>
      <c r="B866" s="41" t="n">
        <v>46303.3138888889</v>
      </c>
      <c r="C866" s="27" t="s">
        <v>200</v>
      </c>
      <c r="D866" s="27" t="n">
        <v>61.8</v>
      </c>
      <c r="E866" s="27" t="n">
        <v>17.7</v>
      </c>
      <c r="F866" s="27" t="n">
        <v>48</v>
      </c>
      <c r="G866" s="27" t="n">
        <v>34.3</v>
      </c>
      <c r="H866" s="27" t="s">
        <v>196</v>
      </c>
      <c r="I866" s="42" t="n">
        <f aca="false">(D866-INDEX('Cohort Summary'!$D$5:$D$14,MATCH($A866,'Cohort Summary'!$A$5:$A$14,0)))/INDEX('Cohort Summary'!$E$5:$E$14,MATCH($A866,'Cohort Summary'!$A$5:$A$14,0))</f>
        <v>-1.25694444444445</v>
      </c>
      <c r="J866" s="42" t="n">
        <f aca="false">(E866-INDEX('Cohort Summary'!$F$5:$F$14,MATCH($A866,'Cohort Summary'!$A$5:$A$14,0)))/INDEX('Cohort Summary'!$G$5:$G$14,MATCH($A866,'Cohort Summary'!$A$5:$A$14,0))</f>
        <v>-1.48148148148148</v>
      </c>
      <c r="K866" s="42" t="n">
        <f aca="false">(F866-INDEX('Cohort Summary'!$H$5:$H$14,MATCH($A866,'Cohort Summary'!$A$5:$A$14,0)))/INDEX('Cohort Summary'!$I$5:$I$14,MATCH($A866,'Cohort Summary'!$A$5:$A$14,0))</f>
        <v>-0.768683274021351</v>
      </c>
      <c r="L866" s="42" t="n">
        <f aca="false">(G866-INDEX('Cohort Summary'!$J$5:$J$14,MATCH($A866,'Cohort Summary'!$A$5:$A$14,0)))/INDEX('Cohort Summary'!$K$5:$K$14,MATCH($A866,'Cohort Summary'!$A$5:$A$14,0))</f>
        <v>-0.190476190476198</v>
      </c>
      <c r="M866" s="42" t="n">
        <f aca="false">MAX(I866:K866)</f>
        <v>-0.768683274021351</v>
      </c>
      <c r="N866" s="27" t="s">
        <v>197</v>
      </c>
      <c r="O866" s="27"/>
      <c r="P866" s="27" t="str">
        <f aca="false">A866&amp;"|"&amp;N866</f>
        <v>NURSE-05|normal</v>
      </c>
    </row>
    <row r="867" customFormat="false" ht="15" hidden="false" customHeight="true" outlineLevel="0" collapsed="false">
      <c r="A867" s="27" t="s">
        <v>86</v>
      </c>
      <c r="B867" s="41" t="n">
        <v>46303.3142361111</v>
      </c>
      <c r="C867" s="27" t="s">
        <v>200</v>
      </c>
      <c r="D867" s="27" t="n">
        <v>61.7</v>
      </c>
      <c r="E867" s="27" t="n">
        <v>23.9</v>
      </c>
      <c r="F867" s="27" t="n">
        <v>53.8</v>
      </c>
      <c r="G867" s="27" t="n">
        <v>35.2</v>
      </c>
      <c r="H867" s="27" t="s">
        <v>199</v>
      </c>
      <c r="I867" s="42" t="n">
        <f aca="false">(D867-INDEX('Cohort Summary'!$D$5:$D$14,MATCH($A867,'Cohort Summary'!$A$5:$A$14,0)))/INDEX('Cohort Summary'!$E$5:$E$14,MATCH($A867,'Cohort Summary'!$A$5:$A$14,0))</f>
        <v>-1.29166666666667</v>
      </c>
      <c r="J867" s="42" t="n">
        <f aca="false">(E867-INDEX('Cohort Summary'!$F$5:$F$14,MATCH($A867,'Cohort Summary'!$A$5:$A$14,0)))/INDEX('Cohort Summary'!$G$5:$G$14,MATCH($A867,'Cohort Summary'!$A$5:$A$14,0))</f>
        <v>1.38888888888889</v>
      </c>
      <c r="K867" s="42" t="n">
        <f aca="false">(F867-INDEX('Cohort Summary'!$H$5:$H$14,MATCH($A867,'Cohort Summary'!$A$5:$A$14,0)))/INDEX('Cohort Summary'!$I$5:$I$14,MATCH($A867,'Cohort Summary'!$A$5:$A$14,0))</f>
        <v>1.29537366548043</v>
      </c>
      <c r="L867" s="42" t="n">
        <f aca="false">(G867-INDEX('Cohort Summary'!$J$5:$J$14,MATCH($A867,'Cohort Summary'!$A$5:$A$14,0)))/INDEX('Cohort Summary'!$K$5:$K$14,MATCH($A867,'Cohort Summary'!$A$5:$A$14,0))</f>
        <v>1.23809523809524</v>
      </c>
      <c r="M867" s="42" t="n">
        <f aca="false">MAX(I867:K867)</f>
        <v>1.38888888888889</v>
      </c>
      <c r="N867" s="27" t="s">
        <v>197</v>
      </c>
      <c r="O867" s="27"/>
      <c r="P867" s="27" t="str">
        <f aca="false">A867&amp;"|"&amp;N867</f>
        <v>NURSE-05|normal</v>
      </c>
    </row>
    <row r="868" customFormat="false" ht="15" hidden="false" customHeight="true" outlineLevel="0" collapsed="false">
      <c r="A868" s="27" t="s">
        <v>86</v>
      </c>
      <c r="B868" s="41" t="n">
        <v>46303.3145833333</v>
      </c>
      <c r="C868" s="27" t="s">
        <v>200</v>
      </c>
      <c r="D868" s="27" t="n">
        <v>63.4</v>
      </c>
      <c r="E868" s="27" t="n">
        <v>22.8</v>
      </c>
      <c r="F868" s="27" t="n">
        <v>45.3</v>
      </c>
      <c r="G868" s="27" t="n">
        <v>35.2</v>
      </c>
      <c r="H868" s="27" t="s">
        <v>198</v>
      </c>
      <c r="I868" s="42" t="n">
        <f aca="false">(D868-INDEX('Cohort Summary'!$D$5:$D$14,MATCH($A868,'Cohort Summary'!$A$5:$A$14,0)))/INDEX('Cohort Summary'!$E$5:$E$14,MATCH($A868,'Cohort Summary'!$A$5:$A$14,0))</f>
        <v>-0.70138888888889</v>
      </c>
      <c r="J868" s="42" t="n">
        <f aca="false">(E868-INDEX('Cohort Summary'!$F$5:$F$14,MATCH($A868,'Cohort Summary'!$A$5:$A$14,0)))/INDEX('Cohort Summary'!$G$5:$G$14,MATCH($A868,'Cohort Summary'!$A$5:$A$14,0))</f>
        <v>0.879629629629631</v>
      </c>
      <c r="K868" s="42" t="n">
        <f aca="false">(F868-INDEX('Cohort Summary'!$H$5:$H$14,MATCH($A868,'Cohort Summary'!$A$5:$A$14,0)))/INDEX('Cohort Summary'!$I$5:$I$14,MATCH($A868,'Cohort Summary'!$A$5:$A$14,0))</f>
        <v>-1.72953736654804</v>
      </c>
      <c r="L868" s="42" t="n">
        <f aca="false">(G868-INDEX('Cohort Summary'!$J$5:$J$14,MATCH($A868,'Cohort Summary'!$A$5:$A$14,0)))/INDEX('Cohort Summary'!$K$5:$K$14,MATCH($A868,'Cohort Summary'!$A$5:$A$14,0))</f>
        <v>1.23809523809524</v>
      </c>
      <c r="M868" s="42" t="n">
        <f aca="false">MAX(I868:K868)</f>
        <v>0.879629629629631</v>
      </c>
      <c r="N868" s="27" t="s">
        <v>197</v>
      </c>
      <c r="O868" s="27"/>
      <c r="P868" s="27" t="str">
        <f aca="false">A868&amp;"|"&amp;N868</f>
        <v>NURSE-05|normal</v>
      </c>
    </row>
    <row r="869" customFormat="false" ht="15" hidden="false" customHeight="true" outlineLevel="0" collapsed="false">
      <c r="A869" s="27" t="s">
        <v>86</v>
      </c>
      <c r="B869" s="41" t="n">
        <v>46303.3149305556</v>
      </c>
      <c r="C869" s="27" t="s">
        <v>200</v>
      </c>
      <c r="D869" s="27" t="n">
        <v>61.1</v>
      </c>
      <c r="E869" s="27" t="n">
        <v>18.5</v>
      </c>
      <c r="F869" s="27" t="n">
        <v>48.5</v>
      </c>
      <c r="G869" s="27" t="n">
        <v>34.2</v>
      </c>
      <c r="H869" s="27" t="s">
        <v>196</v>
      </c>
      <c r="I869" s="42" t="n">
        <f aca="false">(D869-INDEX('Cohort Summary'!$D$5:$D$14,MATCH($A869,'Cohort Summary'!$A$5:$A$14,0)))/INDEX('Cohort Summary'!$E$5:$E$14,MATCH($A869,'Cohort Summary'!$A$5:$A$14,0))</f>
        <v>-1.5</v>
      </c>
      <c r="J869" s="42" t="n">
        <f aca="false">(E869-INDEX('Cohort Summary'!$F$5:$F$14,MATCH($A869,'Cohort Summary'!$A$5:$A$14,0)))/INDEX('Cohort Summary'!$G$5:$G$14,MATCH($A869,'Cohort Summary'!$A$5:$A$14,0))</f>
        <v>-1.11111111111111</v>
      </c>
      <c r="K869" s="42" t="n">
        <f aca="false">(F869-INDEX('Cohort Summary'!$H$5:$H$14,MATCH($A869,'Cohort Summary'!$A$5:$A$14,0)))/INDEX('Cohort Summary'!$I$5:$I$14,MATCH($A869,'Cohort Summary'!$A$5:$A$14,0))</f>
        <v>-0.590747330960853</v>
      </c>
      <c r="L869" s="42" t="n">
        <f aca="false">(G869-INDEX('Cohort Summary'!$J$5:$J$14,MATCH($A869,'Cohort Summary'!$A$5:$A$14,0)))/INDEX('Cohort Summary'!$K$5:$K$14,MATCH($A869,'Cohort Summary'!$A$5:$A$14,0))</f>
        <v>-0.349206349206347</v>
      </c>
      <c r="M869" s="42" t="n">
        <f aca="false">MAX(I869:K869)</f>
        <v>-0.590747330960853</v>
      </c>
      <c r="N869" s="27" t="s">
        <v>197</v>
      </c>
      <c r="O869" s="27"/>
      <c r="P869" s="27" t="str">
        <f aca="false">A869&amp;"|"&amp;N869</f>
        <v>NURSE-05|normal</v>
      </c>
    </row>
    <row r="870" customFormat="false" ht="15" hidden="false" customHeight="true" outlineLevel="0" collapsed="false">
      <c r="A870" s="27" t="s">
        <v>86</v>
      </c>
      <c r="B870" s="41" t="n">
        <v>46303.3152777778</v>
      </c>
      <c r="C870" s="27" t="s">
        <v>200</v>
      </c>
      <c r="D870" s="27" t="n">
        <v>60.1</v>
      </c>
      <c r="E870" s="27" t="n">
        <v>18.3</v>
      </c>
      <c r="F870" s="27" t="n">
        <v>54</v>
      </c>
      <c r="G870" s="27" t="n">
        <v>33.8</v>
      </c>
      <c r="H870" s="27" t="s">
        <v>196</v>
      </c>
      <c r="I870" s="42" t="n">
        <f aca="false">(D870-INDEX('Cohort Summary'!$D$5:$D$14,MATCH($A870,'Cohort Summary'!$A$5:$A$14,0)))/INDEX('Cohort Summary'!$E$5:$E$14,MATCH($A870,'Cohort Summary'!$A$5:$A$14,0))</f>
        <v>-1.84722222222222</v>
      </c>
      <c r="J870" s="42" t="n">
        <f aca="false">(E870-INDEX('Cohort Summary'!$F$5:$F$14,MATCH($A870,'Cohort Summary'!$A$5:$A$14,0)))/INDEX('Cohort Summary'!$G$5:$G$14,MATCH($A870,'Cohort Summary'!$A$5:$A$14,0))</f>
        <v>-1.2037037037037</v>
      </c>
      <c r="K870" s="42" t="n">
        <f aca="false">(F870-INDEX('Cohort Summary'!$H$5:$H$14,MATCH($A870,'Cohort Summary'!$A$5:$A$14,0)))/INDEX('Cohort Summary'!$I$5:$I$14,MATCH($A870,'Cohort Summary'!$A$5:$A$14,0))</f>
        <v>1.36654804270463</v>
      </c>
      <c r="L870" s="42" t="n">
        <f aca="false">(G870-INDEX('Cohort Summary'!$J$5:$J$14,MATCH($A870,'Cohort Summary'!$A$5:$A$14,0)))/INDEX('Cohort Summary'!$K$5:$K$14,MATCH($A870,'Cohort Summary'!$A$5:$A$14,0))</f>
        <v>-0.984126984126991</v>
      </c>
      <c r="M870" s="42" t="n">
        <f aca="false">MAX(I870:K870)</f>
        <v>1.36654804270463</v>
      </c>
      <c r="N870" s="27" t="s">
        <v>197</v>
      </c>
      <c r="O870" s="27"/>
      <c r="P870" s="27" t="str">
        <f aca="false">A870&amp;"|"&amp;N870</f>
        <v>NURSE-05|normal</v>
      </c>
    </row>
    <row r="871" customFormat="false" ht="15" hidden="false" customHeight="true" outlineLevel="0" collapsed="false">
      <c r="A871" s="27" t="s">
        <v>86</v>
      </c>
      <c r="B871" s="41" t="n">
        <v>46303.315625</v>
      </c>
      <c r="C871" s="27" t="s">
        <v>200</v>
      </c>
      <c r="D871" s="27" t="n">
        <v>66.6</v>
      </c>
      <c r="E871" s="27" t="n">
        <v>19.2</v>
      </c>
      <c r="F871" s="27" t="n">
        <v>47.6</v>
      </c>
      <c r="G871" s="27" t="n">
        <v>33.6</v>
      </c>
      <c r="H871" s="27" t="s">
        <v>199</v>
      </c>
      <c r="I871" s="42" t="n">
        <f aca="false">(D871-INDEX('Cohort Summary'!$D$5:$D$14,MATCH($A871,'Cohort Summary'!$A$5:$A$14,0)))/INDEX('Cohort Summary'!$E$5:$E$14,MATCH($A871,'Cohort Summary'!$A$5:$A$14,0))</f>
        <v>0.40972222222222</v>
      </c>
      <c r="J871" s="42" t="n">
        <f aca="false">(E871-INDEX('Cohort Summary'!$F$5:$F$14,MATCH($A871,'Cohort Summary'!$A$5:$A$14,0)))/INDEX('Cohort Summary'!$G$5:$G$14,MATCH($A871,'Cohort Summary'!$A$5:$A$14,0))</f>
        <v>-0.787037037037037</v>
      </c>
      <c r="K871" s="42" t="n">
        <f aca="false">(F871-INDEX('Cohort Summary'!$H$5:$H$14,MATCH($A871,'Cohort Summary'!$A$5:$A$14,0)))/INDEX('Cohort Summary'!$I$5:$I$14,MATCH($A871,'Cohort Summary'!$A$5:$A$14,0))</f>
        <v>-0.911032028469749</v>
      </c>
      <c r="L871" s="42" t="n">
        <f aca="false">(G871-INDEX('Cohort Summary'!$J$5:$J$14,MATCH($A871,'Cohort Summary'!$A$5:$A$14,0)))/INDEX('Cohort Summary'!$K$5:$K$14,MATCH($A871,'Cohort Summary'!$A$5:$A$14,0))</f>
        <v>-1.3015873015873</v>
      </c>
      <c r="M871" s="42" t="n">
        <f aca="false">MAX(I871:K871)</f>
        <v>0.40972222222222</v>
      </c>
      <c r="N871" s="27" t="s">
        <v>197</v>
      </c>
      <c r="O871" s="27"/>
      <c r="P871" s="27" t="str">
        <f aca="false">A871&amp;"|"&amp;N871</f>
        <v>NURSE-05|normal</v>
      </c>
    </row>
    <row r="872" customFormat="false" ht="15" hidden="false" customHeight="true" outlineLevel="0" collapsed="false">
      <c r="A872" s="27" t="s">
        <v>86</v>
      </c>
      <c r="B872" s="41" t="n">
        <v>46303.3159722222</v>
      </c>
      <c r="C872" s="27" t="s">
        <v>200</v>
      </c>
      <c r="D872" s="27" t="n">
        <v>61</v>
      </c>
      <c r="E872" s="27" t="n">
        <v>23.9</v>
      </c>
      <c r="F872" s="27" t="n">
        <v>48.8</v>
      </c>
      <c r="G872" s="27" t="n">
        <v>34.8</v>
      </c>
      <c r="H872" s="27" t="s">
        <v>196</v>
      </c>
      <c r="I872" s="42" t="n">
        <f aca="false">(D872-INDEX('Cohort Summary'!$D$5:$D$14,MATCH($A872,'Cohort Summary'!$A$5:$A$14,0)))/INDEX('Cohort Summary'!$E$5:$E$14,MATCH($A872,'Cohort Summary'!$A$5:$A$14,0))</f>
        <v>-1.53472222222222</v>
      </c>
      <c r="J872" s="42" t="n">
        <f aca="false">(E872-INDEX('Cohort Summary'!$F$5:$F$14,MATCH($A872,'Cohort Summary'!$A$5:$A$14,0)))/INDEX('Cohort Summary'!$G$5:$G$14,MATCH($A872,'Cohort Summary'!$A$5:$A$14,0))</f>
        <v>1.38888888888889</v>
      </c>
      <c r="K872" s="42" t="n">
        <f aca="false">(F872-INDEX('Cohort Summary'!$H$5:$H$14,MATCH($A872,'Cohort Summary'!$A$5:$A$14,0)))/INDEX('Cohort Summary'!$I$5:$I$14,MATCH($A872,'Cohort Summary'!$A$5:$A$14,0))</f>
        <v>-0.483985765124555</v>
      </c>
      <c r="L872" s="42" t="n">
        <f aca="false">(G872-INDEX('Cohort Summary'!$J$5:$J$14,MATCH($A872,'Cohort Summary'!$A$5:$A$14,0)))/INDEX('Cohort Summary'!$K$5:$K$14,MATCH($A872,'Cohort Summary'!$A$5:$A$14,0))</f>
        <v>0.603174603174596</v>
      </c>
      <c r="M872" s="42" t="n">
        <f aca="false">MAX(I872:K872)</f>
        <v>1.38888888888889</v>
      </c>
      <c r="N872" s="27" t="s">
        <v>197</v>
      </c>
      <c r="O872" s="27"/>
      <c r="P872" s="27" t="str">
        <f aca="false">A872&amp;"|"&amp;N872</f>
        <v>NURSE-05|normal</v>
      </c>
    </row>
    <row r="873" customFormat="false" ht="15" hidden="false" customHeight="true" outlineLevel="0" collapsed="false">
      <c r="A873" s="27" t="s">
        <v>86</v>
      </c>
      <c r="B873" s="41" t="n">
        <v>46303.3163194444</v>
      </c>
      <c r="C873" s="27" t="s">
        <v>200</v>
      </c>
      <c r="D873" s="27" t="n">
        <v>65.8</v>
      </c>
      <c r="E873" s="27" t="n">
        <v>17.4</v>
      </c>
      <c r="F873" s="27" t="n">
        <v>48</v>
      </c>
      <c r="G873" s="27" t="n">
        <v>34</v>
      </c>
      <c r="H873" s="27" t="s">
        <v>198</v>
      </c>
      <c r="I873" s="42" t="n">
        <f aca="false">(D873-INDEX('Cohort Summary'!$D$5:$D$14,MATCH($A873,'Cohort Summary'!$A$5:$A$14,0)))/INDEX('Cohort Summary'!$E$5:$E$14,MATCH($A873,'Cohort Summary'!$A$5:$A$14,0))</f>
        <v>0.131944444444443</v>
      </c>
      <c r="J873" s="42" t="n">
        <f aca="false">(E873-INDEX('Cohort Summary'!$F$5:$F$14,MATCH($A873,'Cohort Summary'!$A$5:$A$14,0)))/INDEX('Cohort Summary'!$G$5:$G$14,MATCH($A873,'Cohort Summary'!$A$5:$A$14,0))</f>
        <v>-1.62037037037037</v>
      </c>
      <c r="K873" s="42" t="n">
        <f aca="false">(F873-INDEX('Cohort Summary'!$H$5:$H$14,MATCH($A873,'Cohort Summary'!$A$5:$A$14,0)))/INDEX('Cohort Summary'!$I$5:$I$14,MATCH($A873,'Cohort Summary'!$A$5:$A$14,0))</f>
        <v>-0.768683274021351</v>
      </c>
      <c r="L873" s="42" t="n">
        <f aca="false">(G873-INDEX('Cohort Summary'!$J$5:$J$14,MATCH($A873,'Cohort Summary'!$A$5:$A$14,0)))/INDEX('Cohort Summary'!$K$5:$K$14,MATCH($A873,'Cohort Summary'!$A$5:$A$14,0))</f>
        <v>-0.666666666666669</v>
      </c>
      <c r="M873" s="42" t="n">
        <f aca="false">MAX(I873:K873)</f>
        <v>0.131944444444443</v>
      </c>
      <c r="N873" s="27" t="s">
        <v>197</v>
      </c>
      <c r="O873" s="27"/>
      <c r="P873" s="27" t="str">
        <f aca="false">A873&amp;"|"&amp;N873</f>
        <v>NURSE-05|normal</v>
      </c>
    </row>
    <row r="874" customFormat="false" ht="15" hidden="false" customHeight="true" outlineLevel="0" collapsed="false">
      <c r="A874" s="27" t="s">
        <v>86</v>
      </c>
      <c r="B874" s="41" t="n">
        <v>46303.3166666667</v>
      </c>
      <c r="C874" s="27" t="s">
        <v>200</v>
      </c>
      <c r="D874" s="27" t="n">
        <v>69.4</v>
      </c>
      <c r="E874" s="27" t="n">
        <v>19.5</v>
      </c>
      <c r="F874" s="27" t="n">
        <v>50.4</v>
      </c>
      <c r="G874" s="27" t="n">
        <v>33.9</v>
      </c>
      <c r="H874" s="27" t="s">
        <v>199</v>
      </c>
      <c r="I874" s="42" t="n">
        <f aca="false">(D874-INDEX('Cohort Summary'!$D$5:$D$14,MATCH($A874,'Cohort Summary'!$A$5:$A$14,0)))/INDEX('Cohort Summary'!$E$5:$E$14,MATCH($A874,'Cohort Summary'!$A$5:$A$14,0))</f>
        <v>1.38194444444445</v>
      </c>
      <c r="J874" s="42" t="n">
        <f aca="false">(E874-INDEX('Cohort Summary'!$F$5:$F$14,MATCH($A874,'Cohort Summary'!$A$5:$A$14,0)))/INDEX('Cohort Summary'!$G$5:$G$14,MATCH($A874,'Cohort Summary'!$A$5:$A$14,0))</f>
        <v>-0.648148148148148</v>
      </c>
      <c r="K874" s="42" t="n">
        <f aca="false">(F874-INDEX('Cohort Summary'!$H$5:$H$14,MATCH($A874,'Cohort Summary'!$A$5:$A$14,0)))/INDEX('Cohort Summary'!$I$5:$I$14,MATCH($A874,'Cohort Summary'!$A$5:$A$14,0))</f>
        <v>0.0854092526690399</v>
      </c>
      <c r="L874" s="42" t="n">
        <f aca="false">(G874-INDEX('Cohort Summary'!$J$5:$J$14,MATCH($A874,'Cohort Summary'!$A$5:$A$14,0)))/INDEX('Cohort Summary'!$K$5:$K$14,MATCH($A874,'Cohort Summary'!$A$5:$A$14,0))</f>
        <v>-0.82539682539683</v>
      </c>
      <c r="M874" s="42" t="n">
        <f aca="false">MAX(I874:K874)</f>
        <v>1.38194444444445</v>
      </c>
      <c r="N874" s="27" t="s">
        <v>197</v>
      </c>
      <c r="O874" s="27"/>
      <c r="P874" s="27" t="str">
        <f aca="false">A874&amp;"|"&amp;N874</f>
        <v>NURSE-05|normal</v>
      </c>
    </row>
    <row r="875" customFormat="false" ht="15" hidden="false" customHeight="true" outlineLevel="0" collapsed="false">
      <c r="A875" s="27" t="s">
        <v>86</v>
      </c>
      <c r="B875" s="41" t="n">
        <v>46303.3170138889</v>
      </c>
      <c r="C875" s="27" t="s">
        <v>200</v>
      </c>
      <c r="D875" s="27" t="n">
        <v>67.9</v>
      </c>
      <c r="E875" s="27" t="n">
        <v>18.8</v>
      </c>
      <c r="F875" s="27" t="n">
        <v>48.7</v>
      </c>
      <c r="G875" s="27" t="n">
        <v>34.5</v>
      </c>
      <c r="H875" s="27" t="s">
        <v>198</v>
      </c>
      <c r="I875" s="42" t="n">
        <f aca="false">(D875-INDEX('Cohort Summary'!$D$5:$D$14,MATCH($A875,'Cohort Summary'!$A$5:$A$14,0)))/INDEX('Cohort Summary'!$E$5:$E$14,MATCH($A875,'Cohort Summary'!$A$5:$A$14,0))</f>
        <v>0.861111111111113</v>
      </c>
      <c r="J875" s="42" t="n">
        <f aca="false">(E875-INDEX('Cohort Summary'!$F$5:$F$14,MATCH($A875,'Cohort Summary'!$A$5:$A$14,0)))/INDEX('Cohort Summary'!$G$5:$G$14,MATCH($A875,'Cohort Summary'!$A$5:$A$14,0))</f>
        <v>-0.972222222222221</v>
      </c>
      <c r="K875" s="42" t="n">
        <f aca="false">(F875-INDEX('Cohort Summary'!$H$5:$H$14,MATCH($A875,'Cohort Summary'!$A$5:$A$14,0)))/INDEX('Cohort Summary'!$I$5:$I$14,MATCH($A875,'Cohort Summary'!$A$5:$A$14,0))</f>
        <v>-0.519572953736653</v>
      </c>
      <c r="L875" s="42" t="n">
        <f aca="false">(G875-INDEX('Cohort Summary'!$J$5:$J$14,MATCH($A875,'Cohort Summary'!$A$5:$A$14,0)))/INDEX('Cohort Summary'!$K$5:$K$14,MATCH($A875,'Cohort Summary'!$A$5:$A$14,0))</f>
        <v>0.126984126984124</v>
      </c>
      <c r="M875" s="42" t="n">
        <f aca="false">MAX(I875:K875)</f>
        <v>0.861111111111113</v>
      </c>
      <c r="N875" s="27" t="s">
        <v>197</v>
      </c>
      <c r="O875" s="27"/>
      <c r="P875" s="27" t="str">
        <f aca="false">A875&amp;"|"&amp;N875</f>
        <v>NURSE-05|normal</v>
      </c>
    </row>
    <row r="876" customFormat="false" ht="15" hidden="false" customHeight="true" outlineLevel="0" collapsed="false">
      <c r="A876" s="27" t="s">
        <v>86</v>
      </c>
      <c r="B876" s="41" t="n">
        <v>46303.3173611111</v>
      </c>
      <c r="C876" s="27" t="s">
        <v>200</v>
      </c>
      <c r="D876" s="27" t="n">
        <v>68.7</v>
      </c>
      <c r="E876" s="27" t="n">
        <v>23.4</v>
      </c>
      <c r="F876" s="27" t="n">
        <v>46.7</v>
      </c>
      <c r="G876" s="27" t="n">
        <v>35</v>
      </c>
      <c r="H876" s="27" t="s">
        <v>198</v>
      </c>
      <c r="I876" s="42" t="n">
        <f aca="false">(D876-INDEX('Cohort Summary'!$D$5:$D$14,MATCH($A876,'Cohort Summary'!$A$5:$A$14,0)))/INDEX('Cohort Summary'!$E$5:$E$14,MATCH($A876,'Cohort Summary'!$A$5:$A$14,0))</f>
        <v>1.13888888888889</v>
      </c>
      <c r="J876" s="42" t="n">
        <f aca="false">(E876-INDEX('Cohort Summary'!$F$5:$F$14,MATCH($A876,'Cohort Summary'!$A$5:$A$14,0)))/INDEX('Cohort Summary'!$G$5:$G$14,MATCH($A876,'Cohort Summary'!$A$5:$A$14,0))</f>
        <v>1.15740740740741</v>
      </c>
      <c r="K876" s="42" t="n">
        <f aca="false">(F876-INDEX('Cohort Summary'!$H$5:$H$14,MATCH($A876,'Cohort Summary'!$A$5:$A$14,0)))/INDEX('Cohort Summary'!$I$5:$I$14,MATCH($A876,'Cohort Summary'!$A$5:$A$14,0))</f>
        <v>-1.23131672597865</v>
      </c>
      <c r="L876" s="42" t="n">
        <f aca="false">(G876-INDEX('Cohort Summary'!$J$5:$J$14,MATCH($A876,'Cohort Summary'!$A$5:$A$14,0)))/INDEX('Cohort Summary'!$K$5:$K$14,MATCH($A876,'Cohort Summary'!$A$5:$A$14,0))</f>
        <v>0.920634920634918</v>
      </c>
      <c r="M876" s="42" t="n">
        <f aca="false">MAX(I876:K876)</f>
        <v>1.15740740740741</v>
      </c>
      <c r="N876" s="27" t="s">
        <v>197</v>
      </c>
      <c r="O876" s="27"/>
      <c r="P876" s="27" t="str">
        <f aca="false">A876&amp;"|"&amp;N876</f>
        <v>NURSE-05|normal</v>
      </c>
    </row>
    <row r="877" customFormat="false" ht="15" hidden="false" customHeight="true" outlineLevel="0" collapsed="false">
      <c r="A877" s="27" t="s">
        <v>86</v>
      </c>
      <c r="B877" s="41" t="n">
        <v>46303.3177083333</v>
      </c>
      <c r="C877" s="27" t="s">
        <v>200</v>
      </c>
      <c r="D877" s="27" t="n">
        <v>62.2</v>
      </c>
      <c r="E877" s="27" t="n">
        <v>18.4</v>
      </c>
      <c r="F877" s="27" t="n">
        <v>47.2</v>
      </c>
      <c r="G877" s="27" t="n">
        <v>34.3</v>
      </c>
      <c r="H877" s="27" t="s">
        <v>199</v>
      </c>
      <c r="I877" s="42" t="n">
        <f aca="false">(D877-INDEX('Cohort Summary'!$D$5:$D$14,MATCH($A877,'Cohort Summary'!$A$5:$A$14,0)))/INDEX('Cohort Summary'!$E$5:$E$14,MATCH($A877,'Cohort Summary'!$A$5:$A$14,0))</f>
        <v>-1.11805555555556</v>
      </c>
      <c r="J877" s="42" t="n">
        <f aca="false">(E877-INDEX('Cohort Summary'!$F$5:$F$14,MATCH($A877,'Cohort Summary'!$A$5:$A$14,0)))/INDEX('Cohort Summary'!$G$5:$G$14,MATCH($A877,'Cohort Summary'!$A$5:$A$14,0))</f>
        <v>-1.15740740740741</v>
      </c>
      <c r="K877" s="42" t="n">
        <f aca="false">(F877-INDEX('Cohort Summary'!$H$5:$H$14,MATCH($A877,'Cohort Summary'!$A$5:$A$14,0)))/INDEX('Cohort Summary'!$I$5:$I$14,MATCH($A877,'Cohort Summary'!$A$5:$A$14,0))</f>
        <v>-1.05338078291815</v>
      </c>
      <c r="L877" s="42" t="n">
        <f aca="false">(G877-INDEX('Cohort Summary'!$J$5:$J$14,MATCH($A877,'Cohort Summary'!$A$5:$A$14,0)))/INDEX('Cohort Summary'!$K$5:$K$14,MATCH($A877,'Cohort Summary'!$A$5:$A$14,0))</f>
        <v>-0.190476190476198</v>
      </c>
      <c r="M877" s="42" t="n">
        <f aca="false">MAX(I877:K877)</f>
        <v>-1.05338078291815</v>
      </c>
      <c r="N877" s="27" t="s">
        <v>197</v>
      </c>
      <c r="O877" s="27"/>
      <c r="P877" s="27" t="str">
        <f aca="false">A877&amp;"|"&amp;N877</f>
        <v>NURSE-05|normal</v>
      </c>
    </row>
    <row r="878" customFormat="false" ht="15" hidden="false" customHeight="true" outlineLevel="0" collapsed="false">
      <c r="A878" s="27" t="s">
        <v>86</v>
      </c>
      <c r="B878" s="41" t="n">
        <v>46303.3180555556</v>
      </c>
      <c r="C878" s="27" t="s">
        <v>200</v>
      </c>
      <c r="D878" s="27" t="n">
        <v>62.4</v>
      </c>
      <c r="E878" s="27" t="n">
        <v>23.3</v>
      </c>
      <c r="F878" s="27" t="n">
        <v>47.6</v>
      </c>
      <c r="G878" s="27" t="n">
        <v>33.5</v>
      </c>
      <c r="H878" s="27" t="s">
        <v>198</v>
      </c>
      <c r="I878" s="42" t="n">
        <f aca="false">(D878-INDEX('Cohort Summary'!$D$5:$D$14,MATCH($A878,'Cohort Summary'!$A$5:$A$14,0)))/INDEX('Cohort Summary'!$E$5:$E$14,MATCH($A878,'Cohort Summary'!$A$5:$A$14,0))</f>
        <v>-1.04861111111111</v>
      </c>
      <c r="J878" s="42" t="n">
        <f aca="false">(E878-INDEX('Cohort Summary'!$F$5:$F$14,MATCH($A878,'Cohort Summary'!$A$5:$A$14,0)))/INDEX('Cohort Summary'!$G$5:$G$14,MATCH($A878,'Cohort Summary'!$A$5:$A$14,0))</f>
        <v>1.11111111111111</v>
      </c>
      <c r="K878" s="42" t="n">
        <f aca="false">(F878-INDEX('Cohort Summary'!$H$5:$H$14,MATCH($A878,'Cohort Summary'!$A$5:$A$14,0)))/INDEX('Cohort Summary'!$I$5:$I$14,MATCH($A878,'Cohort Summary'!$A$5:$A$14,0))</f>
        <v>-0.911032028469749</v>
      </c>
      <c r="L878" s="42" t="n">
        <f aca="false">(G878-INDEX('Cohort Summary'!$J$5:$J$14,MATCH($A878,'Cohort Summary'!$A$5:$A$14,0)))/INDEX('Cohort Summary'!$K$5:$K$14,MATCH($A878,'Cohort Summary'!$A$5:$A$14,0))</f>
        <v>-1.46031746031746</v>
      </c>
      <c r="M878" s="42" t="n">
        <f aca="false">MAX(I878:K878)</f>
        <v>1.11111111111111</v>
      </c>
      <c r="N878" s="27" t="s">
        <v>197</v>
      </c>
      <c r="O878" s="27"/>
      <c r="P878" s="27" t="str">
        <f aca="false">A878&amp;"|"&amp;N878</f>
        <v>NURSE-05|normal</v>
      </c>
    </row>
    <row r="879" customFormat="false" ht="15" hidden="false" customHeight="true" outlineLevel="0" collapsed="false">
      <c r="A879" s="27" t="s">
        <v>86</v>
      </c>
      <c r="B879" s="41" t="n">
        <v>46303.3184027778</v>
      </c>
      <c r="C879" s="27" t="s">
        <v>200</v>
      </c>
      <c r="D879" s="27" t="n">
        <v>66.6</v>
      </c>
      <c r="E879" s="27" t="n">
        <v>22.9</v>
      </c>
      <c r="F879" s="27" t="n">
        <v>47.3</v>
      </c>
      <c r="G879" s="27" t="n">
        <v>33.6</v>
      </c>
      <c r="H879" s="27" t="s">
        <v>199</v>
      </c>
      <c r="I879" s="42" t="n">
        <f aca="false">(D879-INDEX('Cohort Summary'!$D$5:$D$14,MATCH($A879,'Cohort Summary'!$A$5:$A$14,0)))/INDEX('Cohort Summary'!$E$5:$E$14,MATCH($A879,'Cohort Summary'!$A$5:$A$14,0))</f>
        <v>0.40972222222222</v>
      </c>
      <c r="J879" s="42" t="n">
        <f aca="false">(E879-INDEX('Cohort Summary'!$F$5:$F$14,MATCH($A879,'Cohort Summary'!$A$5:$A$14,0)))/INDEX('Cohort Summary'!$G$5:$G$14,MATCH($A879,'Cohort Summary'!$A$5:$A$14,0))</f>
        <v>0.925925925925926</v>
      </c>
      <c r="K879" s="42" t="n">
        <f aca="false">(F879-INDEX('Cohort Summary'!$H$5:$H$14,MATCH($A879,'Cohort Summary'!$A$5:$A$14,0)))/INDEX('Cohort Summary'!$I$5:$I$14,MATCH($A879,'Cohort Summary'!$A$5:$A$14,0))</f>
        <v>-1.01779359430605</v>
      </c>
      <c r="L879" s="42" t="n">
        <f aca="false">(G879-INDEX('Cohort Summary'!$J$5:$J$14,MATCH($A879,'Cohort Summary'!$A$5:$A$14,0)))/INDEX('Cohort Summary'!$K$5:$K$14,MATCH($A879,'Cohort Summary'!$A$5:$A$14,0))</f>
        <v>-1.3015873015873</v>
      </c>
      <c r="M879" s="42" t="n">
        <f aca="false">MAX(I879:K879)</f>
        <v>0.925925925925926</v>
      </c>
      <c r="N879" s="27" t="s">
        <v>197</v>
      </c>
      <c r="O879" s="27"/>
      <c r="P879" s="27" t="str">
        <f aca="false">A879&amp;"|"&amp;N879</f>
        <v>NURSE-05|normal</v>
      </c>
    </row>
    <row r="880" customFormat="false" ht="15" hidden="false" customHeight="true" outlineLevel="0" collapsed="false">
      <c r="A880" s="27" t="s">
        <v>86</v>
      </c>
      <c r="B880" s="41" t="n">
        <v>46303.31875</v>
      </c>
      <c r="C880" s="27" t="s">
        <v>200</v>
      </c>
      <c r="D880" s="27" t="n">
        <v>64.9</v>
      </c>
      <c r="E880" s="27" t="n">
        <v>17.8</v>
      </c>
      <c r="F880" s="27" t="n">
        <v>50.6</v>
      </c>
      <c r="G880" s="27" t="n">
        <v>34.5</v>
      </c>
      <c r="H880" s="27" t="s">
        <v>199</v>
      </c>
      <c r="I880" s="42" t="n">
        <f aca="false">(D880-INDEX('Cohort Summary'!$D$5:$D$14,MATCH($A880,'Cohort Summary'!$A$5:$A$14,0)))/INDEX('Cohort Summary'!$E$5:$E$14,MATCH($A880,'Cohort Summary'!$A$5:$A$14,0))</f>
        <v>-0.180555555555554</v>
      </c>
      <c r="J880" s="42" t="n">
        <f aca="false">(E880-INDEX('Cohort Summary'!$F$5:$F$14,MATCH($A880,'Cohort Summary'!$A$5:$A$14,0)))/INDEX('Cohort Summary'!$G$5:$G$14,MATCH($A880,'Cohort Summary'!$A$5:$A$14,0))</f>
        <v>-1.43518518518518</v>
      </c>
      <c r="K880" s="42" t="n">
        <f aca="false">(F880-INDEX('Cohort Summary'!$H$5:$H$14,MATCH($A880,'Cohort Summary'!$A$5:$A$14,0)))/INDEX('Cohort Summary'!$I$5:$I$14,MATCH($A880,'Cohort Summary'!$A$5:$A$14,0))</f>
        <v>0.15658362989324</v>
      </c>
      <c r="L880" s="42" t="n">
        <f aca="false">(G880-INDEX('Cohort Summary'!$J$5:$J$14,MATCH($A880,'Cohort Summary'!$A$5:$A$14,0)))/INDEX('Cohort Summary'!$K$5:$K$14,MATCH($A880,'Cohort Summary'!$A$5:$A$14,0))</f>
        <v>0.126984126984124</v>
      </c>
      <c r="M880" s="42" t="n">
        <f aca="false">MAX(I880:K880)</f>
        <v>0.15658362989324</v>
      </c>
      <c r="N880" s="27" t="s">
        <v>197</v>
      </c>
      <c r="O880" s="27"/>
      <c r="P880" s="27" t="str">
        <f aca="false">A880&amp;"|"&amp;N880</f>
        <v>NURSE-05|normal</v>
      </c>
    </row>
    <row r="881" customFormat="false" ht="15" hidden="false" customHeight="true" outlineLevel="0" collapsed="false">
      <c r="A881" s="27" t="s">
        <v>86</v>
      </c>
      <c r="B881" s="41" t="n">
        <v>46303.3190972222</v>
      </c>
      <c r="C881" s="27" t="s">
        <v>200</v>
      </c>
      <c r="D881" s="27" t="n">
        <v>61.2</v>
      </c>
      <c r="E881" s="27" t="n">
        <v>20.4</v>
      </c>
      <c r="F881" s="27" t="n">
        <v>46.7</v>
      </c>
      <c r="G881" s="27" t="n">
        <v>34</v>
      </c>
      <c r="H881" s="27" t="s">
        <v>199</v>
      </c>
      <c r="I881" s="42" t="n">
        <f aca="false">(D881-INDEX('Cohort Summary'!$D$5:$D$14,MATCH($A881,'Cohort Summary'!$A$5:$A$14,0)))/INDEX('Cohort Summary'!$E$5:$E$14,MATCH($A881,'Cohort Summary'!$A$5:$A$14,0))</f>
        <v>-1.46527777777778</v>
      </c>
      <c r="J881" s="42" t="n">
        <f aca="false">(E881-INDEX('Cohort Summary'!$F$5:$F$14,MATCH($A881,'Cohort Summary'!$A$5:$A$14,0)))/INDEX('Cohort Summary'!$G$5:$G$14,MATCH($A881,'Cohort Summary'!$A$5:$A$14,0))</f>
        <v>-0.231481481481481</v>
      </c>
      <c r="K881" s="42" t="n">
        <f aca="false">(F881-INDEX('Cohort Summary'!$H$5:$H$14,MATCH($A881,'Cohort Summary'!$A$5:$A$14,0)))/INDEX('Cohort Summary'!$I$5:$I$14,MATCH($A881,'Cohort Summary'!$A$5:$A$14,0))</f>
        <v>-1.23131672597865</v>
      </c>
      <c r="L881" s="42" t="n">
        <f aca="false">(G881-INDEX('Cohort Summary'!$J$5:$J$14,MATCH($A881,'Cohort Summary'!$A$5:$A$14,0)))/INDEX('Cohort Summary'!$K$5:$K$14,MATCH($A881,'Cohort Summary'!$A$5:$A$14,0))</f>
        <v>-0.666666666666669</v>
      </c>
      <c r="M881" s="42" t="n">
        <f aca="false">MAX(I881:K881)</f>
        <v>-0.231481481481481</v>
      </c>
      <c r="N881" s="27" t="s">
        <v>197</v>
      </c>
      <c r="O881" s="27"/>
      <c r="P881" s="27" t="str">
        <f aca="false">A881&amp;"|"&amp;N881</f>
        <v>NURSE-05|normal</v>
      </c>
    </row>
    <row r="882" customFormat="false" ht="15" hidden="false" customHeight="true" outlineLevel="0" collapsed="false">
      <c r="A882" s="27" t="s">
        <v>86</v>
      </c>
      <c r="B882" s="41" t="n">
        <v>46303.3194444445</v>
      </c>
      <c r="C882" s="27" t="s">
        <v>200</v>
      </c>
      <c r="D882" s="27" t="n">
        <v>60.6</v>
      </c>
      <c r="E882" s="27" t="n">
        <v>18.3</v>
      </c>
      <c r="F882" s="27" t="n">
        <v>47.7</v>
      </c>
      <c r="G882" s="27" t="n">
        <v>34.4</v>
      </c>
      <c r="H882" s="27" t="s">
        <v>198</v>
      </c>
      <c r="I882" s="42" t="n">
        <f aca="false">(D882-INDEX('Cohort Summary'!$D$5:$D$14,MATCH($A882,'Cohort Summary'!$A$5:$A$14,0)))/INDEX('Cohort Summary'!$E$5:$E$14,MATCH($A882,'Cohort Summary'!$A$5:$A$14,0))</f>
        <v>-1.67361111111111</v>
      </c>
      <c r="J882" s="42" t="n">
        <f aca="false">(E882-INDEX('Cohort Summary'!$F$5:$F$14,MATCH($A882,'Cohort Summary'!$A$5:$A$14,0)))/INDEX('Cohort Summary'!$G$5:$G$14,MATCH($A882,'Cohort Summary'!$A$5:$A$14,0))</f>
        <v>-1.2037037037037</v>
      </c>
      <c r="K882" s="42" t="n">
        <f aca="false">(F882-INDEX('Cohort Summary'!$H$5:$H$14,MATCH($A882,'Cohort Summary'!$A$5:$A$14,0)))/INDEX('Cohort Summary'!$I$5:$I$14,MATCH($A882,'Cohort Summary'!$A$5:$A$14,0))</f>
        <v>-0.875444839857649</v>
      </c>
      <c r="L882" s="42" t="n">
        <f aca="false">(G882-INDEX('Cohort Summary'!$J$5:$J$14,MATCH($A882,'Cohort Summary'!$A$5:$A$14,0)))/INDEX('Cohort Summary'!$K$5:$K$14,MATCH($A882,'Cohort Summary'!$A$5:$A$14,0))</f>
        <v>-0.0317460317460367</v>
      </c>
      <c r="M882" s="42" t="n">
        <f aca="false">MAX(I882:K882)</f>
        <v>-0.875444839857649</v>
      </c>
      <c r="N882" s="27" t="s">
        <v>197</v>
      </c>
      <c r="O882" s="27"/>
      <c r="P882" s="27" t="str">
        <f aca="false">A882&amp;"|"&amp;N882</f>
        <v>NURSE-05|normal</v>
      </c>
    </row>
    <row r="883" customFormat="false" ht="15" hidden="false" customHeight="true" outlineLevel="0" collapsed="false">
      <c r="A883" s="27" t="s">
        <v>86</v>
      </c>
      <c r="B883" s="41" t="n">
        <v>46303.3197916667</v>
      </c>
      <c r="C883" s="27" t="s">
        <v>200</v>
      </c>
      <c r="D883" s="27" t="n">
        <v>69.4</v>
      </c>
      <c r="E883" s="27" t="n">
        <v>20.9</v>
      </c>
      <c r="F883" s="27" t="n">
        <v>45.7</v>
      </c>
      <c r="G883" s="27" t="n">
        <v>33.9</v>
      </c>
      <c r="H883" s="27" t="s">
        <v>196</v>
      </c>
      <c r="I883" s="42" t="n">
        <f aca="false">(D883-INDEX('Cohort Summary'!$D$5:$D$14,MATCH($A883,'Cohort Summary'!$A$5:$A$14,0)))/INDEX('Cohort Summary'!$E$5:$E$14,MATCH($A883,'Cohort Summary'!$A$5:$A$14,0))</f>
        <v>1.38194444444445</v>
      </c>
      <c r="J883" s="42" t="n">
        <f aca="false">(E883-INDEX('Cohort Summary'!$F$5:$F$14,MATCH($A883,'Cohort Summary'!$A$5:$A$14,0)))/INDEX('Cohort Summary'!$G$5:$G$14,MATCH($A883,'Cohort Summary'!$A$5:$A$14,0))</f>
        <v>0</v>
      </c>
      <c r="K883" s="42" t="n">
        <f aca="false">(F883-INDEX('Cohort Summary'!$H$5:$H$14,MATCH($A883,'Cohort Summary'!$A$5:$A$14,0)))/INDEX('Cohort Summary'!$I$5:$I$14,MATCH($A883,'Cohort Summary'!$A$5:$A$14,0))</f>
        <v>-1.58718861209964</v>
      </c>
      <c r="L883" s="42" t="n">
        <f aca="false">(G883-INDEX('Cohort Summary'!$J$5:$J$14,MATCH($A883,'Cohort Summary'!$A$5:$A$14,0)))/INDEX('Cohort Summary'!$K$5:$K$14,MATCH($A883,'Cohort Summary'!$A$5:$A$14,0))</f>
        <v>-0.82539682539683</v>
      </c>
      <c r="M883" s="42" t="n">
        <f aca="false">MAX(I883:K883)</f>
        <v>1.38194444444445</v>
      </c>
      <c r="N883" s="27" t="s">
        <v>197</v>
      </c>
      <c r="O883" s="27"/>
      <c r="P883" s="27" t="str">
        <f aca="false">A883&amp;"|"&amp;N883</f>
        <v>NURSE-05|normal</v>
      </c>
    </row>
    <row r="884" customFormat="false" ht="15" hidden="false" customHeight="true" outlineLevel="0" collapsed="false">
      <c r="A884" s="27" t="s">
        <v>86</v>
      </c>
      <c r="B884" s="41" t="n">
        <v>46303.3201388889</v>
      </c>
      <c r="C884" s="27" t="s">
        <v>200</v>
      </c>
      <c r="D884" s="27" t="n">
        <v>62.2</v>
      </c>
      <c r="E884" s="27" t="n">
        <v>21.3</v>
      </c>
      <c r="F884" s="27" t="n">
        <v>55</v>
      </c>
      <c r="G884" s="27" t="n">
        <v>35.4</v>
      </c>
      <c r="H884" s="27" t="s">
        <v>199</v>
      </c>
      <c r="I884" s="42" t="n">
        <f aca="false">(D884-INDEX('Cohort Summary'!$D$5:$D$14,MATCH($A884,'Cohort Summary'!$A$5:$A$14,0)))/INDEX('Cohort Summary'!$E$5:$E$14,MATCH($A884,'Cohort Summary'!$A$5:$A$14,0))</f>
        <v>-1.11805555555556</v>
      </c>
      <c r="J884" s="42" t="n">
        <f aca="false">(E884-INDEX('Cohort Summary'!$F$5:$F$14,MATCH($A884,'Cohort Summary'!$A$5:$A$14,0)))/INDEX('Cohort Summary'!$G$5:$G$14,MATCH($A884,'Cohort Summary'!$A$5:$A$14,0))</f>
        <v>0.185185185185186</v>
      </c>
      <c r="K884" s="42" t="n">
        <f aca="false">(F884-INDEX('Cohort Summary'!$H$5:$H$14,MATCH($A884,'Cohort Summary'!$A$5:$A$14,0)))/INDEX('Cohort Summary'!$I$5:$I$14,MATCH($A884,'Cohort Summary'!$A$5:$A$14,0))</f>
        <v>1.72241992882562</v>
      </c>
      <c r="L884" s="42" t="n">
        <f aca="false">(G884-INDEX('Cohort Summary'!$J$5:$J$14,MATCH($A884,'Cohort Summary'!$A$5:$A$14,0)))/INDEX('Cohort Summary'!$K$5:$K$14,MATCH($A884,'Cohort Summary'!$A$5:$A$14,0))</f>
        <v>1.55555555555555</v>
      </c>
      <c r="M884" s="42" t="n">
        <f aca="false">MAX(I884:K884)</f>
        <v>1.72241992882562</v>
      </c>
      <c r="N884" s="27" t="s">
        <v>197</v>
      </c>
      <c r="O884" s="27"/>
      <c r="P884" s="27" t="str">
        <f aca="false">A884&amp;"|"&amp;N884</f>
        <v>NURSE-05|normal</v>
      </c>
    </row>
    <row r="885" customFormat="false" ht="15" hidden="false" customHeight="true" outlineLevel="0" collapsed="false">
      <c r="A885" s="27" t="s">
        <v>86</v>
      </c>
      <c r="B885" s="41" t="n">
        <v>46303.3204861111</v>
      </c>
      <c r="C885" s="27" t="s">
        <v>200</v>
      </c>
      <c r="D885" s="27" t="n">
        <v>61.1</v>
      </c>
      <c r="E885" s="27" t="n">
        <v>23.6</v>
      </c>
      <c r="F885" s="27" t="n">
        <v>50.2</v>
      </c>
      <c r="G885" s="27" t="n">
        <v>34</v>
      </c>
      <c r="H885" s="27" t="s">
        <v>198</v>
      </c>
      <c r="I885" s="42" t="n">
        <f aca="false">(D885-INDEX('Cohort Summary'!$D$5:$D$14,MATCH($A885,'Cohort Summary'!$A$5:$A$14,0)))/INDEX('Cohort Summary'!$E$5:$E$14,MATCH($A885,'Cohort Summary'!$A$5:$A$14,0))</f>
        <v>-1.5</v>
      </c>
      <c r="J885" s="42" t="n">
        <f aca="false">(E885-INDEX('Cohort Summary'!$F$5:$F$14,MATCH($A885,'Cohort Summary'!$A$5:$A$14,0)))/INDEX('Cohort Summary'!$G$5:$G$14,MATCH($A885,'Cohort Summary'!$A$5:$A$14,0))</f>
        <v>1.25</v>
      </c>
      <c r="K885" s="42" t="n">
        <f aca="false">(F885-INDEX('Cohort Summary'!$H$5:$H$14,MATCH($A885,'Cohort Summary'!$A$5:$A$14,0)))/INDEX('Cohort Summary'!$I$5:$I$14,MATCH($A885,'Cohort Summary'!$A$5:$A$14,0))</f>
        <v>0.0142348754448421</v>
      </c>
      <c r="L885" s="42" t="n">
        <f aca="false">(G885-INDEX('Cohort Summary'!$J$5:$J$14,MATCH($A885,'Cohort Summary'!$A$5:$A$14,0)))/INDEX('Cohort Summary'!$K$5:$K$14,MATCH($A885,'Cohort Summary'!$A$5:$A$14,0))</f>
        <v>-0.666666666666669</v>
      </c>
      <c r="M885" s="42" t="n">
        <f aca="false">MAX(I885:K885)</f>
        <v>1.25</v>
      </c>
      <c r="N885" s="27" t="s">
        <v>197</v>
      </c>
      <c r="O885" s="27"/>
      <c r="P885" s="27" t="str">
        <f aca="false">A885&amp;"|"&amp;N885</f>
        <v>NURSE-05|normal</v>
      </c>
    </row>
    <row r="886" customFormat="false" ht="15" hidden="false" customHeight="true" outlineLevel="0" collapsed="false">
      <c r="A886" s="27" t="s">
        <v>86</v>
      </c>
      <c r="B886" s="41" t="n">
        <v>46303.3208333333</v>
      </c>
      <c r="C886" s="27" t="s">
        <v>200</v>
      </c>
      <c r="D886" s="27" t="n">
        <v>65.1</v>
      </c>
      <c r="E886" s="27" t="n">
        <v>19.2</v>
      </c>
      <c r="F886" s="27" t="n">
        <v>46</v>
      </c>
      <c r="G886" s="27" t="n">
        <v>34.5</v>
      </c>
      <c r="H886" s="27" t="s">
        <v>199</v>
      </c>
      <c r="I886" s="42" t="n">
        <f aca="false">(D886-INDEX('Cohort Summary'!$D$5:$D$14,MATCH($A886,'Cohort Summary'!$A$5:$A$14,0)))/INDEX('Cohort Summary'!$E$5:$E$14,MATCH($A886,'Cohort Summary'!$A$5:$A$14,0))</f>
        <v>-0.111111111111114</v>
      </c>
      <c r="J886" s="42" t="n">
        <f aca="false">(E886-INDEX('Cohort Summary'!$F$5:$F$14,MATCH($A886,'Cohort Summary'!$A$5:$A$14,0)))/INDEX('Cohort Summary'!$G$5:$G$14,MATCH($A886,'Cohort Summary'!$A$5:$A$14,0))</f>
        <v>-0.787037037037037</v>
      </c>
      <c r="K886" s="42" t="n">
        <f aca="false">(F886-INDEX('Cohort Summary'!$H$5:$H$14,MATCH($A886,'Cohort Summary'!$A$5:$A$14,0)))/INDEX('Cohort Summary'!$I$5:$I$14,MATCH($A886,'Cohort Summary'!$A$5:$A$14,0))</f>
        <v>-1.48042704626334</v>
      </c>
      <c r="L886" s="42" t="n">
        <f aca="false">(G886-INDEX('Cohort Summary'!$J$5:$J$14,MATCH($A886,'Cohort Summary'!$A$5:$A$14,0)))/INDEX('Cohort Summary'!$K$5:$K$14,MATCH($A886,'Cohort Summary'!$A$5:$A$14,0))</f>
        <v>0.126984126984124</v>
      </c>
      <c r="M886" s="42" t="n">
        <f aca="false">MAX(I886:K886)</f>
        <v>-0.111111111111114</v>
      </c>
      <c r="N886" s="27" t="s">
        <v>197</v>
      </c>
      <c r="O886" s="27"/>
      <c r="P886" s="27" t="str">
        <f aca="false">A886&amp;"|"&amp;N886</f>
        <v>NURSE-05|normal</v>
      </c>
    </row>
    <row r="887" customFormat="false" ht="15" hidden="false" customHeight="true" outlineLevel="0" collapsed="false">
      <c r="A887" s="27" t="s">
        <v>86</v>
      </c>
      <c r="B887" s="41" t="n">
        <v>46303.3211805556</v>
      </c>
      <c r="C887" s="27" t="s">
        <v>200</v>
      </c>
      <c r="D887" s="27" t="n">
        <v>69.2</v>
      </c>
      <c r="E887" s="27" t="n">
        <v>20.2</v>
      </c>
      <c r="F887" s="27" t="n">
        <v>52.3</v>
      </c>
      <c r="G887" s="27" t="n">
        <v>33.6</v>
      </c>
      <c r="H887" s="27" t="s">
        <v>199</v>
      </c>
      <c r="I887" s="42" t="n">
        <f aca="false">(D887-INDEX('Cohort Summary'!$D$5:$D$14,MATCH($A887,'Cohort Summary'!$A$5:$A$14,0)))/INDEX('Cohort Summary'!$E$5:$E$14,MATCH($A887,'Cohort Summary'!$A$5:$A$14,0))</f>
        <v>1.3125</v>
      </c>
      <c r="J887" s="42" t="n">
        <f aca="false">(E887-INDEX('Cohort Summary'!$F$5:$F$14,MATCH($A887,'Cohort Summary'!$A$5:$A$14,0)))/INDEX('Cohort Summary'!$G$5:$G$14,MATCH($A887,'Cohort Summary'!$A$5:$A$14,0))</f>
        <v>-0.324074074074074</v>
      </c>
      <c r="K887" s="42" t="n">
        <f aca="false">(F887-INDEX('Cohort Summary'!$H$5:$H$14,MATCH($A887,'Cohort Summary'!$A$5:$A$14,0)))/INDEX('Cohort Summary'!$I$5:$I$14,MATCH($A887,'Cohort Summary'!$A$5:$A$14,0))</f>
        <v>0.761565836298933</v>
      </c>
      <c r="L887" s="42" t="n">
        <f aca="false">(G887-INDEX('Cohort Summary'!$J$5:$J$14,MATCH($A887,'Cohort Summary'!$A$5:$A$14,0)))/INDEX('Cohort Summary'!$K$5:$K$14,MATCH($A887,'Cohort Summary'!$A$5:$A$14,0))</f>
        <v>-1.3015873015873</v>
      </c>
      <c r="M887" s="42" t="n">
        <f aca="false">MAX(I887:K887)</f>
        <v>1.3125</v>
      </c>
      <c r="N887" s="27" t="s">
        <v>197</v>
      </c>
      <c r="O887" s="27"/>
      <c r="P887" s="27" t="str">
        <f aca="false">A887&amp;"|"&amp;N887</f>
        <v>NURSE-05|normal</v>
      </c>
    </row>
    <row r="888" customFormat="false" ht="15" hidden="false" customHeight="true" outlineLevel="0" collapsed="false">
      <c r="A888" s="27" t="s">
        <v>86</v>
      </c>
      <c r="B888" s="41" t="n">
        <v>46303.3215277778</v>
      </c>
      <c r="C888" s="27" t="s">
        <v>200</v>
      </c>
      <c r="D888" s="27" t="n">
        <v>66.3</v>
      </c>
      <c r="E888" s="27" t="n">
        <v>17.7</v>
      </c>
      <c r="F888" s="27" t="n">
        <v>47.8</v>
      </c>
      <c r="G888" s="27" t="n">
        <v>35.1</v>
      </c>
      <c r="H888" s="27" t="s">
        <v>198</v>
      </c>
      <c r="I888" s="42" t="n">
        <f aca="false">(D888-INDEX('Cohort Summary'!$D$5:$D$14,MATCH($A888,'Cohort Summary'!$A$5:$A$14,0)))/INDEX('Cohort Summary'!$E$5:$E$14,MATCH($A888,'Cohort Summary'!$A$5:$A$14,0))</f>
        <v>0.305555555555554</v>
      </c>
      <c r="J888" s="42" t="n">
        <f aca="false">(E888-INDEX('Cohort Summary'!$F$5:$F$14,MATCH($A888,'Cohort Summary'!$A$5:$A$14,0)))/INDEX('Cohort Summary'!$G$5:$G$14,MATCH($A888,'Cohort Summary'!$A$5:$A$14,0))</f>
        <v>-1.48148148148148</v>
      </c>
      <c r="K888" s="42" t="n">
        <f aca="false">(F888-INDEX('Cohort Summary'!$H$5:$H$14,MATCH($A888,'Cohort Summary'!$A$5:$A$14,0)))/INDEX('Cohort Summary'!$I$5:$I$14,MATCH($A888,'Cohort Summary'!$A$5:$A$14,0))</f>
        <v>-0.839857651245551</v>
      </c>
      <c r="L888" s="42" t="n">
        <f aca="false">(G888-INDEX('Cohort Summary'!$J$5:$J$14,MATCH($A888,'Cohort Summary'!$A$5:$A$14,0)))/INDEX('Cohort Summary'!$K$5:$K$14,MATCH($A888,'Cohort Summary'!$A$5:$A$14,0))</f>
        <v>1.07936507936508</v>
      </c>
      <c r="M888" s="42" t="n">
        <f aca="false">MAX(I888:K888)</f>
        <v>0.305555555555554</v>
      </c>
      <c r="N888" s="27" t="s">
        <v>197</v>
      </c>
      <c r="O888" s="27"/>
      <c r="P888" s="27" t="str">
        <f aca="false">A888&amp;"|"&amp;N888</f>
        <v>NURSE-05|normal</v>
      </c>
    </row>
    <row r="889" customFormat="false" ht="15" hidden="false" customHeight="true" outlineLevel="0" collapsed="false">
      <c r="A889" s="27" t="s">
        <v>86</v>
      </c>
      <c r="B889" s="41" t="n">
        <v>46303.321875</v>
      </c>
      <c r="C889" s="27" t="s">
        <v>200</v>
      </c>
      <c r="D889" s="27" t="n">
        <v>61.2</v>
      </c>
      <c r="E889" s="27" t="n">
        <v>23.9</v>
      </c>
      <c r="F889" s="27" t="n">
        <v>49.8</v>
      </c>
      <c r="G889" s="27" t="n">
        <v>33.9</v>
      </c>
      <c r="H889" s="27" t="s">
        <v>198</v>
      </c>
      <c r="I889" s="42" t="n">
        <f aca="false">(D889-INDEX('Cohort Summary'!$D$5:$D$14,MATCH($A889,'Cohort Summary'!$A$5:$A$14,0)))/INDEX('Cohort Summary'!$E$5:$E$14,MATCH($A889,'Cohort Summary'!$A$5:$A$14,0))</f>
        <v>-1.46527777777778</v>
      </c>
      <c r="J889" s="42" t="n">
        <f aca="false">(E889-INDEX('Cohort Summary'!$F$5:$F$14,MATCH($A889,'Cohort Summary'!$A$5:$A$14,0)))/INDEX('Cohort Summary'!$G$5:$G$14,MATCH($A889,'Cohort Summary'!$A$5:$A$14,0))</f>
        <v>1.38888888888889</v>
      </c>
      <c r="K889" s="42" t="n">
        <f aca="false">(F889-INDEX('Cohort Summary'!$H$5:$H$14,MATCH($A889,'Cohort Summary'!$A$5:$A$14,0)))/INDEX('Cohort Summary'!$I$5:$I$14,MATCH($A889,'Cohort Summary'!$A$5:$A$14,0))</f>
        <v>-0.128113879003559</v>
      </c>
      <c r="L889" s="42" t="n">
        <f aca="false">(G889-INDEX('Cohort Summary'!$J$5:$J$14,MATCH($A889,'Cohort Summary'!$A$5:$A$14,0)))/INDEX('Cohort Summary'!$K$5:$K$14,MATCH($A889,'Cohort Summary'!$A$5:$A$14,0))</f>
        <v>-0.82539682539683</v>
      </c>
      <c r="M889" s="42" t="n">
        <f aca="false">MAX(I889:K889)</f>
        <v>1.38888888888889</v>
      </c>
      <c r="N889" s="27" t="s">
        <v>197</v>
      </c>
      <c r="O889" s="27"/>
      <c r="P889" s="27" t="str">
        <f aca="false">A889&amp;"|"&amp;N889</f>
        <v>NURSE-05|normal</v>
      </c>
    </row>
    <row r="890" customFormat="false" ht="15" hidden="false" customHeight="true" outlineLevel="0" collapsed="false">
      <c r="A890" s="27" t="s">
        <v>86</v>
      </c>
      <c r="B890" s="41" t="n">
        <v>46303.3222222222</v>
      </c>
      <c r="C890" s="27" t="s">
        <v>200</v>
      </c>
      <c r="D890" s="27" t="n">
        <v>66.3</v>
      </c>
      <c r="E890" s="27" t="n">
        <v>22.7</v>
      </c>
      <c r="F890" s="27" t="n">
        <v>54</v>
      </c>
      <c r="G890" s="27" t="n">
        <v>34.8</v>
      </c>
      <c r="H890" s="27" t="s">
        <v>196</v>
      </c>
      <c r="I890" s="42" t="n">
        <f aca="false">(D890-INDEX('Cohort Summary'!$D$5:$D$14,MATCH($A890,'Cohort Summary'!$A$5:$A$14,0)))/INDEX('Cohort Summary'!$E$5:$E$14,MATCH($A890,'Cohort Summary'!$A$5:$A$14,0))</f>
        <v>0.305555555555554</v>
      </c>
      <c r="J890" s="42" t="n">
        <f aca="false">(E890-INDEX('Cohort Summary'!$F$5:$F$14,MATCH($A890,'Cohort Summary'!$A$5:$A$14,0)))/INDEX('Cohort Summary'!$G$5:$G$14,MATCH($A890,'Cohort Summary'!$A$5:$A$14,0))</f>
        <v>0.833333333333334</v>
      </c>
      <c r="K890" s="42" t="n">
        <f aca="false">(F890-INDEX('Cohort Summary'!$H$5:$H$14,MATCH($A890,'Cohort Summary'!$A$5:$A$14,0)))/INDEX('Cohort Summary'!$I$5:$I$14,MATCH($A890,'Cohort Summary'!$A$5:$A$14,0))</f>
        <v>1.36654804270463</v>
      </c>
      <c r="L890" s="42" t="n">
        <f aca="false">(G890-INDEX('Cohort Summary'!$J$5:$J$14,MATCH($A890,'Cohort Summary'!$A$5:$A$14,0)))/INDEX('Cohort Summary'!$K$5:$K$14,MATCH($A890,'Cohort Summary'!$A$5:$A$14,0))</f>
        <v>0.603174603174596</v>
      </c>
      <c r="M890" s="42" t="n">
        <f aca="false">MAX(I890:K890)</f>
        <v>1.36654804270463</v>
      </c>
      <c r="N890" s="27" t="s">
        <v>197</v>
      </c>
      <c r="O890" s="27"/>
      <c r="P890" s="27" t="str">
        <f aca="false">A890&amp;"|"&amp;N890</f>
        <v>NURSE-05|normal</v>
      </c>
    </row>
    <row r="891" customFormat="false" ht="15" hidden="false" customHeight="true" outlineLevel="0" collapsed="false">
      <c r="A891" s="27" t="s">
        <v>86</v>
      </c>
      <c r="B891" s="41" t="n">
        <v>46303.3225694444</v>
      </c>
      <c r="C891" s="27" t="s">
        <v>200</v>
      </c>
      <c r="D891" s="27" t="n">
        <v>67.4</v>
      </c>
      <c r="E891" s="27" t="n">
        <v>20.8</v>
      </c>
      <c r="F891" s="27" t="n">
        <v>47.3</v>
      </c>
      <c r="G891" s="27" t="n">
        <v>34.5</v>
      </c>
      <c r="H891" s="27" t="s">
        <v>196</v>
      </c>
      <c r="I891" s="42" t="n">
        <f aca="false">(D891-INDEX('Cohort Summary'!$D$5:$D$14,MATCH($A891,'Cohort Summary'!$A$5:$A$14,0)))/INDEX('Cohort Summary'!$E$5:$E$14,MATCH($A891,'Cohort Summary'!$A$5:$A$14,0))</f>
        <v>0.687500000000001</v>
      </c>
      <c r="J891" s="42" t="n">
        <f aca="false">(E891-INDEX('Cohort Summary'!$F$5:$F$14,MATCH($A891,'Cohort Summary'!$A$5:$A$14,0)))/INDEX('Cohort Summary'!$G$5:$G$14,MATCH($A891,'Cohort Summary'!$A$5:$A$14,0))</f>
        <v>-0.0462962962962953</v>
      </c>
      <c r="K891" s="42" t="n">
        <f aca="false">(F891-INDEX('Cohort Summary'!$H$5:$H$14,MATCH($A891,'Cohort Summary'!$A$5:$A$14,0)))/INDEX('Cohort Summary'!$I$5:$I$14,MATCH($A891,'Cohort Summary'!$A$5:$A$14,0))</f>
        <v>-1.01779359430605</v>
      </c>
      <c r="L891" s="42" t="n">
        <f aca="false">(G891-INDEX('Cohort Summary'!$J$5:$J$14,MATCH($A891,'Cohort Summary'!$A$5:$A$14,0)))/INDEX('Cohort Summary'!$K$5:$K$14,MATCH($A891,'Cohort Summary'!$A$5:$A$14,0))</f>
        <v>0.126984126984124</v>
      </c>
      <c r="M891" s="42" t="n">
        <f aca="false">MAX(I891:K891)</f>
        <v>0.687500000000001</v>
      </c>
      <c r="N891" s="27" t="s">
        <v>197</v>
      </c>
      <c r="O891" s="27"/>
      <c r="P891" s="27" t="str">
        <f aca="false">A891&amp;"|"&amp;N891</f>
        <v>NURSE-05|normal</v>
      </c>
    </row>
    <row r="892" customFormat="false" ht="15" hidden="false" customHeight="true" outlineLevel="0" collapsed="false">
      <c r="A892" s="27" t="s">
        <v>86</v>
      </c>
      <c r="B892" s="41" t="n">
        <v>46303.3229166667</v>
      </c>
      <c r="C892" s="27" t="s">
        <v>200</v>
      </c>
      <c r="D892" s="27" t="n">
        <v>61.4</v>
      </c>
      <c r="E892" s="27" t="n">
        <v>19.6</v>
      </c>
      <c r="F892" s="27" t="n">
        <v>48.9</v>
      </c>
      <c r="G892" s="27" t="n">
        <v>35.3</v>
      </c>
      <c r="H892" s="27" t="s">
        <v>199</v>
      </c>
      <c r="I892" s="42" t="n">
        <f aca="false">(D892-INDEX('Cohort Summary'!$D$5:$D$14,MATCH($A892,'Cohort Summary'!$A$5:$A$14,0)))/INDEX('Cohort Summary'!$E$5:$E$14,MATCH($A892,'Cohort Summary'!$A$5:$A$14,0))</f>
        <v>-1.39583333333333</v>
      </c>
      <c r="J892" s="42" t="n">
        <f aca="false">(E892-INDEX('Cohort Summary'!$F$5:$F$14,MATCH($A892,'Cohort Summary'!$A$5:$A$14,0)))/INDEX('Cohort Summary'!$G$5:$G$14,MATCH($A892,'Cohort Summary'!$A$5:$A$14,0))</f>
        <v>-0.601851851851851</v>
      </c>
      <c r="K892" s="42" t="n">
        <f aca="false">(F892-INDEX('Cohort Summary'!$H$5:$H$14,MATCH($A892,'Cohort Summary'!$A$5:$A$14,0)))/INDEX('Cohort Summary'!$I$5:$I$14,MATCH($A892,'Cohort Summary'!$A$5:$A$14,0))</f>
        <v>-0.448398576512455</v>
      </c>
      <c r="L892" s="42" t="n">
        <f aca="false">(G892-INDEX('Cohort Summary'!$J$5:$J$14,MATCH($A892,'Cohort Summary'!$A$5:$A$14,0)))/INDEX('Cohort Summary'!$K$5:$K$14,MATCH($A892,'Cohort Summary'!$A$5:$A$14,0))</f>
        <v>1.39682539682539</v>
      </c>
      <c r="M892" s="42" t="n">
        <f aca="false">MAX(I892:K892)</f>
        <v>-0.448398576512455</v>
      </c>
      <c r="N892" s="27" t="s">
        <v>197</v>
      </c>
      <c r="O892" s="27"/>
      <c r="P892" s="27" t="str">
        <f aca="false">A892&amp;"|"&amp;N892</f>
        <v>NURSE-05|normal</v>
      </c>
    </row>
    <row r="893" customFormat="false" ht="15" hidden="false" customHeight="true" outlineLevel="0" collapsed="false">
      <c r="A893" s="27" t="s">
        <v>86</v>
      </c>
      <c r="B893" s="41" t="n">
        <v>46303.3232638889</v>
      </c>
      <c r="C893" s="27" t="s">
        <v>200</v>
      </c>
      <c r="D893" s="27" t="n">
        <v>67.4</v>
      </c>
      <c r="E893" s="27" t="n">
        <v>23</v>
      </c>
      <c r="F893" s="27" t="n">
        <v>48.7</v>
      </c>
      <c r="G893" s="27" t="n">
        <v>35.3</v>
      </c>
      <c r="H893" s="27" t="s">
        <v>198</v>
      </c>
      <c r="I893" s="42" t="n">
        <f aca="false">(D893-INDEX('Cohort Summary'!$D$5:$D$14,MATCH($A893,'Cohort Summary'!$A$5:$A$14,0)))/INDEX('Cohort Summary'!$E$5:$E$14,MATCH($A893,'Cohort Summary'!$A$5:$A$14,0))</f>
        <v>0.687500000000001</v>
      </c>
      <c r="J893" s="42" t="n">
        <f aca="false">(E893-INDEX('Cohort Summary'!$F$5:$F$14,MATCH($A893,'Cohort Summary'!$A$5:$A$14,0)))/INDEX('Cohort Summary'!$G$5:$G$14,MATCH($A893,'Cohort Summary'!$A$5:$A$14,0))</f>
        <v>0.972222222222223</v>
      </c>
      <c r="K893" s="42" t="n">
        <f aca="false">(F893-INDEX('Cohort Summary'!$H$5:$H$14,MATCH($A893,'Cohort Summary'!$A$5:$A$14,0)))/INDEX('Cohort Summary'!$I$5:$I$14,MATCH($A893,'Cohort Summary'!$A$5:$A$14,0))</f>
        <v>-0.519572953736653</v>
      </c>
      <c r="L893" s="42" t="n">
        <f aca="false">(G893-INDEX('Cohort Summary'!$J$5:$J$14,MATCH($A893,'Cohort Summary'!$A$5:$A$14,0)))/INDEX('Cohort Summary'!$K$5:$K$14,MATCH($A893,'Cohort Summary'!$A$5:$A$14,0))</f>
        <v>1.39682539682539</v>
      </c>
      <c r="M893" s="42" t="n">
        <f aca="false">MAX(I893:K893)</f>
        <v>0.972222222222223</v>
      </c>
      <c r="N893" s="27" t="s">
        <v>197</v>
      </c>
      <c r="O893" s="27"/>
      <c r="P893" s="27" t="str">
        <f aca="false">A893&amp;"|"&amp;N893</f>
        <v>NURSE-05|normal</v>
      </c>
    </row>
    <row r="894" customFormat="false" ht="15" hidden="false" customHeight="true" outlineLevel="0" collapsed="false">
      <c r="A894" s="27" t="s">
        <v>86</v>
      </c>
      <c r="B894" s="41" t="n">
        <v>46303.3236111111</v>
      </c>
      <c r="C894" s="27" t="s">
        <v>200</v>
      </c>
      <c r="D894" s="27" t="n">
        <v>67</v>
      </c>
      <c r="E894" s="27" t="n">
        <v>17.1</v>
      </c>
      <c r="F894" s="27" t="n">
        <v>49.6</v>
      </c>
      <c r="G894" s="27" t="n">
        <v>34.9</v>
      </c>
      <c r="H894" s="27" t="s">
        <v>199</v>
      </c>
      <c r="I894" s="42" t="n">
        <f aca="false">(D894-INDEX('Cohort Summary'!$D$5:$D$14,MATCH($A894,'Cohort Summary'!$A$5:$A$14,0)))/INDEX('Cohort Summary'!$E$5:$E$14,MATCH($A894,'Cohort Summary'!$A$5:$A$14,0))</f>
        <v>0.548611111111111</v>
      </c>
      <c r="J894" s="42" t="n">
        <f aca="false">(E894-INDEX('Cohort Summary'!$F$5:$F$14,MATCH($A894,'Cohort Summary'!$A$5:$A$14,0)))/INDEX('Cohort Summary'!$G$5:$G$14,MATCH($A894,'Cohort Summary'!$A$5:$A$14,0))</f>
        <v>-1.75925925925926</v>
      </c>
      <c r="K894" s="42" t="n">
        <f aca="false">(F894-INDEX('Cohort Summary'!$H$5:$H$14,MATCH($A894,'Cohort Summary'!$A$5:$A$14,0)))/INDEX('Cohort Summary'!$I$5:$I$14,MATCH($A894,'Cohort Summary'!$A$5:$A$14,0))</f>
        <v>-0.199288256227756</v>
      </c>
      <c r="L894" s="42" t="n">
        <f aca="false">(G894-INDEX('Cohort Summary'!$J$5:$J$14,MATCH($A894,'Cohort Summary'!$A$5:$A$14,0)))/INDEX('Cohort Summary'!$K$5:$K$14,MATCH($A894,'Cohort Summary'!$A$5:$A$14,0))</f>
        <v>0.761904761904757</v>
      </c>
      <c r="M894" s="42" t="n">
        <f aca="false">MAX(I894:K894)</f>
        <v>0.548611111111111</v>
      </c>
      <c r="N894" s="27" t="s">
        <v>197</v>
      </c>
      <c r="O894" s="27"/>
      <c r="P894" s="27" t="str">
        <f aca="false">A894&amp;"|"&amp;N894</f>
        <v>NURSE-05|normal</v>
      </c>
    </row>
    <row r="895" customFormat="false" ht="15" hidden="false" customHeight="true" outlineLevel="0" collapsed="false">
      <c r="A895" s="27" t="s">
        <v>86</v>
      </c>
      <c r="B895" s="41" t="n">
        <v>46303.3239583333</v>
      </c>
      <c r="C895" s="27" t="s">
        <v>200</v>
      </c>
      <c r="D895" s="27" t="n">
        <v>62.2</v>
      </c>
      <c r="E895" s="27" t="n">
        <v>17.3</v>
      </c>
      <c r="F895" s="27" t="n">
        <v>49.4</v>
      </c>
      <c r="G895" s="27" t="n">
        <v>33.8</v>
      </c>
      <c r="H895" s="27" t="s">
        <v>198</v>
      </c>
      <c r="I895" s="42" t="n">
        <f aca="false">(D895-INDEX('Cohort Summary'!$D$5:$D$14,MATCH($A895,'Cohort Summary'!$A$5:$A$14,0)))/INDEX('Cohort Summary'!$E$5:$E$14,MATCH($A895,'Cohort Summary'!$A$5:$A$14,0))</f>
        <v>-1.11805555555556</v>
      </c>
      <c r="J895" s="42" t="n">
        <f aca="false">(E895-INDEX('Cohort Summary'!$F$5:$F$14,MATCH($A895,'Cohort Summary'!$A$5:$A$14,0)))/INDEX('Cohort Summary'!$G$5:$G$14,MATCH($A895,'Cohort Summary'!$A$5:$A$14,0))</f>
        <v>-1.66666666666667</v>
      </c>
      <c r="K895" s="42" t="n">
        <f aca="false">(F895-INDEX('Cohort Summary'!$H$5:$H$14,MATCH($A895,'Cohort Summary'!$A$5:$A$14,0)))/INDEX('Cohort Summary'!$I$5:$I$14,MATCH($A895,'Cohort Summary'!$A$5:$A$14,0))</f>
        <v>-0.270462633451957</v>
      </c>
      <c r="L895" s="42" t="n">
        <f aca="false">(G895-INDEX('Cohort Summary'!$J$5:$J$14,MATCH($A895,'Cohort Summary'!$A$5:$A$14,0)))/INDEX('Cohort Summary'!$K$5:$K$14,MATCH($A895,'Cohort Summary'!$A$5:$A$14,0))</f>
        <v>-0.984126984126991</v>
      </c>
      <c r="M895" s="42" t="n">
        <f aca="false">MAX(I895:K895)</f>
        <v>-0.270462633451957</v>
      </c>
      <c r="N895" s="27" t="s">
        <v>197</v>
      </c>
      <c r="O895" s="27"/>
      <c r="P895" s="27" t="str">
        <f aca="false">A895&amp;"|"&amp;N895</f>
        <v>NURSE-05|normal</v>
      </c>
    </row>
    <row r="896" customFormat="false" ht="15" hidden="false" customHeight="true" outlineLevel="0" collapsed="false">
      <c r="A896" s="27" t="s">
        <v>86</v>
      </c>
      <c r="B896" s="41" t="n">
        <v>46303.3243055556</v>
      </c>
      <c r="C896" s="27" t="s">
        <v>200</v>
      </c>
      <c r="D896" s="27" t="n">
        <v>63</v>
      </c>
      <c r="E896" s="27" t="n">
        <v>19.2</v>
      </c>
      <c r="F896" s="27" t="n">
        <v>47</v>
      </c>
      <c r="G896" s="27" t="n">
        <v>33.6</v>
      </c>
      <c r="H896" s="27" t="s">
        <v>198</v>
      </c>
      <c r="I896" s="42" t="n">
        <f aca="false">(D896-INDEX('Cohort Summary'!$D$5:$D$14,MATCH($A896,'Cohort Summary'!$A$5:$A$14,0)))/INDEX('Cohort Summary'!$E$5:$E$14,MATCH($A896,'Cohort Summary'!$A$5:$A$14,0))</f>
        <v>-0.840277777777779</v>
      </c>
      <c r="J896" s="42" t="n">
        <f aca="false">(E896-INDEX('Cohort Summary'!$F$5:$F$14,MATCH($A896,'Cohort Summary'!$A$5:$A$14,0)))/INDEX('Cohort Summary'!$G$5:$G$14,MATCH($A896,'Cohort Summary'!$A$5:$A$14,0))</f>
        <v>-0.787037037037037</v>
      </c>
      <c r="K896" s="42" t="n">
        <f aca="false">(F896-INDEX('Cohort Summary'!$H$5:$H$14,MATCH($A896,'Cohort Summary'!$A$5:$A$14,0)))/INDEX('Cohort Summary'!$I$5:$I$14,MATCH($A896,'Cohort Summary'!$A$5:$A$14,0))</f>
        <v>-1.12455516014235</v>
      </c>
      <c r="L896" s="42" t="n">
        <f aca="false">(G896-INDEX('Cohort Summary'!$J$5:$J$14,MATCH($A896,'Cohort Summary'!$A$5:$A$14,0)))/INDEX('Cohort Summary'!$K$5:$K$14,MATCH($A896,'Cohort Summary'!$A$5:$A$14,0))</f>
        <v>-1.3015873015873</v>
      </c>
      <c r="M896" s="42" t="n">
        <f aca="false">MAX(I896:K896)</f>
        <v>-0.787037037037037</v>
      </c>
      <c r="N896" s="27" t="s">
        <v>197</v>
      </c>
      <c r="O896" s="27"/>
      <c r="P896" s="27" t="str">
        <f aca="false">A896&amp;"|"&amp;N896</f>
        <v>NURSE-05|normal</v>
      </c>
    </row>
    <row r="897" customFormat="false" ht="15" hidden="false" customHeight="true" outlineLevel="0" collapsed="false">
      <c r="A897" s="27" t="s">
        <v>86</v>
      </c>
      <c r="B897" s="41" t="n">
        <v>46303.3246527778</v>
      </c>
      <c r="C897" s="27" t="s">
        <v>200</v>
      </c>
      <c r="D897" s="27" t="n">
        <v>66.8</v>
      </c>
      <c r="E897" s="27" t="n">
        <v>17.1</v>
      </c>
      <c r="F897" s="27" t="n">
        <v>54.5</v>
      </c>
      <c r="G897" s="27" t="n">
        <v>34</v>
      </c>
      <c r="H897" s="27" t="s">
        <v>199</v>
      </c>
      <c r="I897" s="42" t="n">
        <f aca="false">(D897-INDEX('Cohort Summary'!$D$5:$D$14,MATCH($A897,'Cohort Summary'!$A$5:$A$14,0)))/INDEX('Cohort Summary'!$E$5:$E$14,MATCH($A897,'Cohort Summary'!$A$5:$A$14,0))</f>
        <v>0.479166666666665</v>
      </c>
      <c r="J897" s="42" t="n">
        <f aca="false">(E897-INDEX('Cohort Summary'!$F$5:$F$14,MATCH($A897,'Cohort Summary'!$A$5:$A$14,0)))/INDEX('Cohort Summary'!$G$5:$G$14,MATCH($A897,'Cohort Summary'!$A$5:$A$14,0))</f>
        <v>-1.75925925925926</v>
      </c>
      <c r="K897" s="42" t="n">
        <f aca="false">(F897-INDEX('Cohort Summary'!$H$5:$H$14,MATCH($A897,'Cohort Summary'!$A$5:$A$14,0)))/INDEX('Cohort Summary'!$I$5:$I$14,MATCH($A897,'Cohort Summary'!$A$5:$A$14,0))</f>
        <v>1.54448398576513</v>
      </c>
      <c r="L897" s="42" t="n">
        <f aca="false">(G897-INDEX('Cohort Summary'!$J$5:$J$14,MATCH($A897,'Cohort Summary'!$A$5:$A$14,0)))/INDEX('Cohort Summary'!$K$5:$K$14,MATCH($A897,'Cohort Summary'!$A$5:$A$14,0))</f>
        <v>-0.666666666666669</v>
      </c>
      <c r="M897" s="42" t="n">
        <f aca="false">MAX(I897:K897)</f>
        <v>1.54448398576513</v>
      </c>
      <c r="N897" s="27" t="s">
        <v>197</v>
      </c>
      <c r="O897" s="27"/>
      <c r="P897" s="27" t="str">
        <f aca="false">A897&amp;"|"&amp;N897</f>
        <v>NURSE-05|normal</v>
      </c>
    </row>
    <row r="898" customFormat="false" ht="15" hidden="false" customHeight="true" outlineLevel="0" collapsed="false">
      <c r="A898" s="27" t="s">
        <v>86</v>
      </c>
      <c r="B898" s="41" t="n">
        <v>46303.325</v>
      </c>
      <c r="C898" s="27" t="s">
        <v>200</v>
      </c>
      <c r="D898" s="27" t="n">
        <v>63.7</v>
      </c>
      <c r="E898" s="27" t="n">
        <v>23</v>
      </c>
      <c r="F898" s="27" t="n">
        <v>52.4</v>
      </c>
      <c r="G898" s="27" t="n">
        <v>34.8</v>
      </c>
      <c r="H898" s="27" t="s">
        <v>198</v>
      </c>
      <c r="I898" s="42" t="n">
        <f aca="false">(D898-INDEX('Cohort Summary'!$D$5:$D$14,MATCH($A898,'Cohort Summary'!$A$5:$A$14,0)))/INDEX('Cohort Summary'!$E$5:$E$14,MATCH($A898,'Cohort Summary'!$A$5:$A$14,0))</f>
        <v>-0.597222222222222</v>
      </c>
      <c r="J898" s="42" t="n">
        <f aca="false">(E898-INDEX('Cohort Summary'!$F$5:$F$14,MATCH($A898,'Cohort Summary'!$A$5:$A$14,0)))/INDEX('Cohort Summary'!$G$5:$G$14,MATCH($A898,'Cohort Summary'!$A$5:$A$14,0))</f>
        <v>0.972222222222223</v>
      </c>
      <c r="K898" s="42" t="n">
        <f aca="false">(F898-INDEX('Cohort Summary'!$H$5:$H$14,MATCH($A898,'Cohort Summary'!$A$5:$A$14,0)))/INDEX('Cohort Summary'!$I$5:$I$14,MATCH($A898,'Cohort Summary'!$A$5:$A$14,0))</f>
        <v>0.797153024911033</v>
      </c>
      <c r="L898" s="42" t="n">
        <f aca="false">(G898-INDEX('Cohort Summary'!$J$5:$J$14,MATCH($A898,'Cohort Summary'!$A$5:$A$14,0)))/INDEX('Cohort Summary'!$K$5:$K$14,MATCH($A898,'Cohort Summary'!$A$5:$A$14,0))</f>
        <v>0.603174603174596</v>
      </c>
      <c r="M898" s="42" t="n">
        <f aca="false">MAX(I898:K898)</f>
        <v>0.972222222222223</v>
      </c>
      <c r="N898" s="27" t="s">
        <v>197</v>
      </c>
      <c r="O898" s="27"/>
      <c r="P898" s="27" t="str">
        <f aca="false">A898&amp;"|"&amp;N898</f>
        <v>NURSE-05|normal</v>
      </c>
    </row>
    <row r="899" customFormat="false" ht="15" hidden="false" customHeight="true" outlineLevel="0" collapsed="false">
      <c r="A899" s="27" t="s">
        <v>86</v>
      </c>
      <c r="B899" s="41" t="n">
        <v>46303.3253472222</v>
      </c>
      <c r="C899" s="27" t="s">
        <v>200</v>
      </c>
      <c r="D899" s="27" t="n">
        <v>66.2</v>
      </c>
      <c r="E899" s="27" t="n">
        <v>18.5</v>
      </c>
      <c r="F899" s="27" t="n">
        <v>53.3</v>
      </c>
      <c r="G899" s="27" t="n">
        <v>33.9</v>
      </c>
      <c r="H899" s="27" t="s">
        <v>199</v>
      </c>
      <c r="I899" s="42" t="n">
        <f aca="false">(D899-INDEX('Cohort Summary'!$D$5:$D$14,MATCH($A899,'Cohort Summary'!$A$5:$A$14,0)))/INDEX('Cohort Summary'!$E$5:$E$14,MATCH($A899,'Cohort Summary'!$A$5:$A$14,0))</f>
        <v>0.270833333333334</v>
      </c>
      <c r="J899" s="42" t="n">
        <f aca="false">(E899-INDEX('Cohort Summary'!$F$5:$F$14,MATCH($A899,'Cohort Summary'!$A$5:$A$14,0)))/INDEX('Cohort Summary'!$G$5:$G$14,MATCH($A899,'Cohort Summary'!$A$5:$A$14,0))</f>
        <v>-1.11111111111111</v>
      </c>
      <c r="K899" s="42" t="n">
        <f aca="false">(F899-INDEX('Cohort Summary'!$H$5:$H$14,MATCH($A899,'Cohort Summary'!$A$5:$A$14,0)))/INDEX('Cohort Summary'!$I$5:$I$14,MATCH($A899,'Cohort Summary'!$A$5:$A$14,0))</f>
        <v>1.11743772241993</v>
      </c>
      <c r="L899" s="42" t="n">
        <f aca="false">(G899-INDEX('Cohort Summary'!$J$5:$J$14,MATCH($A899,'Cohort Summary'!$A$5:$A$14,0)))/INDEX('Cohort Summary'!$K$5:$K$14,MATCH($A899,'Cohort Summary'!$A$5:$A$14,0))</f>
        <v>-0.82539682539683</v>
      </c>
      <c r="M899" s="42" t="n">
        <f aca="false">MAX(I899:K899)</f>
        <v>1.11743772241993</v>
      </c>
      <c r="N899" s="27" t="s">
        <v>197</v>
      </c>
      <c r="O899" s="27"/>
      <c r="P899" s="27" t="str">
        <f aca="false">A899&amp;"|"&amp;N899</f>
        <v>NURSE-05|normal</v>
      </c>
    </row>
    <row r="900" customFormat="false" ht="15" hidden="false" customHeight="true" outlineLevel="0" collapsed="false">
      <c r="A900" s="27" t="s">
        <v>86</v>
      </c>
      <c r="B900" s="41" t="n">
        <v>46303.3256944444</v>
      </c>
      <c r="C900" s="27" t="s">
        <v>200</v>
      </c>
      <c r="D900" s="27" t="n">
        <v>62.7</v>
      </c>
      <c r="E900" s="27" t="n">
        <v>23.8</v>
      </c>
      <c r="F900" s="27" t="n">
        <v>52.6</v>
      </c>
      <c r="G900" s="27" t="n">
        <v>33.6</v>
      </c>
      <c r="H900" s="27" t="s">
        <v>198</v>
      </c>
      <c r="I900" s="42" t="n">
        <f aca="false">(D900-INDEX('Cohort Summary'!$D$5:$D$14,MATCH($A900,'Cohort Summary'!$A$5:$A$14,0)))/INDEX('Cohort Summary'!$E$5:$E$14,MATCH($A900,'Cohort Summary'!$A$5:$A$14,0))</f>
        <v>-0.944444444444444</v>
      </c>
      <c r="J900" s="42" t="n">
        <f aca="false">(E900-INDEX('Cohort Summary'!$F$5:$F$14,MATCH($A900,'Cohort Summary'!$A$5:$A$14,0)))/INDEX('Cohort Summary'!$G$5:$G$14,MATCH($A900,'Cohort Summary'!$A$5:$A$14,0))</f>
        <v>1.34259259259259</v>
      </c>
      <c r="K900" s="42" t="n">
        <f aca="false">(F900-INDEX('Cohort Summary'!$H$5:$H$14,MATCH($A900,'Cohort Summary'!$A$5:$A$14,0)))/INDEX('Cohort Summary'!$I$5:$I$14,MATCH($A900,'Cohort Summary'!$A$5:$A$14,0))</f>
        <v>0.868327402135233</v>
      </c>
      <c r="L900" s="42" t="n">
        <f aca="false">(G900-INDEX('Cohort Summary'!$J$5:$J$14,MATCH($A900,'Cohort Summary'!$A$5:$A$14,0)))/INDEX('Cohort Summary'!$K$5:$K$14,MATCH($A900,'Cohort Summary'!$A$5:$A$14,0))</f>
        <v>-1.3015873015873</v>
      </c>
      <c r="M900" s="42" t="n">
        <f aca="false">MAX(I900:K900)</f>
        <v>1.34259259259259</v>
      </c>
      <c r="N900" s="27" t="s">
        <v>197</v>
      </c>
      <c r="O900" s="27"/>
      <c r="P900" s="27" t="str">
        <f aca="false">A900&amp;"|"&amp;N900</f>
        <v>NURSE-05|normal</v>
      </c>
    </row>
    <row r="901" customFormat="false" ht="15" hidden="false" customHeight="true" outlineLevel="0" collapsed="false">
      <c r="A901" s="27" t="s">
        <v>86</v>
      </c>
      <c r="B901" s="41" t="n">
        <v>46303.3260416667</v>
      </c>
      <c r="C901" s="27" t="s">
        <v>200</v>
      </c>
      <c r="D901" s="27" t="n">
        <v>63.4</v>
      </c>
      <c r="E901" s="27" t="n">
        <v>21.7</v>
      </c>
      <c r="F901" s="27" t="n">
        <v>45.2</v>
      </c>
      <c r="G901" s="27" t="n">
        <v>34.2</v>
      </c>
      <c r="H901" s="27" t="s">
        <v>198</v>
      </c>
      <c r="I901" s="42" t="n">
        <f aca="false">(D901-INDEX('Cohort Summary'!$D$5:$D$14,MATCH($A901,'Cohort Summary'!$A$5:$A$14,0)))/INDEX('Cohort Summary'!$E$5:$E$14,MATCH($A901,'Cohort Summary'!$A$5:$A$14,0))</f>
        <v>-0.70138888888889</v>
      </c>
      <c r="J901" s="42" t="n">
        <f aca="false">(E901-INDEX('Cohort Summary'!$F$5:$F$14,MATCH($A901,'Cohort Summary'!$A$5:$A$14,0)))/INDEX('Cohort Summary'!$G$5:$G$14,MATCH($A901,'Cohort Summary'!$A$5:$A$14,0))</f>
        <v>0.370370370370371</v>
      </c>
      <c r="K901" s="42" t="n">
        <f aca="false">(F901-INDEX('Cohort Summary'!$H$5:$H$14,MATCH($A901,'Cohort Summary'!$A$5:$A$14,0)))/INDEX('Cohort Summary'!$I$5:$I$14,MATCH($A901,'Cohort Summary'!$A$5:$A$14,0))</f>
        <v>-1.76512455516014</v>
      </c>
      <c r="L901" s="42" t="n">
        <f aca="false">(G901-INDEX('Cohort Summary'!$J$5:$J$14,MATCH($A901,'Cohort Summary'!$A$5:$A$14,0)))/INDEX('Cohort Summary'!$K$5:$K$14,MATCH($A901,'Cohort Summary'!$A$5:$A$14,0))</f>
        <v>-0.349206349206347</v>
      </c>
      <c r="M901" s="42" t="n">
        <f aca="false">MAX(I901:K901)</f>
        <v>0.370370370370371</v>
      </c>
      <c r="N901" s="27" t="s">
        <v>197</v>
      </c>
      <c r="O901" s="27"/>
      <c r="P901" s="27" t="str">
        <f aca="false">A901&amp;"|"&amp;N901</f>
        <v>NURSE-05|normal</v>
      </c>
    </row>
    <row r="902" customFormat="false" ht="15" hidden="false" customHeight="true" outlineLevel="0" collapsed="false">
      <c r="A902" s="27" t="s">
        <v>86</v>
      </c>
      <c r="B902" s="41" t="n">
        <v>46303.3263888889</v>
      </c>
      <c r="C902" s="27" t="s">
        <v>200</v>
      </c>
      <c r="D902" s="27" t="n">
        <v>62.4</v>
      </c>
      <c r="E902" s="27" t="n">
        <v>22.9</v>
      </c>
      <c r="F902" s="27" t="n">
        <v>46.5</v>
      </c>
      <c r="G902" s="27" t="n">
        <v>35.1</v>
      </c>
      <c r="H902" s="27" t="s">
        <v>196</v>
      </c>
      <c r="I902" s="42" t="n">
        <f aca="false">(D902-INDEX('Cohort Summary'!$D$5:$D$14,MATCH($A902,'Cohort Summary'!$A$5:$A$14,0)))/INDEX('Cohort Summary'!$E$5:$E$14,MATCH($A902,'Cohort Summary'!$A$5:$A$14,0))</f>
        <v>-1.04861111111111</v>
      </c>
      <c r="J902" s="42" t="n">
        <f aca="false">(E902-INDEX('Cohort Summary'!$F$5:$F$14,MATCH($A902,'Cohort Summary'!$A$5:$A$14,0)))/INDEX('Cohort Summary'!$G$5:$G$14,MATCH($A902,'Cohort Summary'!$A$5:$A$14,0))</f>
        <v>0.925925925925926</v>
      </c>
      <c r="K902" s="42" t="n">
        <f aca="false">(F902-INDEX('Cohort Summary'!$H$5:$H$14,MATCH($A902,'Cohort Summary'!$A$5:$A$14,0)))/INDEX('Cohort Summary'!$I$5:$I$14,MATCH($A902,'Cohort Summary'!$A$5:$A$14,0))</f>
        <v>-1.30249110320285</v>
      </c>
      <c r="L902" s="42" t="n">
        <f aca="false">(G902-INDEX('Cohort Summary'!$J$5:$J$14,MATCH($A902,'Cohort Summary'!$A$5:$A$14,0)))/INDEX('Cohort Summary'!$K$5:$K$14,MATCH($A902,'Cohort Summary'!$A$5:$A$14,0))</f>
        <v>1.07936507936508</v>
      </c>
      <c r="M902" s="42" t="n">
        <f aca="false">MAX(I902:K902)</f>
        <v>0.925925925925926</v>
      </c>
      <c r="N902" s="27" t="s">
        <v>197</v>
      </c>
      <c r="O902" s="27"/>
      <c r="P902" s="27" t="str">
        <f aca="false">A902&amp;"|"&amp;N902</f>
        <v>NURSE-05|normal</v>
      </c>
    </row>
    <row r="903" customFormat="false" ht="15" hidden="false" customHeight="true" outlineLevel="0" collapsed="false">
      <c r="A903" s="27" t="s">
        <v>86</v>
      </c>
      <c r="B903" s="41" t="n">
        <v>46303.3267361111</v>
      </c>
      <c r="C903" s="27" t="s">
        <v>200</v>
      </c>
      <c r="D903" s="27" t="n">
        <v>64.5</v>
      </c>
      <c r="E903" s="27" t="n">
        <v>20.9</v>
      </c>
      <c r="F903" s="27" t="n">
        <v>52.1</v>
      </c>
      <c r="G903" s="27" t="n">
        <v>33.8</v>
      </c>
      <c r="H903" s="27" t="s">
        <v>198</v>
      </c>
      <c r="I903" s="42" t="n">
        <f aca="false">(D903-INDEX('Cohort Summary'!$D$5:$D$14,MATCH($A903,'Cohort Summary'!$A$5:$A$14,0)))/INDEX('Cohort Summary'!$E$5:$E$14,MATCH($A903,'Cohort Summary'!$A$5:$A$14,0))</f>
        <v>-0.319444444444445</v>
      </c>
      <c r="J903" s="42" t="n">
        <f aca="false">(E903-INDEX('Cohort Summary'!$F$5:$F$14,MATCH($A903,'Cohort Summary'!$A$5:$A$14,0)))/INDEX('Cohort Summary'!$G$5:$G$14,MATCH($A903,'Cohort Summary'!$A$5:$A$14,0))</f>
        <v>0</v>
      </c>
      <c r="K903" s="42" t="n">
        <f aca="false">(F903-INDEX('Cohort Summary'!$H$5:$H$14,MATCH($A903,'Cohort Summary'!$A$5:$A$14,0)))/INDEX('Cohort Summary'!$I$5:$I$14,MATCH($A903,'Cohort Summary'!$A$5:$A$14,0))</f>
        <v>0.690391459074735</v>
      </c>
      <c r="L903" s="42" t="n">
        <f aca="false">(G903-INDEX('Cohort Summary'!$J$5:$J$14,MATCH($A903,'Cohort Summary'!$A$5:$A$14,0)))/INDEX('Cohort Summary'!$K$5:$K$14,MATCH($A903,'Cohort Summary'!$A$5:$A$14,0))</f>
        <v>-0.984126984126991</v>
      </c>
      <c r="M903" s="42" t="n">
        <f aca="false">MAX(I903:K903)</f>
        <v>0.690391459074735</v>
      </c>
      <c r="N903" s="27" t="s">
        <v>197</v>
      </c>
      <c r="O903" s="27"/>
      <c r="P903" s="27" t="str">
        <f aca="false">A903&amp;"|"&amp;N903</f>
        <v>NURSE-05|normal</v>
      </c>
    </row>
    <row r="904" customFormat="false" ht="15" hidden="false" customHeight="true" outlineLevel="0" collapsed="false">
      <c r="A904" s="27" t="s">
        <v>86</v>
      </c>
      <c r="B904" s="41" t="n">
        <v>46303.3270833333</v>
      </c>
      <c r="C904" s="27" t="s">
        <v>200</v>
      </c>
      <c r="D904" s="27" t="n">
        <v>65.6</v>
      </c>
      <c r="E904" s="27" t="n">
        <v>18.9</v>
      </c>
      <c r="F904" s="27" t="n">
        <v>49.2</v>
      </c>
      <c r="G904" s="27" t="n">
        <v>35.3</v>
      </c>
      <c r="H904" s="27" t="s">
        <v>196</v>
      </c>
      <c r="I904" s="42" t="n">
        <f aca="false">(D904-INDEX('Cohort Summary'!$D$5:$D$14,MATCH($A904,'Cohort Summary'!$A$5:$A$14,0)))/INDEX('Cohort Summary'!$E$5:$E$14,MATCH($A904,'Cohort Summary'!$A$5:$A$14,0))</f>
        <v>0.0624999999999974</v>
      </c>
      <c r="J904" s="42" t="n">
        <f aca="false">(E904-INDEX('Cohort Summary'!$F$5:$F$14,MATCH($A904,'Cohort Summary'!$A$5:$A$14,0)))/INDEX('Cohort Summary'!$G$5:$G$14,MATCH($A904,'Cohort Summary'!$A$5:$A$14,0))</f>
        <v>-0.925925925925926</v>
      </c>
      <c r="K904" s="42" t="n">
        <f aca="false">(F904-INDEX('Cohort Summary'!$H$5:$H$14,MATCH($A904,'Cohort Summary'!$A$5:$A$14,0)))/INDEX('Cohort Summary'!$I$5:$I$14,MATCH($A904,'Cohort Summary'!$A$5:$A$14,0))</f>
        <v>-0.341637010676154</v>
      </c>
      <c r="L904" s="42" t="n">
        <f aca="false">(G904-INDEX('Cohort Summary'!$J$5:$J$14,MATCH($A904,'Cohort Summary'!$A$5:$A$14,0)))/INDEX('Cohort Summary'!$K$5:$K$14,MATCH($A904,'Cohort Summary'!$A$5:$A$14,0))</f>
        <v>1.39682539682539</v>
      </c>
      <c r="M904" s="42" t="n">
        <f aca="false">MAX(I904:K904)</f>
        <v>0.0624999999999974</v>
      </c>
      <c r="N904" s="27" t="s">
        <v>197</v>
      </c>
      <c r="O904" s="27"/>
      <c r="P904" s="27" t="str">
        <f aca="false">A904&amp;"|"&amp;N904</f>
        <v>NURSE-05|normal</v>
      </c>
    </row>
    <row r="905" customFormat="false" ht="15" hidden="false" customHeight="true" outlineLevel="0" collapsed="false">
      <c r="A905" s="27" t="s">
        <v>86</v>
      </c>
      <c r="B905" s="41" t="n">
        <v>46303.3274305556</v>
      </c>
      <c r="C905" s="27" t="s">
        <v>200</v>
      </c>
      <c r="D905" s="27" t="n">
        <v>61.4</v>
      </c>
      <c r="E905" s="27" t="n">
        <v>19.2</v>
      </c>
      <c r="F905" s="27" t="n">
        <v>52.5</v>
      </c>
      <c r="G905" s="27" t="n">
        <v>33.8</v>
      </c>
      <c r="H905" s="27" t="s">
        <v>199</v>
      </c>
      <c r="I905" s="42" t="n">
        <f aca="false">(D905-INDEX('Cohort Summary'!$D$5:$D$14,MATCH($A905,'Cohort Summary'!$A$5:$A$14,0)))/INDEX('Cohort Summary'!$E$5:$E$14,MATCH($A905,'Cohort Summary'!$A$5:$A$14,0))</f>
        <v>-1.39583333333333</v>
      </c>
      <c r="J905" s="42" t="n">
        <f aca="false">(E905-INDEX('Cohort Summary'!$F$5:$F$14,MATCH($A905,'Cohort Summary'!$A$5:$A$14,0)))/INDEX('Cohort Summary'!$G$5:$G$14,MATCH($A905,'Cohort Summary'!$A$5:$A$14,0))</f>
        <v>-0.787037037037037</v>
      </c>
      <c r="K905" s="42" t="n">
        <f aca="false">(F905-INDEX('Cohort Summary'!$H$5:$H$14,MATCH($A905,'Cohort Summary'!$A$5:$A$14,0)))/INDEX('Cohort Summary'!$I$5:$I$14,MATCH($A905,'Cohort Summary'!$A$5:$A$14,0))</f>
        <v>0.832740213523133</v>
      </c>
      <c r="L905" s="42" t="n">
        <f aca="false">(G905-INDEX('Cohort Summary'!$J$5:$J$14,MATCH($A905,'Cohort Summary'!$A$5:$A$14,0)))/INDEX('Cohort Summary'!$K$5:$K$14,MATCH($A905,'Cohort Summary'!$A$5:$A$14,0))</f>
        <v>-0.984126984126991</v>
      </c>
      <c r="M905" s="42" t="n">
        <f aca="false">MAX(I905:K905)</f>
        <v>0.832740213523133</v>
      </c>
      <c r="N905" s="27" t="s">
        <v>197</v>
      </c>
      <c r="O905" s="27"/>
      <c r="P905" s="27" t="str">
        <f aca="false">A905&amp;"|"&amp;N905</f>
        <v>NURSE-05|normal</v>
      </c>
    </row>
    <row r="906" customFormat="false" ht="15" hidden="false" customHeight="true" outlineLevel="0" collapsed="false">
      <c r="A906" s="27" t="s">
        <v>86</v>
      </c>
      <c r="B906" s="41" t="n">
        <v>46303.3277777778</v>
      </c>
      <c r="C906" s="27" t="s">
        <v>200</v>
      </c>
      <c r="D906" s="27" t="n">
        <v>61.7</v>
      </c>
      <c r="E906" s="27" t="n">
        <v>21.1</v>
      </c>
      <c r="F906" s="27" t="n">
        <v>49.5</v>
      </c>
      <c r="G906" s="27" t="n">
        <v>34.3</v>
      </c>
      <c r="H906" s="27" t="s">
        <v>196</v>
      </c>
      <c r="I906" s="42" t="n">
        <f aca="false">(D906-INDEX('Cohort Summary'!$D$5:$D$14,MATCH($A906,'Cohort Summary'!$A$5:$A$14,0)))/INDEX('Cohort Summary'!$E$5:$E$14,MATCH($A906,'Cohort Summary'!$A$5:$A$14,0))</f>
        <v>-1.29166666666667</v>
      </c>
      <c r="J906" s="42" t="n">
        <f aca="false">(E906-INDEX('Cohort Summary'!$F$5:$F$14,MATCH($A906,'Cohort Summary'!$A$5:$A$14,0)))/INDEX('Cohort Summary'!$G$5:$G$14,MATCH($A906,'Cohort Summary'!$A$5:$A$14,0))</f>
        <v>0.0925925925925939</v>
      </c>
      <c r="K906" s="42" t="n">
        <f aca="false">(F906-INDEX('Cohort Summary'!$H$5:$H$14,MATCH($A906,'Cohort Summary'!$A$5:$A$14,0)))/INDEX('Cohort Summary'!$I$5:$I$14,MATCH($A906,'Cohort Summary'!$A$5:$A$14,0))</f>
        <v>-0.234875444839856</v>
      </c>
      <c r="L906" s="42" t="n">
        <f aca="false">(G906-INDEX('Cohort Summary'!$J$5:$J$14,MATCH($A906,'Cohort Summary'!$A$5:$A$14,0)))/INDEX('Cohort Summary'!$K$5:$K$14,MATCH($A906,'Cohort Summary'!$A$5:$A$14,0))</f>
        <v>-0.190476190476198</v>
      </c>
      <c r="M906" s="42" t="n">
        <f aca="false">MAX(I906:K906)</f>
        <v>0.0925925925925939</v>
      </c>
      <c r="N906" s="27" t="s">
        <v>197</v>
      </c>
      <c r="O906" s="27"/>
      <c r="P906" s="27" t="str">
        <f aca="false">A906&amp;"|"&amp;N906</f>
        <v>NURSE-05|normal</v>
      </c>
    </row>
    <row r="907" customFormat="false" ht="15" hidden="false" customHeight="true" outlineLevel="0" collapsed="false">
      <c r="A907" s="27" t="s">
        <v>86</v>
      </c>
      <c r="B907" s="41" t="n">
        <v>46303.328125</v>
      </c>
      <c r="C907" s="27" t="s">
        <v>200</v>
      </c>
      <c r="D907" s="27" t="n">
        <v>66.6</v>
      </c>
      <c r="E907" s="27" t="n">
        <v>23</v>
      </c>
      <c r="F907" s="27" t="n">
        <v>54.6</v>
      </c>
      <c r="G907" s="27" t="n">
        <v>34</v>
      </c>
      <c r="H907" s="27" t="s">
        <v>196</v>
      </c>
      <c r="I907" s="42" t="n">
        <f aca="false">(D907-INDEX('Cohort Summary'!$D$5:$D$14,MATCH($A907,'Cohort Summary'!$A$5:$A$14,0)))/INDEX('Cohort Summary'!$E$5:$E$14,MATCH($A907,'Cohort Summary'!$A$5:$A$14,0))</f>
        <v>0.40972222222222</v>
      </c>
      <c r="J907" s="42" t="n">
        <f aca="false">(E907-INDEX('Cohort Summary'!$F$5:$F$14,MATCH($A907,'Cohort Summary'!$A$5:$A$14,0)))/INDEX('Cohort Summary'!$G$5:$G$14,MATCH($A907,'Cohort Summary'!$A$5:$A$14,0))</f>
        <v>0.972222222222223</v>
      </c>
      <c r="K907" s="42" t="n">
        <f aca="false">(F907-INDEX('Cohort Summary'!$H$5:$H$14,MATCH($A907,'Cohort Summary'!$A$5:$A$14,0)))/INDEX('Cohort Summary'!$I$5:$I$14,MATCH($A907,'Cohort Summary'!$A$5:$A$14,0))</f>
        <v>1.58007117437723</v>
      </c>
      <c r="L907" s="42" t="n">
        <f aca="false">(G907-INDEX('Cohort Summary'!$J$5:$J$14,MATCH($A907,'Cohort Summary'!$A$5:$A$14,0)))/INDEX('Cohort Summary'!$K$5:$K$14,MATCH($A907,'Cohort Summary'!$A$5:$A$14,0))</f>
        <v>-0.666666666666669</v>
      </c>
      <c r="M907" s="42" t="n">
        <f aca="false">MAX(I907:K907)</f>
        <v>1.58007117437723</v>
      </c>
      <c r="N907" s="27" t="s">
        <v>197</v>
      </c>
      <c r="O907" s="27"/>
      <c r="P907" s="27" t="str">
        <f aca="false">A907&amp;"|"&amp;N907</f>
        <v>NURSE-05|normal</v>
      </c>
    </row>
    <row r="908" customFormat="false" ht="15" hidden="false" customHeight="true" outlineLevel="0" collapsed="false">
      <c r="A908" s="27" t="s">
        <v>86</v>
      </c>
      <c r="B908" s="41" t="n">
        <v>46303.3284722222</v>
      </c>
      <c r="C908" s="27" t="s">
        <v>200</v>
      </c>
      <c r="D908" s="27" t="n">
        <v>64.1</v>
      </c>
      <c r="E908" s="27" t="n">
        <v>17.4</v>
      </c>
      <c r="F908" s="27" t="n">
        <v>54.1</v>
      </c>
      <c r="G908" s="27" t="n">
        <v>33.7</v>
      </c>
      <c r="H908" s="27" t="s">
        <v>198</v>
      </c>
      <c r="I908" s="42" t="n">
        <f aca="false">(D908-INDEX('Cohort Summary'!$D$5:$D$14,MATCH($A908,'Cohort Summary'!$A$5:$A$14,0)))/INDEX('Cohort Summary'!$E$5:$E$14,MATCH($A908,'Cohort Summary'!$A$5:$A$14,0))</f>
        <v>-0.458333333333336</v>
      </c>
      <c r="J908" s="42" t="n">
        <f aca="false">(E908-INDEX('Cohort Summary'!$F$5:$F$14,MATCH($A908,'Cohort Summary'!$A$5:$A$14,0)))/INDEX('Cohort Summary'!$G$5:$G$14,MATCH($A908,'Cohort Summary'!$A$5:$A$14,0))</f>
        <v>-1.62037037037037</v>
      </c>
      <c r="K908" s="42" t="n">
        <f aca="false">(F908-INDEX('Cohort Summary'!$H$5:$H$14,MATCH($A908,'Cohort Summary'!$A$5:$A$14,0)))/INDEX('Cohort Summary'!$I$5:$I$14,MATCH($A908,'Cohort Summary'!$A$5:$A$14,0))</f>
        <v>1.40213523131673</v>
      </c>
      <c r="L908" s="42" t="n">
        <f aca="false">(G908-INDEX('Cohort Summary'!$J$5:$J$14,MATCH($A908,'Cohort Summary'!$A$5:$A$14,0)))/INDEX('Cohort Summary'!$K$5:$K$14,MATCH($A908,'Cohort Summary'!$A$5:$A$14,0))</f>
        <v>-1.14285714285714</v>
      </c>
      <c r="M908" s="42" t="n">
        <f aca="false">MAX(I908:K908)</f>
        <v>1.40213523131673</v>
      </c>
      <c r="N908" s="27" t="s">
        <v>197</v>
      </c>
      <c r="O908" s="27"/>
      <c r="P908" s="27" t="str">
        <f aca="false">A908&amp;"|"&amp;N908</f>
        <v>NURSE-05|normal</v>
      </c>
    </row>
    <row r="909" customFormat="false" ht="15" hidden="false" customHeight="true" outlineLevel="0" collapsed="false">
      <c r="A909" s="27" t="s">
        <v>86</v>
      </c>
      <c r="B909" s="41" t="n">
        <v>46303.3288194445</v>
      </c>
      <c r="C909" s="27" t="s">
        <v>200</v>
      </c>
      <c r="D909" s="27" t="n">
        <v>69</v>
      </c>
      <c r="E909" s="27" t="n">
        <v>17.5</v>
      </c>
      <c r="F909" s="27" t="n">
        <v>52.5</v>
      </c>
      <c r="G909" s="27" t="n">
        <v>33.9</v>
      </c>
      <c r="H909" s="27" t="s">
        <v>198</v>
      </c>
      <c r="I909" s="42" t="n">
        <f aca="false">(D909-INDEX('Cohort Summary'!$D$5:$D$14,MATCH($A909,'Cohort Summary'!$A$5:$A$14,0)))/INDEX('Cohort Summary'!$E$5:$E$14,MATCH($A909,'Cohort Summary'!$A$5:$A$14,0))</f>
        <v>1.24305555555556</v>
      </c>
      <c r="J909" s="42" t="n">
        <f aca="false">(E909-INDEX('Cohort Summary'!$F$5:$F$14,MATCH($A909,'Cohort Summary'!$A$5:$A$14,0)))/INDEX('Cohort Summary'!$G$5:$G$14,MATCH($A909,'Cohort Summary'!$A$5:$A$14,0))</f>
        <v>-1.57407407407407</v>
      </c>
      <c r="K909" s="42" t="n">
        <f aca="false">(F909-INDEX('Cohort Summary'!$H$5:$H$14,MATCH($A909,'Cohort Summary'!$A$5:$A$14,0)))/INDEX('Cohort Summary'!$I$5:$I$14,MATCH($A909,'Cohort Summary'!$A$5:$A$14,0))</f>
        <v>0.832740213523133</v>
      </c>
      <c r="L909" s="42" t="n">
        <f aca="false">(G909-INDEX('Cohort Summary'!$J$5:$J$14,MATCH($A909,'Cohort Summary'!$A$5:$A$14,0)))/INDEX('Cohort Summary'!$K$5:$K$14,MATCH($A909,'Cohort Summary'!$A$5:$A$14,0))</f>
        <v>-0.82539682539683</v>
      </c>
      <c r="M909" s="42" t="n">
        <f aca="false">MAX(I909:K909)</f>
        <v>1.24305555555556</v>
      </c>
      <c r="N909" s="27" t="s">
        <v>197</v>
      </c>
      <c r="O909" s="27"/>
      <c r="P909" s="27" t="str">
        <f aca="false">A909&amp;"|"&amp;N909</f>
        <v>NURSE-05|normal</v>
      </c>
    </row>
    <row r="910" customFormat="false" ht="15" hidden="false" customHeight="true" outlineLevel="0" collapsed="false">
      <c r="A910" s="27" t="s">
        <v>86</v>
      </c>
      <c r="B910" s="41" t="n">
        <v>46303.3291666667</v>
      </c>
      <c r="C910" s="27" t="s">
        <v>200</v>
      </c>
      <c r="D910" s="27" t="n">
        <v>64.2</v>
      </c>
      <c r="E910" s="27" t="n">
        <v>20.7</v>
      </c>
      <c r="F910" s="27" t="n">
        <v>53.5</v>
      </c>
      <c r="G910" s="27" t="n">
        <v>35.1</v>
      </c>
      <c r="H910" s="27" t="s">
        <v>196</v>
      </c>
      <c r="I910" s="42" t="n">
        <f aca="false">(D910-INDEX('Cohort Summary'!$D$5:$D$14,MATCH($A910,'Cohort Summary'!$A$5:$A$14,0)))/INDEX('Cohort Summary'!$E$5:$E$14,MATCH($A910,'Cohort Summary'!$A$5:$A$14,0))</f>
        <v>-0.423611111111111</v>
      </c>
      <c r="J910" s="42" t="n">
        <f aca="false">(E910-INDEX('Cohort Summary'!$F$5:$F$14,MATCH($A910,'Cohort Summary'!$A$5:$A$14,0)))/INDEX('Cohort Summary'!$G$5:$G$14,MATCH($A910,'Cohort Summary'!$A$5:$A$14,0))</f>
        <v>-0.0925925925925923</v>
      </c>
      <c r="K910" s="42" t="n">
        <f aca="false">(F910-INDEX('Cohort Summary'!$H$5:$H$14,MATCH($A910,'Cohort Summary'!$A$5:$A$14,0)))/INDEX('Cohort Summary'!$I$5:$I$14,MATCH($A910,'Cohort Summary'!$A$5:$A$14,0))</f>
        <v>1.18861209964413</v>
      </c>
      <c r="L910" s="42" t="n">
        <f aca="false">(G910-INDEX('Cohort Summary'!$J$5:$J$14,MATCH($A910,'Cohort Summary'!$A$5:$A$14,0)))/INDEX('Cohort Summary'!$K$5:$K$14,MATCH($A910,'Cohort Summary'!$A$5:$A$14,0))</f>
        <v>1.07936507936508</v>
      </c>
      <c r="M910" s="42" t="n">
        <f aca="false">MAX(I910:K910)</f>
        <v>1.18861209964413</v>
      </c>
      <c r="N910" s="27" t="s">
        <v>197</v>
      </c>
      <c r="O910" s="27"/>
      <c r="P910" s="27" t="str">
        <f aca="false">A910&amp;"|"&amp;N910</f>
        <v>NURSE-05|normal</v>
      </c>
    </row>
    <row r="911" customFormat="false" ht="15" hidden="false" customHeight="true" outlineLevel="0" collapsed="false">
      <c r="A911" s="27" t="s">
        <v>86</v>
      </c>
      <c r="B911" s="41" t="n">
        <v>46303.3295138889</v>
      </c>
      <c r="C911" s="27" t="s">
        <v>200</v>
      </c>
      <c r="D911" s="27" t="n">
        <v>67.1</v>
      </c>
      <c r="E911" s="27" t="n">
        <v>21.1</v>
      </c>
      <c r="F911" s="27" t="n">
        <v>49.5</v>
      </c>
      <c r="G911" s="27" t="n">
        <v>34.5</v>
      </c>
      <c r="H911" s="27" t="s">
        <v>196</v>
      </c>
      <c r="I911" s="42" t="n">
        <f aca="false">(D911-INDEX('Cohort Summary'!$D$5:$D$14,MATCH($A911,'Cohort Summary'!$A$5:$A$14,0)))/INDEX('Cohort Summary'!$E$5:$E$14,MATCH($A911,'Cohort Summary'!$A$5:$A$14,0))</f>
        <v>0.583333333333331</v>
      </c>
      <c r="J911" s="42" t="n">
        <f aca="false">(E911-INDEX('Cohort Summary'!$F$5:$F$14,MATCH($A911,'Cohort Summary'!$A$5:$A$14,0)))/INDEX('Cohort Summary'!$G$5:$G$14,MATCH($A911,'Cohort Summary'!$A$5:$A$14,0))</f>
        <v>0.0925925925925939</v>
      </c>
      <c r="K911" s="42" t="n">
        <f aca="false">(F911-INDEX('Cohort Summary'!$H$5:$H$14,MATCH($A911,'Cohort Summary'!$A$5:$A$14,0)))/INDEX('Cohort Summary'!$I$5:$I$14,MATCH($A911,'Cohort Summary'!$A$5:$A$14,0))</f>
        <v>-0.234875444839856</v>
      </c>
      <c r="L911" s="42" t="n">
        <f aca="false">(G911-INDEX('Cohort Summary'!$J$5:$J$14,MATCH($A911,'Cohort Summary'!$A$5:$A$14,0)))/INDEX('Cohort Summary'!$K$5:$K$14,MATCH($A911,'Cohort Summary'!$A$5:$A$14,0))</f>
        <v>0.126984126984124</v>
      </c>
      <c r="M911" s="42" t="n">
        <f aca="false">MAX(I911:K911)</f>
        <v>0.583333333333331</v>
      </c>
      <c r="N911" s="27" t="s">
        <v>197</v>
      </c>
      <c r="O911" s="27"/>
      <c r="P911" s="27" t="str">
        <f aca="false">A911&amp;"|"&amp;N911</f>
        <v>NURSE-05|normal</v>
      </c>
    </row>
    <row r="912" customFormat="false" ht="15" hidden="false" customHeight="true" outlineLevel="0" collapsed="false">
      <c r="A912" s="27" t="s">
        <v>86</v>
      </c>
      <c r="B912" s="41" t="n">
        <v>46303.3298611111</v>
      </c>
      <c r="C912" s="27" t="s">
        <v>200</v>
      </c>
      <c r="D912" s="27" t="n">
        <v>65.9</v>
      </c>
      <c r="E912" s="27" t="n">
        <v>22.6</v>
      </c>
      <c r="F912" s="27" t="n">
        <v>54</v>
      </c>
      <c r="G912" s="27" t="n">
        <v>35.4</v>
      </c>
      <c r="H912" s="27" t="s">
        <v>198</v>
      </c>
      <c r="I912" s="42" t="n">
        <f aca="false">(D912-INDEX('Cohort Summary'!$D$5:$D$14,MATCH($A912,'Cohort Summary'!$A$5:$A$14,0)))/INDEX('Cohort Summary'!$E$5:$E$14,MATCH($A912,'Cohort Summary'!$A$5:$A$14,0))</f>
        <v>0.166666666666668</v>
      </c>
      <c r="J912" s="42" t="n">
        <f aca="false">(E912-INDEX('Cohort Summary'!$F$5:$F$14,MATCH($A912,'Cohort Summary'!$A$5:$A$14,0)))/INDEX('Cohort Summary'!$G$5:$G$14,MATCH($A912,'Cohort Summary'!$A$5:$A$14,0))</f>
        <v>0.787037037037038</v>
      </c>
      <c r="K912" s="42" t="n">
        <f aca="false">(F912-INDEX('Cohort Summary'!$H$5:$H$14,MATCH($A912,'Cohort Summary'!$A$5:$A$14,0)))/INDEX('Cohort Summary'!$I$5:$I$14,MATCH($A912,'Cohort Summary'!$A$5:$A$14,0))</f>
        <v>1.36654804270463</v>
      </c>
      <c r="L912" s="42" t="n">
        <f aca="false">(G912-INDEX('Cohort Summary'!$J$5:$J$14,MATCH($A912,'Cohort Summary'!$A$5:$A$14,0)))/INDEX('Cohort Summary'!$K$5:$K$14,MATCH($A912,'Cohort Summary'!$A$5:$A$14,0))</f>
        <v>1.55555555555555</v>
      </c>
      <c r="M912" s="42" t="n">
        <f aca="false">MAX(I912:K912)</f>
        <v>1.36654804270463</v>
      </c>
      <c r="N912" s="27" t="s">
        <v>197</v>
      </c>
      <c r="O912" s="27"/>
      <c r="P912" s="27" t="str">
        <f aca="false">A912&amp;"|"&amp;N912</f>
        <v>NURSE-05|normal</v>
      </c>
    </row>
    <row r="913" customFormat="false" ht="15" hidden="false" customHeight="true" outlineLevel="0" collapsed="false">
      <c r="A913" s="27" t="s">
        <v>86</v>
      </c>
      <c r="B913" s="41" t="n">
        <v>46303.3302083333</v>
      </c>
      <c r="C913" s="27" t="s">
        <v>200</v>
      </c>
      <c r="D913" s="27" t="n">
        <v>64.4</v>
      </c>
      <c r="E913" s="27" t="n">
        <v>21.1</v>
      </c>
      <c r="F913" s="27" t="n">
        <v>47.5</v>
      </c>
      <c r="G913" s="27" t="n">
        <v>34.3</v>
      </c>
      <c r="H913" s="27" t="s">
        <v>196</v>
      </c>
      <c r="I913" s="42" t="n">
        <f aca="false">(D913-INDEX('Cohort Summary'!$D$5:$D$14,MATCH($A913,'Cohort Summary'!$A$5:$A$14,0)))/INDEX('Cohort Summary'!$E$5:$E$14,MATCH($A913,'Cohort Summary'!$A$5:$A$14,0))</f>
        <v>-0.354166666666665</v>
      </c>
      <c r="J913" s="42" t="n">
        <f aca="false">(E913-INDEX('Cohort Summary'!$F$5:$F$14,MATCH($A913,'Cohort Summary'!$A$5:$A$14,0)))/INDEX('Cohort Summary'!$G$5:$G$14,MATCH($A913,'Cohort Summary'!$A$5:$A$14,0))</f>
        <v>0.0925925925925939</v>
      </c>
      <c r="K913" s="42" t="n">
        <f aca="false">(F913-INDEX('Cohort Summary'!$H$5:$H$14,MATCH($A913,'Cohort Summary'!$A$5:$A$14,0)))/INDEX('Cohort Summary'!$I$5:$I$14,MATCH($A913,'Cohort Summary'!$A$5:$A$14,0))</f>
        <v>-0.946619217081849</v>
      </c>
      <c r="L913" s="42" t="n">
        <f aca="false">(G913-INDEX('Cohort Summary'!$J$5:$J$14,MATCH($A913,'Cohort Summary'!$A$5:$A$14,0)))/INDEX('Cohort Summary'!$K$5:$K$14,MATCH($A913,'Cohort Summary'!$A$5:$A$14,0))</f>
        <v>-0.190476190476198</v>
      </c>
      <c r="M913" s="42" t="n">
        <f aca="false">MAX(I913:K913)</f>
        <v>0.0925925925925939</v>
      </c>
      <c r="N913" s="27" t="s">
        <v>197</v>
      </c>
      <c r="O913" s="27"/>
      <c r="P913" s="27" t="str">
        <f aca="false">A913&amp;"|"&amp;N913</f>
        <v>NURSE-05|normal</v>
      </c>
    </row>
    <row r="914" customFormat="false" ht="15" hidden="false" customHeight="true" outlineLevel="0" collapsed="false">
      <c r="A914" s="27" t="s">
        <v>86</v>
      </c>
      <c r="B914" s="41" t="n">
        <v>46303.3305555556</v>
      </c>
      <c r="C914" s="27" t="s">
        <v>200</v>
      </c>
      <c r="D914" s="27" t="n">
        <v>69.6</v>
      </c>
      <c r="E914" s="27" t="n">
        <v>21.5</v>
      </c>
      <c r="F914" s="27" t="n">
        <v>49.1</v>
      </c>
      <c r="G914" s="27" t="n">
        <v>35.4</v>
      </c>
      <c r="H914" s="27" t="s">
        <v>199</v>
      </c>
      <c r="I914" s="42" t="n">
        <f aca="false">(D914-INDEX('Cohort Summary'!$D$5:$D$14,MATCH($A914,'Cohort Summary'!$A$5:$A$14,0)))/INDEX('Cohort Summary'!$E$5:$E$14,MATCH($A914,'Cohort Summary'!$A$5:$A$14,0))</f>
        <v>1.45138888888889</v>
      </c>
      <c r="J914" s="42" t="n">
        <f aca="false">(E914-INDEX('Cohort Summary'!$F$5:$F$14,MATCH($A914,'Cohort Summary'!$A$5:$A$14,0)))/INDEX('Cohort Summary'!$G$5:$G$14,MATCH($A914,'Cohort Summary'!$A$5:$A$14,0))</f>
        <v>0.277777777777778</v>
      </c>
      <c r="K914" s="42" t="n">
        <f aca="false">(F914-INDEX('Cohort Summary'!$H$5:$H$14,MATCH($A914,'Cohort Summary'!$A$5:$A$14,0)))/INDEX('Cohort Summary'!$I$5:$I$14,MATCH($A914,'Cohort Summary'!$A$5:$A$14,0))</f>
        <v>-0.377224199288255</v>
      </c>
      <c r="L914" s="42" t="n">
        <f aca="false">(G914-INDEX('Cohort Summary'!$J$5:$J$14,MATCH($A914,'Cohort Summary'!$A$5:$A$14,0)))/INDEX('Cohort Summary'!$K$5:$K$14,MATCH($A914,'Cohort Summary'!$A$5:$A$14,0))</f>
        <v>1.55555555555555</v>
      </c>
      <c r="M914" s="42" t="n">
        <f aca="false">MAX(I914:K914)</f>
        <v>1.45138888888889</v>
      </c>
      <c r="N914" s="27" t="s">
        <v>197</v>
      </c>
      <c r="O914" s="27"/>
      <c r="P914" s="27" t="str">
        <f aca="false">A914&amp;"|"&amp;N914</f>
        <v>NURSE-05|normal</v>
      </c>
    </row>
    <row r="915" customFormat="false" ht="15" hidden="false" customHeight="true" outlineLevel="0" collapsed="false">
      <c r="A915" s="27" t="s">
        <v>86</v>
      </c>
      <c r="B915" s="41" t="n">
        <v>46303.3309027778</v>
      </c>
      <c r="C915" s="27" t="s">
        <v>200</v>
      </c>
      <c r="D915" s="27" t="n">
        <v>66.8</v>
      </c>
      <c r="E915" s="27" t="n">
        <v>17.5</v>
      </c>
      <c r="F915" s="27" t="n">
        <v>52.4</v>
      </c>
      <c r="G915" s="27" t="n">
        <v>34.7</v>
      </c>
      <c r="H915" s="27" t="s">
        <v>199</v>
      </c>
      <c r="I915" s="42" t="n">
        <f aca="false">(D915-INDEX('Cohort Summary'!$D$5:$D$14,MATCH($A915,'Cohort Summary'!$A$5:$A$14,0)))/INDEX('Cohort Summary'!$E$5:$E$14,MATCH($A915,'Cohort Summary'!$A$5:$A$14,0))</f>
        <v>0.479166666666665</v>
      </c>
      <c r="J915" s="42" t="n">
        <f aca="false">(E915-INDEX('Cohort Summary'!$F$5:$F$14,MATCH($A915,'Cohort Summary'!$A$5:$A$14,0)))/INDEX('Cohort Summary'!$G$5:$G$14,MATCH($A915,'Cohort Summary'!$A$5:$A$14,0))</f>
        <v>-1.57407407407407</v>
      </c>
      <c r="K915" s="42" t="n">
        <f aca="false">(F915-INDEX('Cohort Summary'!$H$5:$H$14,MATCH($A915,'Cohort Summary'!$A$5:$A$14,0)))/INDEX('Cohort Summary'!$I$5:$I$14,MATCH($A915,'Cohort Summary'!$A$5:$A$14,0))</f>
        <v>0.797153024911033</v>
      </c>
      <c r="L915" s="42" t="n">
        <f aca="false">(G915-INDEX('Cohort Summary'!$J$5:$J$14,MATCH($A915,'Cohort Summary'!$A$5:$A$14,0)))/INDEX('Cohort Summary'!$K$5:$K$14,MATCH($A915,'Cohort Summary'!$A$5:$A$14,0))</f>
        <v>0.444444444444446</v>
      </c>
      <c r="M915" s="42" t="n">
        <f aca="false">MAX(I915:K915)</f>
        <v>0.797153024911033</v>
      </c>
      <c r="N915" s="27" t="s">
        <v>197</v>
      </c>
      <c r="O915" s="27"/>
      <c r="P915" s="27" t="str">
        <f aca="false">A915&amp;"|"&amp;N915</f>
        <v>NURSE-05|normal</v>
      </c>
    </row>
    <row r="916" customFormat="false" ht="15" hidden="false" customHeight="true" outlineLevel="0" collapsed="false">
      <c r="A916" s="27" t="s">
        <v>86</v>
      </c>
      <c r="B916" s="41" t="n">
        <v>46303.33125</v>
      </c>
      <c r="C916" s="27" t="s">
        <v>200</v>
      </c>
      <c r="D916" s="27" t="n">
        <v>62.1</v>
      </c>
      <c r="E916" s="27" t="n">
        <v>19.3</v>
      </c>
      <c r="F916" s="27" t="n">
        <v>54.2</v>
      </c>
      <c r="G916" s="27" t="n">
        <v>34.4</v>
      </c>
      <c r="H916" s="27" t="s">
        <v>199</v>
      </c>
      <c r="I916" s="42" t="n">
        <f aca="false">(D916-INDEX('Cohort Summary'!$D$5:$D$14,MATCH($A916,'Cohort Summary'!$A$5:$A$14,0)))/INDEX('Cohort Summary'!$E$5:$E$14,MATCH($A916,'Cohort Summary'!$A$5:$A$14,0))</f>
        <v>-1.15277777777778</v>
      </c>
      <c r="J916" s="42" t="n">
        <f aca="false">(E916-INDEX('Cohort Summary'!$F$5:$F$14,MATCH($A916,'Cohort Summary'!$A$5:$A$14,0)))/INDEX('Cohort Summary'!$G$5:$G$14,MATCH($A916,'Cohort Summary'!$A$5:$A$14,0))</f>
        <v>-0.74074074074074</v>
      </c>
      <c r="K916" s="42" t="n">
        <f aca="false">(F916-INDEX('Cohort Summary'!$H$5:$H$14,MATCH($A916,'Cohort Summary'!$A$5:$A$14,0)))/INDEX('Cohort Summary'!$I$5:$I$14,MATCH($A916,'Cohort Summary'!$A$5:$A$14,0))</f>
        <v>1.43772241992883</v>
      </c>
      <c r="L916" s="42" t="n">
        <f aca="false">(G916-INDEX('Cohort Summary'!$J$5:$J$14,MATCH($A916,'Cohort Summary'!$A$5:$A$14,0)))/INDEX('Cohort Summary'!$K$5:$K$14,MATCH($A916,'Cohort Summary'!$A$5:$A$14,0))</f>
        <v>-0.0317460317460367</v>
      </c>
      <c r="M916" s="42" t="n">
        <f aca="false">MAX(I916:K916)</f>
        <v>1.43772241992883</v>
      </c>
      <c r="N916" s="27" t="s">
        <v>197</v>
      </c>
      <c r="O916" s="27"/>
      <c r="P916" s="27" t="str">
        <f aca="false">A916&amp;"|"&amp;N916</f>
        <v>NURSE-05|normal</v>
      </c>
    </row>
    <row r="917" customFormat="false" ht="15" hidden="false" customHeight="true" outlineLevel="0" collapsed="false">
      <c r="A917" s="27" t="s">
        <v>86</v>
      </c>
      <c r="B917" s="41" t="n">
        <v>46303.3315972222</v>
      </c>
      <c r="C917" s="27" t="s">
        <v>200</v>
      </c>
      <c r="D917" s="27" t="n">
        <v>66.8</v>
      </c>
      <c r="E917" s="27" t="n">
        <v>22</v>
      </c>
      <c r="F917" s="27" t="n">
        <v>51.5</v>
      </c>
      <c r="G917" s="27" t="n">
        <v>33.9</v>
      </c>
      <c r="H917" s="27" t="s">
        <v>199</v>
      </c>
      <c r="I917" s="42" t="n">
        <f aca="false">(D917-INDEX('Cohort Summary'!$D$5:$D$14,MATCH($A917,'Cohort Summary'!$A$5:$A$14,0)))/INDEX('Cohort Summary'!$E$5:$E$14,MATCH($A917,'Cohort Summary'!$A$5:$A$14,0))</f>
        <v>0.479166666666665</v>
      </c>
      <c r="J917" s="42" t="n">
        <f aca="false">(E917-INDEX('Cohort Summary'!$F$5:$F$14,MATCH($A917,'Cohort Summary'!$A$5:$A$14,0)))/INDEX('Cohort Summary'!$G$5:$G$14,MATCH($A917,'Cohort Summary'!$A$5:$A$14,0))</f>
        <v>0.50925925925926</v>
      </c>
      <c r="K917" s="42" t="n">
        <f aca="false">(F917-INDEX('Cohort Summary'!$H$5:$H$14,MATCH($A917,'Cohort Summary'!$A$5:$A$14,0)))/INDEX('Cohort Summary'!$I$5:$I$14,MATCH($A917,'Cohort Summary'!$A$5:$A$14,0))</f>
        <v>0.476868327402136</v>
      </c>
      <c r="L917" s="42" t="n">
        <f aca="false">(G917-INDEX('Cohort Summary'!$J$5:$J$14,MATCH($A917,'Cohort Summary'!$A$5:$A$14,0)))/INDEX('Cohort Summary'!$K$5:$K$14,MATCH($A917,'Cohort Summary'!$A$5:$A$14,0))</f>
        <v>-0.82539682539683</v>
      </c>
      <c r="M917" s="42" t="n">
        <f aca="false">MAX(I917:K917)</f>
        <v>0.50925925925926</v>
      </c>
      <c r="N917" s="27" t="s">
        <v>197</v>
      </c>
      <c r="O917" s="27"/>
      <c r="P917" s="27" t="str">
        <f aca="false">A917&amp;"|"&amp;N917</f>
        <v>NURSE-05|normal</v>
      </c>
    </row>
    <row r="918" customFormat="false" ht="15" hidden="false" customHeight="true" outlineLevel="0" collapsed="false">
      <c r="A918" s="27" t="s">
        <v>86</v>
      </c>
      <c r="B918" s="41" t="n">
        <v>46303.3319444444</v>
      </c>
      <c r="C918" s="27" t="s">
        <v>200</v>
      </c>
      <c r="D918" s="27" t="n">
        <v>67.9</v>
      </c>
      <c r="E918" s="27" t="n">
        <v>18.6</v>
      </c>
      <c r="F918" s="27" t="n">
        <v>49.3</v>
      </c>
      <c r="G918" s="27" t="n">
        <v>35.4</v>
      </c>
      <c r="H918" s="27" t="s">
        <v>198</v>
      </c>
      <c r="I918" s="42" t="n">
        <f aca="false">(D918-INDEX('Cohort Summary'!$D$5:$D$14,MATCH($A918,'Cohort Summary'!$A$5:$A$14,0)))/INDEX('Cohort Summary'!$E$5:$E$14,MATCH($A918,'Cohort Summary'!$A$5:$A$14,0))</f>
        <v>0.861111111111113</v>
      </c>
      <c r="J918" s="42" t="n">
        <f aca="false">(E918-INDEX('Cohort Summary'!$F$5:$F$14,MATCH($A918,'Cohort Summary'!$A$5:$A$14,0)))/INDEX('Cohort Summary'!$G$5:$G$14,MATCH($A918,'Cohort Summary'!$A$5:$A$14,0))</f>
        <v>-1.06481481481481</v>
      </c>
      <c r="K918" s="42" t="n">
        <f aca="false">(F918-INDEX('Cohort Summary'!$H$5:$H$14,MATCH($A918,'Cohort Summary'!$A$5:$A$14,0)))/INDEX('Cohort Summary'!$I$5:$I$14,MATCH($A918,'Cohort Summary'!$A$5:$A$14,0))</f>
        <v>-0.306049822064057</v>
      </c>
      <c r="L918" s="42" t="n">
        <f aca="false">(G918-INDEX('Cohort Summary'!$J$5:$J$14,MATCH($A918,'Cohort Summary'!$A$5:$A$14,0)))/INDEX('Cohort Summary'!$K$5:$K$14,MATCH($A918,'Cohort Summary'!$A$5:$A$14,0))</f>
        <v>1.55555555555555</v>
      </c>
      <c r="M918" s="42" t="n">
        <f aca="false">MAX(I918:K918)</f>
        <v>0.861111111111113</v>
      </c>
      <c r="N918" s="27" t="s">
        <v>197</v>
      </c>
      <c r="O918" s="27"/>
      <c r="P918" s="27" t="str">
        <f aca="false">A918&amp;"|"&amp;N918</f>
        <v>NURSE-05|normal</v>
      </c>
    </row>
    <row r="919" customFormat="false" ht="15" hidden="false" customHeight="true" outlineLevel="0" collapsed="false">
      <c r="A919" s="27" t="s">
        <v>86</v>
      </c>
      <c r="B919" s="41" t="n">
        <v>46303.3322916667</v>
      </c>
      <c r="C919" s="27" t="s">
        <v>200</v>
      </c>
      <c r="D919" s="27" t="n">
        <v>65.4</v>
      </c>
      <c r="E919" s="27" t="n">
        <v>19.8</v>
      </c>
      <c r="F919" s="27" t="n">
        <v>46.3</v>
      </c>
      <c r="G919" s="27" t="n">
        <v>35</v>
      </c>
      <c r="H919" s="27" t="s">
        <v>199</v>
      </c>
      <c r="I919" s="42" t="n">
        <f aca="false">(D919-INDEX('Cohort Summary'!$D$5:$D$14,MATCH($A919,'Cohort Summary'!$A$5:$A$14,0)))/INDEX('Cohort Summary'!$E$5:$E$14,MATCH($A919,'Cohort Summary'!$A$5:$A$14,0))</f>
        <v>-0.00694444444444306</v>
      </c>
      <c r="J919" s="42" t="n">
        <f aca="false">(E919-INDEX('Cohort Summary'!$F$5:$F$14,MATCH($A919,'Cohort Summary'!$A$5:$A$14,0)))/INDEX('Cohort Summary'!$G$5:$G$14,MATCH($A919,'Cohort Summary'!$A$5:$A$14,0))</f>
        <v>-0.509259259259258</v>
      </c>
      <c r="K919" s="42" t="n">
        <f aca="false">(F919-INDEX('Cohort Summary'!$H$5:$H$14,MATCH($A919,'Cohort Summary'!$A$5:$A$14,0)))/INDEX('Cohort Summary'!$I$5:$I$14,MATCH($A919,'Cohort Summary'!$A$5:$A$14,0))</f>
        <v>-1.37366548042705</v>
      </c>
      <c r="L919" s="42" t="n">
        <f aca="false">(G919-INDEX('Cohort Summary'!$J$5:$J$14,MATCH($A919,'Cohort Summary'!$A$5:$A$14,0)))/INDEX('Cohort Summary'!$K$5:$K$14,MATCH($A919,'Cohort Summary'!$A$5:$A$14,0))</f>
        <v>0.920634920634918</v>
      </c>
      <c r="M919" s="42" t="n">
        <f aca="false">MAX(I919:K919)</f>
        <v>-0.00694444444444306</v>
      </c>
      <c r="N919" s="27" t="s">
        <v>197</v>
      </c>
      <c r="O919" s="27"/>
      <c r="P919" s="27" t="str">
        <f aca="false">A919&amp;"|"&amp;N919</f>
        <v>NURSE-05|normal</v>
      </c>
    </row>
    <row r="920" customFormat="false" ht="15" hidden="false" customHeight="true" outlineLevel="0" collapsed="false">
      <c r="A920" s="27" t="s">
        <v>86</v>
      </c>
      <c r="B920" s="41" t="n">
        <v>46303.3326388889</v>
      </c>
      <c r="C920" s="27" t="s">
        <v>200</v>
      </c>
      <c r="D920" s="27" t="n">
        <v>67.4</v>
      </c>
      <c r="E920" s="27" t="n">
        <v>19.5</v>
      </c>
      <c r="F920" s="27" t="n">
        <v>51.6</v>
      </c>
      <c r="G920" s="27" t="n">
        <v>35</v>
      </c>
      <c r="H920" s="27" t="s">
        <v>198</v>
      </c>
      <c r="I920" s="42" t="n">
        <f aca="false">(D920-INDEX('Cohort Summary'!$D$5:$D$14,MATCH($A920,'Cohort Summary'!$A$5:$A$14,0)))/INDEX('Cohort Summary'!$E$5:$E$14,MATCH($A920,'Cohort Summary'!$A$5:$A$14,0))</f>
        <v>0.687500000000001</v>
      </c>
      <c r="J920" s="42" t="n">
        <f aca="false">(E920-INDEX('Cohort Summary'!$F$5:$F$14,MATCH($A920,'Cohort Summary'!$A$5:$A$14,0)))/INDEX('Cohort Summary'!$G$5:$G$14,MATCH($A920,'Cohort Summary'!$A$5:$A$14,0))</f>
        <v>-0.648148148148148</v>
      </c>
      <c r="K920" s="42" t="n">
        <f aca="false">(F920-INDEX('Cohort Summary'!$H$5:$H$14,MATCH($A920,'Cohort Summary'!$A$5:$A$14,0)))/INDEX('Cohort Summary'!$I$5:$I$14,MATCH($A920,'Cohort Summary'!$A$5:$A$14,0))</f>
        <v>0.512455516014237</v>
      </c>
      <c r="L920" s="42" t="n">
        <f aca="false">(G920-INDEX('Cohort Summary'!$J$5:$J$14,MATCH($A920,'Cohort Summary'!$A$5:$A$14,0)))/INDEX('Cohort Summary'!$K$5:$K$14,MATCH($A920,'Cohort Summary'!$A$5:$A$14,0))</f>
        <v>0.920634920634918</v>
      </c>
      <c r="M920" s="42" t="n">
        <f aca="false">MAX(I920:K920)</f>
        <v>0.687500000000001</v>
      </c>
      <c r="N920" s="27" t="s">
        <v>197</v>
      </c>
      <c r="O920" s="27"/>
      <c r="P920" s="27" t="str">
        <f aca="false">A920&amp;"|"&amp;N920</f>
        <v>NURSE-05|normal</v>
      </c>
    </row>
    <row r="921" customFormat="false" ht="15" hidden="false" customHeight="true" outlineLevel="0" collapsed="false">
      <c r="A921" s="27" t="s">
        <v>86</v>
      </c>
      <c r="B921" s="41" t="n">
        <v>46303.3329861111</v>
      </c>
      <c r="C921" s="27" t="s">
        <v>200</v>
      </c>
      <c r="D921" s="27" t="n">
        <v>70</v>
      </c>
      <c r="E921" s="27" t="n">
        <v>21.5</v>
      </c>
      <c r="F921" s="27" t="n">
        <v>53.8</v>
      </c>
      <c r="G921" s="27" t="n">
        <v>33.7</v>
      </c>
      <c r="H921" s="27" t="s">
        <v>196</v>
      </c>
      <c r="I921" s="42" t="n">
        <f aca="false">(D921-INDEX('Cohort Summary'!$D$5:$D$14,MATCH($A921,'Cohort Summary'!$A$5:$A$14,0)))/INDEX('Cohort Summary'!$E$5:$E$14,MATCH($A921,'Cohort Summary'!$A$5:$A$14,0))</f>
        <v>1.59027777777778</v>
      </c>
      <c r="J921" s="42" t="n">
        <f aca="false">(E921-INDEX('Cohort Summary'!$F$5:$F$14,MATCH($A921,'Cohort Summary'!$A$5:$A$14,0)))/INDEX('Cohort Summary'!$G$5:$G$14,MATCH($A921,'Cohort Summary'!$A$5:$A$14,0))</f>
        <v>0.277777777777778</v>
      </c>
      <c r="K921" s="42" t="n">
        <f aca="false">(F921-INDEX('Cohort Summary'!$H$5:$H$14,MATCH($A921,'Cohort Summary'!$A$5:$A$14,0)))/INDEX('Cohort Summary'!$I$5:$I$14,MATCH($A921,'Cohort Summary'!$A$5:$A$14,0))</f>
        <v>1.29537366548043</v>
      </c>
      <c r="L921" s="42" t="n">
        <f aca="false">(G921-INDEX('Cohort Summary'!$J$5:$J$14,MATCH($A921,'Cohort Summary'!$A$5:$A$14,0)))/INDEX('Cohort Summary'!$K$5:$K$14,MATCH($A921,'Cohort Summary'!$A$5:$A$14,0))</f>
        <v>-1.14285714285714</v>
      </c>
      <c r="M921" s="42" t="n">
        <f aca="false">MAX(I921:K921)</f>
        <v>1.59027777777778</v>
      </c>
      <c r="N921" s="27" t="s">
        <v>197</v>
      </c>
      <c r="O921" s="27"/>
      <c r="P921" s="27" t="str">
        <f aca="false">A921&amp;"|"&amp;N921</f>
        <v>NURSE-05|normal</v>
      </c>
    </row>
    <row r="922" customFormat="false" ht="15" hidden="false" customHeight="true" outlineLevel="0" collapsed="false">
      <c r="A922" s="27" t="s">
        <v>86</v>
      </c>
      <c r="B922" s="41" t="n">
        <v>46303.3333333333</v>
      </c>
      <c r="C922" s="27" t="s">
        <v>200</v>
      </c>
      <c r="D922" s="27" t="n">
        <v>61.4</v>
      </c>
      <c r="E922" s="27" t="n">
        <v>19.8</v>
      </c>
      <c r="F922" s="27" t="n">
        <v>49.2</v>
      </c>
      <c r="G922" s="27" t="n">
        <v>33.7</v>
      </c>
      <c r="H922" s="27" t="s">
        <v>196</v>
      </c>
      <c r="I922" s="42" t="n">
        <f aca="false">(D922-INDEX('Cohort Summary'!$D$5:$D$14,MATCH($A922,'Cohort Summary'!$A$5:$A$14,0)))/INDEX('Cohort Summary'!$E$5:$E$14,MATCH($A922,'Cohort Summary'!$A$5:$A$14,0))</f>
        <v>-1.39583333333333</v>
      </c>
      <c r="J922" s="42" t="n">
        <f aca="false">(E922-INDEX('Cohort Summary'!$F$5:$F$14,MATCH($A922,'Cohort Summary'!$A$5:$A$14,0)))/INDEX('Cohort Summary'!$G$5:$G$14,MATCH($A922,'Cohort Summary'!$A$5:$A$14,0))</f>
        <v>-0.509259259259258</v>
      </c>
      <c r="K922" s="42" t="n">
        <f aca="false">(F922-INDEX('Cohort Summary'!$H$5:$H$14,MATCH($A922,'Cohort Summary'!$A$5:$A$14,0)))/INDEX('Cohort Summary'!$I$5:$I$14,MATCH($A922,'Cohort Summary'!$A$5:$A$14,0))</f>
        <v>-0.341637010676154</v>
      </c>
      <c r="L922" s="42" t="n">
        <f aca="false">(G922-INDEX('Cohort Summary'!$J$5:$J$14,MATCH($A922,'Cohort Summary'!$A$5:$A$14,0)))/INDEX('Cohort Summary'!$K$5:$K$14,MATCH($A922,'Cohort Summary'!$A$5:$A$14,0))</f>
        <v>-1.14285714285714</v>
      </c>
      <c r="M922" s="42" t="n">
        <f aca="false">MAX(I922:K922)</f>
        <v>-0.341637010676154</v>
      </c>
      <c r="N922" s="27" t="s">
        <v>197</v>
      </c>
      <c r="O922" s="27"/>
      <c r="P922" s="27" t="str">
        <f aca="false">A922&amp;"|"&amp;N922</f>
        <v>NURSE-05|normal</v>
      </c>
    </row>
    <row r="923" customFormat="false" ht="15" hidden="false" customHeight="true" outlineLevel="0" collapsed="false">
      <c r="A923" s="27" t="s">
        <v>86</v>
      </c>
      <c r="B923" s="41" t="n">
        <v>46303.3336805556</v>
      </c>
      <c r="C923" s="27" t="s">
        <v>200</v>
      </c>
      <c r="D923" s="27" t="n">
        <v>64.5</v>
      </c>
      <c r="E923" s="27" t="n">
        <v>19.3</v>
      </c>
      <c r="F923" s="27" t="n">
        <v>50.4</v>
      </c>
      <c r="G923" s="27" t="n">
        <v>34.2</v>
      </c>
      <c r="H923" s="27" t="s">
        <v>199</v>
      </c>
      <c r="I923" s="42" t="n">
        <f aca="false">(D923-INDEX('Cohort Summary'!$D$5:$D$14,MATCH($A923,'Cohort Summary'!$A$5:$A$14,0)))/INDEX('Cohort Summary'!$E$5:$E$14,MATCH($A923,'Cohort Summary'!$A$5:$A$14,0))</f>
        <v>-0.319444444444445</v>
      </c>
      <c r="J923" s="42" t="n">
        <f aca="false">(E923-INDEX('Cohort Summary'!$F$5:$F$14,MATCH($A923,'Cohort Summary'!$A$5:$A$14,0)))/INDEX('Cohort Summary'!$G$5:$G$14,MATCH($A923,'Cohort Summary'!$A$5:$A$14,0))</f>
        <v>-0.74074074074074</v>
      </c>
      <c r="K923" s="42" t="n">
        <f aca="false">(F923-INDEX('Cohort Summary'!$H$5:$H$14,MATCH($A923,'Cohort Summary'!$A$5:$A$14,0)))/INDEX('Cohort Summary'!$I$5:$I$14,MATCH($A923,'Cohort Summary'!$A$5:$A$14,0))</f>
        <v>0.0854092526690399</v>
      </c>
      <c r="L923" s="42" t="n">
        <f aca="false">(G923-INDEX('Cohort Summary'!$J$5:$J$14,MATCH($A923,'Cohort Summary'!$A$5:$A$14,0)))/INDEX('Cohort Summary'!$K$5:$K$14,MATCH($A923,'Cohort Summary'!$A$5:$A$14,0))</f>
        <v>-0.349206349206347</v>
      </c>
      <c r="M923" s="42" t="n">
        <f aca="false">MAX(I923:K923)</f>
        <v>0.0854092526690399</v>
      </c>
      <c r="N923" s="27" t="s">
        <v>197</v>
      </c>
      <c r="O923" s="27"/>
      <c r="P923" s="27" t="str">
        <f aca="false">A923&amp;"|"&amp;N923</f>
        <v>NURSE-05|normal</v>
      </c>
    </row>
    <row r="924" customFormat="false" ht="15" hidden="false" customHeight="true" outlineLevel="0" collapsed="false">
      <c r="A924" s="27" t="s">
        <v>86</v>
      </c>
      <c r="B924" s="41" t="n">
        <v>46303.3340277778</v>
      </c>
      <c r="C924" s="27" t="s">
        <v>200</v>
      </c>
      <c r="D924" s="27" t="n">
        <v>63.1</v>
      </c>
      <c r="E924" s="27" t="n">
        <v>22.7</v>
      </c>
      <c r="F924" s="27" t="n">
        <v>51.9</v>
      </c>
      <c r="G924" s="27" t="n">
        <v>34.9</v>
      </c>
      <c r="H924" s="27" t="s">
        <v>198</v>
      </c>
      <c r="I924" s="42" t="n">
        <f aca="false">(D924-INDEX('Cohort Summary'!$D$5:$D$14,MATCH($A924,'Cohort Summary'!$A$5:$A$14,0)))/INDEX('Cohort Summary'!$E$5:$E$14,MATCH($A924,'Cohort Summary'!$A$5:$A$14,0))</f>
        <v>-0.805555555555556</v>
      </c>
      <c r="J924" s="42" t="n">
        <f aca="false">(E924-INDEX('Cohort Summary'!$F$5:$F$14,MATCH($A924,'Cohort Summary'!$A$5:$A$14,0)))/INDEX('Cohort Summary'!$G$5:$G$14,MATCH($A924,'Cohort Summary'!$A$5:$A$14,0))</f>
        <v>0.833333333333334</v>
      </c>
      <c r="K924" s="42" t="n">
        <f aca="false">(F924-INDEX('Cohort Summary'!$H$5:$H$14,MATCH($A924,'Cohort Summary'!$A$5:$A$14,0)))/INDEX('Cohort Summary'!$I$5:$I$14,MATCH($A924,'Cohort Summary'!$A$5:$A$14,0))</f>
        <v>0.619217081850535</v>
      </c>
      <c r="L924" s="42" t="n">
        <f aca="false">(G924-INDEX('Cohort Summary'!$J$5:$J$14,MATCH($A924,'Cohort Summary'!$A$5:$A$14,0)))/INDEX('Cohort Summary'!$K$5:$K$14,MATCH($A924,'Cohort Summary'!$A$5:$A$14,0))</f>
        <v>0.761904761904757</v>
      </c>
      <c r="M924" s="42" t="n">
        <f aca="false">MAX(I924:K924)</f>
        <v>0.833333333333334</v>
      </c>
      <c r="N924" s="27" t="s">
        <v>197</v>
      </c>
      <c r="O924" s="27"/>
      <c r="P924" s="27" t="str">
        <f aca="false">A924&amp;"|"&amp;N924</f>
        <v>NURSE-05|normal</v>
      </c>
    </row>
    <row r="925" customFormat="false" ht="15" hidden="false" customHeight="true" outlineLevel="0" collapsed="false">
      <c r="A925" s="27" t="s">
        <v>86</v>
      </c>
      <c r="B925" s="41" t="n">
        <v>46303.334375</v>
      </c>
      <c r="C925" s="27" t="s">
        <v>200</v>
      </c>
      <c r="D925" s="27" t="n">
        <v>63.9</v>
      </c>
      <c r="E925" s="27" t="n">
        <v>17.8</v>
      </c>
      <c r="F925" s="27" t="n">
        <v>51.3</v>
      </c>
      <c r="G925" s="27" t="n">
        <v>34.1</v>
      </c>
      <c r="H925" s="27" t="s">
        <v>196</v>
      </c>
      <c r="I925" s="42" t="n">
        <f aca="false">(D925-INDEX('Cohort Summary'!$D$5:$D$14,MATCH($A925,'Cohort Summary'!$A$5:$A$14,0)))/INDEX('Cohort Summary'!$E$5:$E$14,MATCH($A925,'Cohort Summary'!$A$5:$A$14,0))</f>
        <v>-0.527777777777779</v>
      </c>
      <c r="J925" s="42" t="n">
        <f aca="false">(E925-INDEX('Cohort Summary'!$F$5:$F$14,MATCH($A925,'Cohort Summary'!$A$5:$A$14,0)))/INDEX('Cohort Summary'!$G$5:$G$14,MATCH($A925,'Cohort Summary'!$A$5:$A$14,0))</f>
        <v>-1.43518518518518</v>
      </c>
      <c r="K925" s="42" t="n">
        <f aca="false">(F925-INDEX('Cohort Summary'!$H$5:$H$14,MATCH($A925,'Cohort Summary'!$A$5:$A$14,0)))/INDEX('Cohort Summary'!$I$5:$I$14,MATCH($A925,'Cohort Summary'!$A$5:$A$14,0))</f>
        <v>0.405693950177936</v>
      </c>
      <c r="L925" s="42" t="n">
        <f aca="false">(G925-INDEX('Cohort Summary'!$J$5:$J$14,MATCH($A925,'Cohort Summary'!$A$5:$A$14,0)))/INDEX('Cohort Summary'!$K$5:$K$14,MATCH($A925,'Cohort Summary'!$A$5:$A$14,0))</f>
        <v>-0.507936507936508</v>
      </c>
      <c r="M925" s="42" t="n">
        <f aca="false">MAX(I925:K925)</f>
        <v>0.405693950177936</v>
      </c>
      <c r="N925" s="27" t="s">
        <v>197</v>
      </c>
      <c r="O925" s="27"/>
      <c r="P925" s="27" t="str">
        <f aca="false">A925&amp;"|"&amp;N925</f>
        <v>NURSE-05|normal</v>
      </c>
    </row>
    <row r="926" customFormat="false" ht="15" hidden="false" customHeight="true" outlineLevel="0" collapsed="false">
      <c r="A926" s="27" t="s">
        <v>86</v>
      </c>
      <c r="B926" s="41" t="n">
        <v>46303.3347222222</v>
      </c>
      <c r="C926" s="27" t="s">
        <v>200</v>
      </c>
      <c r="D926" s="27" t="n">
        <v>66.4</v>
      </c>
      <c r="E926" s="27" t="n">
        <v>21.4</v>
      </c>
      <c r="F926" s="27" t="n">
        <v>52</v>
      </c>
      <c r="G926" s="27" t="n">
        <v>35.4</v>
      </c>
      <c r="H926" s="27" t="s">
        <v>198</v>
      </c>
      <c r="I926" s="42" t="n">
        <f aca="false">(D926-INDEX('Cohort Summary'!$D$5:$D$14,MATCH($A926,'Cohort Summary'!$A$5:$A$14,0)))/INDEX('Cohort Summary'!$E$5:$E$14,MATCH($A926,'Cohort Summary'!$A$5:$A$14,0))</f>
        <v>0.340277777777779</v>
      </c>
      <c r="J926" s="42" t="n">
        <f aca="false">(E926-INDEX('Cohort Summary'!$F$5:$F$14,MATCH($A926,'Cohort Summary'!$A$5:$A$14,0)))/INDEX('Cohort Summary'!$G$5:$G$14,MATCH($A926,'Cohort Summary'!$A$5:$A$14,0))</f>
        <v>0.231481481481481</v>
      </c>
      <c r="K926" s="42" t="n">
        <f aca="false">(F926-INDEX('Cohort Summary'!$H$5:$H$14,MATCH($A926,'Cohort Summary'!$A$5:$A$14,0)))/INDEX('Cohort Summary'!$I$5:$I$14,MATCH($A926,'Cohort Summary'!$A$5:$A$14,0))</f>
        <v>0.654804270462635</v>
      </c>
      <c r="L926" s="42" t="n">
        <f aca="false">(G926-INDEX('Cohort Summary'!$J$5:$J$14,MATCH($A926,'Cohort Summary'!$A$5:$A$14,0)))/INDEX('Cohort Summary'!$K$5:$K$14,MATCH($A926,'Cohort Summary'!$A$5:$A$14,0))</f>
        <v>1.55555555555555</v>
      </c>
      <c r="M926" s="42" t="n">
        <f aca="false">MAX(I926:K926)</f>
        <v>0.654804270462635</v>
      </c>
      <c r="N926" s="27" t="s">
        <v>197</v>
      </c>
      <c r="O926" s="27"/>
      <c r="P926" s="27" t="str">
        <f aca="false">A926&amp;"|"&amp;N926</f>
        <v>NURSE-05|normal</v>
      </c>
    </row>
    <row r="927" customFormat="false" ht="15" hidden="false" customHeight="true" outlineLevel="0" collapsed="false">
      <c r="A927" s="27" t="s">
        <v>86</v>
      </c>
      <c r="B927" s="41" t="n">
        <v>46303.3350694445</v>
      </c>
      <c r="C927" s="27" t="s">
        <v>200</v>
      </c>
      <c r="D927" s="27" t="n">
        <v>63.7</v>
      </c>
      <c r="E927" s="27" t="n">
        <v>23</v>
      </c>
      <c r="F927" s="27" t="n">
        <v>51.5</v>
      </c>
      <c r="G927" s="27" t="n">
        <v>33.8</v>
      </c>
      <c r="H927" s="27" t="s">
        <v>198</v>
      </c>
      <c r="I927" s="42" t="n">
        <f aca="false">(D927-INDEX('Cohort Summary'!$D$5:$D$14,MATCH($A927,'Cohort Summary'!$A$5:$A$14,0)))/INDEX('Cohort Summary'!$E$5:$E$14,MATCH($A927,'Cohort Summary'!$A$5:$A$14,0))</f>
        <v>-0.597222222222222</v>
      </c>
      <c r="J927" s="42" t="n">
        <f aca="false">(E927-INDEX('Cohort Summary'!$F$5:$F$14,MATCH($A927,'Cohort Summary'!$A$5:$A$14,0)))/INDEX('Cohort Summary'!$G$5:$G$14,MATCH($A927,'Cohort Summary'!$A$5:$A$14,0))</f>
        <v>0.972222222222223</v>
      </c>
      <c r="K927" s="42" t="n">
        <f aca="false">(F927-INDEX('Cohort Summary'!$H$5:$H$14,MATCH($A927,'Cohort Summary'!$A$5:$A$14,0)))/INDEX('Cohort Summary'!$I$5:$I$14,MATCH($A927,'Cohort Summary'!$A$5:$A$14,0))</f>
        <v>0.476868327402136</v>
      </c>
      <c r="L927" s="42" t="n">
        <f aca="false">(G927-INDEX('Cohort Summary'!$J$5:$J$14,MATCH($A927,'Cohort Summary'!$A$5:$A$14,0)))/INDEX('Cohort Summary'!$K$5:$K$14,MATCH($A927,'Cohort Summary'!$A$5:$A$14,0))</f>
        <v>-0.984126984126991</v>
      </c>
      <c r="M927" s="42" t="n">
        <f aca="false">MAX(I927:K927)</f>
        <v>0.972222222222223</v>
      </c>
      <c r="N927" s="27" t="s">
        <v>197</v>
      </c>
      <c r="O927" s="27"/>
      <c r="P927" s="27" t="str">
        <f aca="false">A927&amp;"|"&amp;N927</f>
        <v>NURSE-05|normal</v>
      </c>
    </row>
    <row r="928" customFormat="false" ht="15" hidden="false" customHeight="true" outlineLevel="0" collapsed="false">
      <c r="A928" s="27" t="s">
        <v>86</v>
      </c>
      <c r="B928" s="41" t="n">
        <v>46303.3354166667</v>
      </c>
      <c r="C928" s="27" t="s">
        <v>200</v>
      </c>
      <c r="D928" s="27" t="n">
        <v>66</v>
      </c>
      <c r="E928" s="27" t="n">
        <v>22.9</v>
      </c>
      <c r="F928" s="27" t="n">
        <v>53.8</v>
      </c>
      <c r="G928" s="27" t="n">
        <v>34.7</v>
      </c>
      <c r="H928" s="27" t="s">
        <v>198</v>
      </c>
      <c r="I928" s="42" t="n">
        <f aca="false">(D928-INDEX('Cohort Summary'!$D$5:$D$14,MATCH($A928,'Cohort Summary'!$A$5:$A$14,0)))/INDEX('Cohort Summary'!$E$5:$E$14,MATCH($A928,'Cohort Summary'!$A$5:$A$14,0))</f>
        <v>0.201388888888888</v>
      </c>
      <c r="J928" s="42" t="n">
        <f aca="false">(E928-INDEX('Cohort Summary'!$F$5:$F$14,MATCH($A928,'Cohort Summary'!$A$5:$A$14,0)))/INDEX('Cohort Summary'!$G$5:$G$14,MATCH($A928,'Cohort Summary'!$A$5:$A$14,0))</f>
        <v>0.925925925925926</v>
      </c>
      <c r="K928" s="42" t="n">
        <f aca="false">(F928-INDEX('Cohort Summary'!$H$5:$H$14,MATCH($A928,'Cohort Summary'!$A$5:$A$14,0)))/INDEX('Cohort Summary'!$I$5:$I$14,MATCH($A928,'Cohort Summary'!$A$5:$A$14,0))</f>
        <v>1.29537366548043</v>
      </c>
      <c r="L928" s="42" t="n">
        <f aca="false">(G928-INDEX('Cohort Summary'!$J$5:$J$14,MATCH($A928,'Cohort Summary'!$A$5:$A$14,0)))/INDEX('Cohort Summary'!$K$5:$K$14,MATCH($A928,'Cohort Summary'!$A$5:$A$14,0))</f>
        <v>0.444444444444446</v>
      </c>
      <c r="M928" s="42" t="n">
        <f aca="false">MAX(I928:K928)</f>
        <v>1.29537366548043</v>
      </c>
      <c r="N928" s="27" t="s">
        <v>197</v>
      </c>
      <c r="O928" s="27"/>
      <c r="P928" s="27" t="str">
        <f aca="false">A928&amp;"|"&amp;N928</f>
        <v>NURSE-05|normal</v>
      </c>
    </row>
    <row r="929" customFormat="false" ht="15" hidden="false" customHeight="true" outlineLevel="0" collapsed="false">
      <c r="A929" s="27" t="s">
        <v>86</v>
      </c>
      <c r="B929" s="41" t="n">
        <v>46303.3357638889</v>
      </c>
      <c r="C929" s="27" t="s">
        <v>200</v>
      </c>
      <c r="D929" s="27" t="n">
        <v>69</v>
      </c>
      <c r="E929" s="27" t="n">
        <v>21.2</v>
      </c>
      <c r="F929" s="27" t="n">
        <v>49.1</v>
      </c>
      <c r="G929" s="27" t="n">
        <v>34.6</v>
      </c>
      <c r="H929" s="27" t="s">
        <v>198</v>
      </c>
      <c r="I929" s="42" t="n">
        <f aca="false">(D929-INDEX('Cohort Summary'!$D$5:$D$14,MATCH($A929,'Cohort Summary'!$A$5:$A$14,0)))/INDEX('Cohort Summary'!$E$5:$E$14,MATCH($A929,'Cohort Summary'!$A$5:$A$14,0))</f>
        <v>1.24305555555556</v>
      </c>
      <c r="J929" s="42" t="n">
        <f aca="false">(E929-INDEX('Cohort Summary'!$F$5:$F$14,MATCH($A929,'Cohort Summary'!$A$5:$A$14,0)))/INDEX('Cohort Summary'!$G$5:$G$14,MATCH($A929,'Cohort Summary'!$A$5:$A$14,0))</f>
        <v>0.138888888888889</v>
      </c>
      <c r="K929" s="42" t="n">
        <f aca="false">(F929-INDEX('Cohort Summary'!$H$5:$H$14,MATCH($A929,'Cohort Summary'!$A$5:$A$14,0)))/INDEX('Cohort Summary'!$I$5:$I$14,MATCH($A929,'Cohort Summary'!$A$5:$A$14,0))</f>
        <v>-0.377224199288255</v>
      </c>
      <c r="L929" s="42" t="n">
        <f aca="false">(G929-INDEX('Cohort Summary'!$J$5:$J$14,MATCH($A929,'Cohort Summary'!$A$5:$A$14,0)))/INDEX('Cohort Summary'!$K$5:$K$14,MATCH($A929,'Cohort Summary'!$A$5:$A$14,0))</f>
        <v>0.285714285714285</v>
      </c>
      <c r="M929" s="42" t="n">
        <f aca="false">MAX(I929:K929)</f>
        <v>1.24305555555556</v>
      </c>
      <c r="N929" s="27" t="s">
        <v>197</v>
      </c>
      <c r="O929" s="27"/>
      <c r="P929" s="27" t="str">
        <f aca="false">A929&amp;"|"&amp;N929</f>
        <v>NURSE-05|normal</v>
      </c>
    </row>
    <row r="930" customFormat="false" ht="15" hidden="false" customHeight="true" outlineLevel="0" collapsed="false">
      <c r="A930" s="27" t="s">
        <v>86</v>
      </c>
      <c r="B930" s="41" t="n">
        <v>46303.3361111111</v>
      </c>
      <c r="C930" s="27" t="s">
        <v>200</v>
      </c>
      <c r="D930" s="27" t="n">
        <v>60.7</v>
      </c>
      <c r="E930" s="27" t="n">
        <v>17</v>
      </c>
      <c r="F930" s="27" t="n">
        <v>46.7</v>
      </c>
      <c r="G930" s="27" t="n">
        <v>34.9</v>
      </c>
      <c r="H930" s="27" t="s">
        <v>198</v>
      </c>
      <c r="I930" s="42" t="n">
        <f aca="false">(D930-INDEX('Cohort Summary'!$D$5:$D$14,MATCH($A930,'Cohort Summary'!$A$5:$A$14,0)))/INDEX('Cohort Summary'!$E$5:$E$14,MATCH($A930,'Cohort Summary'!$A$5:$A$14,0))</f>
        <v>-1.63888888888889</v>
      </c>
      <c r="J930" s="42" t="n">
        <f aca="false">(E930-INDEX('Cohort Summary'!$F$5:$F$14,MATCH($A930,'Cohort Summary'!$A$5:$A$14,0)))/INDEX('Cohort Summary'!$G$5:$G$14,MATCH($A930,'Cohort Summary'!$A$5:$A$14,0))</f>
        <v>-1.80555555555555</v>
      </c>
      <c r="K930" s="42" t="n">
        <f aca="false">(F930-INDEX('Cohort Summary'!$H$5:$H$14,MATCH($A930,'Cohort Summary'!$A$5:$A$14,0)))/INDEX('Cohort Summary'!$I$5:$I$14,MATCH($A930,'Cohort Summary'!$A$5:$A$14,0))</f>
        <v>-1.23131672597865</v>
      </c>
      <c r="L930" s="42" t="n">
        <f aca="false">(G930-INDEX('Cohort Summary'!$J$5:$J$14,MATCH($A930,'Cohort Summary'!$A$5:$A$14,0)))/INDEX('Cohort Summary'!$K$5:$K$14,MATCH($A930,'Cohort Summary'!$A$5:$A$14,0))</f>
        <v>0.761904761904757</v>
      </c>
      <c r="M930" s="42" t="n">
        <f aca="false">MAX(I930:K930)</f>
        <v>-1.23131672597865</v>
      </c>
      <c r="N930" s="27" t="s">
        <v>197</v>
      </c>
      <c r="O930" s="27"/>
      <c r="P930" s="27" t="str">
        <f aca="false">A930&amp;"|"&amp;N930</f>
        <v>NURSE-05|normal</v>
      </c>
    </row>
    <row r="931" customFormat="false" ht="15" hidden="false" customHeight="true" outlineLevel="0" collapsed="false">
      <c r="A931" s="27" t="s">
        <v>86</v>
      </c>
      <c r="B931" s="41" t="n">
        <v>46303.3364583333</v>
      </c>
      <c r="C931" s="27" t="s">
        <v>200</v>
      </c>
      <c r="D931" s="27" t="n">
        <v>61.7</v>
      </c>
      <c r="E931" s="27" t="n">
        <v>18.2</v>
      </c>
      <c r="F931" s="27" t="n">
        <v>54</v>
      </c>
      <c r="G931" s="27" t="n">
        <v>35.1</v>
      </c>
      <c r="H931" s="27" t="s">
        <v>198</v>
      </c>
      <c r="I931" s="42" t="n">
        <f aca="false">(D931-INDEX('Cohort Summary'!$D$5:$D$14,MATCH($A931,'Cohort Summary'!$A$5:$A$14,0)))/INDEX('Cohort Summary'!$E$5:$E$14,MATCH($A931,'Cohort Summary'!$A$5:$A$14,0))</f>
        <v>-1.29166666666667</v>
      </c>
      <c r="J931" s="42" t="n">
        <f aca="false">(E931-INDEX('Cohort Summary'!$F$5:$F$14,MATCH($A931,'Cohort Summary'!$A$5:$A$14,0)))/INDEX('Cohort Summary'!$G$5:$G$14,MATCH($A931,'Cohort Summary'!$A$5:$A$14,0))</f>
        <v>-1.25</v>
      </c>
      <c r="K931" s="42" t="n">
        <f aca="false">(F931-INDEX('Cohort Summary'!$H$5:$H$14,MATCH($A931,'Cohort Summary'!$A$5:$A$14,0)))/INDEX('Cohort Summary'!$I$5:$I$14,MATCH($A931,'Cohort Summary'!$A$5:$A$14,0))</f>
        <v>1.36654804270463</v>
      </c>
      <c r="L931" s="42" t="n">
        <f aca="false">(G931-INDEX('Cohort Summary'!$J$5:$J$14,MATCH($A931,'Cohort Summary'!$A$5:$A$14,0)))/INDEX('Cohort Summary'!$K$5:$K$14,MATCH($A931,'Cohort Summary'!$A$5:$A$14,0))</f>
        <v>1.07936507936508</v>
      </c>
      <c r="M931" s="42" t="n">
        <f aca="false">MAX(I931:K931)</f>
        <v>1.36654804270463</v>
      </c>
      <c r="N931" s="27" t="s">
        <v>197</v>
      </c>
      <c r="O931" s="27"/>
      <c r="P931" s="27" t="str">
        <f aca="false">A931&amp;"|"&amp;N931</f>
        <v>NURSE-05|normal</v>
      </c>
    </row>
    <row r="932" customFormat="false" ht="15" hidden="false" customHeight="true" outlineLevel="0" collapsed="false">
      <c r="A932" s="27" t="s">
        <v>86</v>
      </c>
      <c r="B932" s="41" t="n">
        <v>46303.3368055556</v>
      </c>
      <c r="C932" s="27" t="s">
        <v>200</v>
      </c>
      <c r="D932" s="27" t="n">
        <v>60.2</v>
      </c>
      <c r="E932" s="27" t="n">
        <v>17.8</v>
      </c>
      <c r="F932" s="27" t="n">
        <v>54.3</v>
      </c>
      <c r="G932" s="27" t="n">
        <v>35.4</v>
      </c>
      <c r="H932" s="27" t="s">
        <v>198</v>
      </c>
      <c r="I932" s="42" t="n">
        <f aca="false">(D932-INDEX('Cohort Summary'!$D$5:$D$14,MATCH($A932,'Cohort Summary'!$A$5:$A$14,0)))/INDEX('Cohort Summary'!$E$5:$E$14,MATCH($A932,'Cohort Summary'!$A$5:$A$14,0))</f>
        <v>-1.8125</v>
      </c>
      <c r="J932" s="42" t="n">
        <f aca="false">(E932-INDEX('Cohort Summary'!$F$5:$F$14,MATCH($A932,'Cohort Summary'!$A$5:$A$14,0)))/INDEX('Cohort Summary'!$G$5:$G$14,MATCH($A932,'Cohort Summary'!$A$5:$A$14,0))</f>
        <v>-1.43518518518518</v>
      </c>
      <c r="K932" s="42" t="n">
        <f aca="false">(F932-INDEX('Cohort Summary'!$H$5:$H$14,MATCH($A932,'Cohort Summary'!$A$5:$A$14,0)))/INDEX('Cohort Summary'!$I$5:$I$14,MATCH($A932,'Cohort Summary'!$A$5:$A$14,0))</f>
        <v>1.47330960854093</v>
      </c>
      <c r="L932" s="42" t="n">
        <f aca="false">(G932-INDEX('Cohort Summary'!$J$5:$J$14,MATCH($A932,'Cohort Summary'!$A$5:$A$14,0)))/INDEX('Cohort Summary'!$K$5:$K$14,MATCH($A932,'Cohort Summary'!$A$5:$A$14,0))</f>
        <v>1.55555555555555</v>
      </c>
      <c r="M932" s="42" t="n">
        <f aca="false">MAX(I932:K932)</f>
        <v>1.47330960854093</v>
      </c>
      <c r="N932" s="27" t="s">
        <v>197</v>
      </c>
      <c r="O932" s="27"/>
      <c r="P932" s="27" t="str">
        <f aca="false">A932&amp;"|"&amp;N932</f>
        <v>NURSE-05|normal</v>
      </c>
    </row>
    <row r="933" customFormat="false" ht="15" hidden="false" customHeight="true" outlineLevel="0" collapsed="false">
      <c r="A933" s="27" t="s">
        <v>86</v>
      </c>
      <c r="B933" s="41" t="n">
        <v>46303.3371527778</v>
      </c>
      <c r="C933" s="27" t="s">
        <v>200</v>
      </c>
      <c r="D933" s="27" t="n">
        <v>64.7</v>
      </c>
      <c r="E933" s="27" t="n">
        <v>17.5</v>
      </c>
      <c r="F933" s="27" t="n">
        <v>48.5</v>
      </c>
      <c r="G933" s="27" t="n">
        <v>34.1</v>
      </c>
      <c r="H933" s="27" t="s">
        <v>196</v>
      </c>
      <c r="I933" s="42" t="n">
        <f aca="false">(D933-INDEX('Cohort Summary'!$D$5:$D$14,MATCH($A933,'Cohort Summary'!$A$5:$A$14,0)))/INDEX('Cohort Summary'!$E$5:$E$14,MATCH($A933,'Cohort Summary'!$A$5:$A$14,0))</f>
        <v>-0.25</v>
      </c>
      <c r="J933" s="42" t="n">
        <f aca="false">(E933-INDEX('Cohort Summary'!$F$5:$F$14,MATCH($A933,'Cohort Summary'!$A$5:$A$14,0)))/INDEX('Cohort Summary'!$G$5:$G$14,MATCH($A933,'Cohort Summary'!$A$5:$A$14,0))</f>
        <v>-1.57407407407407</v>
      </c>
      <c r="K933" s="42" t="n">
        <f aca="false">(F933-INDEX('Cohort Summary'!$H$5:$H$14,MATCH($A933,'Cohort Summary'!$A$5:$A$14,0)))/INDEX('Cohort Summary'!$I$5:$I$14,MATCH($A933,'Cohort Summary'!$A$5:$A$14,0))</f>
        <v>-0.590747330960853</v>
      </c>
      <c r="L933" s="42" t="n">
        <f aca="false">(G933-INDEX('Cohort Summary'!$J$5:$J$14,MATCH($A933,'Cohort Summary'!$A$5:$A$14,0)))/INDEX('Cohort Summary'!$K$5:$K$14,MATCH($A933,'Cohort Summary'!$A$5:$A$14,0))</f>
        <v>-0.507936507936508</v>
      </c>
      <c r="M933" s="42" t="n">
        <f aca="false">MAX(I933:K933)</f>
        <v>-0.25</v>
      </c>
      <c r="N933" s="27" t="s">
        <v>197</v>
      </c>
      <c r="O933" s="27"/>
      <c r="P933" s="27" t="str">
        <f aca="false">A933&amp;"|"&amp;N933</f>
        <v>NURSE-05|normal</v>
      </c>
    </row>
    <row r="934" customFormat="false" ht="15" hidden="false" customHeight="true" outlineLevel="0" collapsed="false">
      <c r="A934" s="27" t="s">
        <v>86</v>
      </c>
      <c r="B934" s="41" t="n">
        <v>46303.3375</v>
      </c>
      <c r="C934" s="27" t="s">
        <v>200</v>
      </c>
      <c r="D934" s="27" t="n">
        <v>64.8</v>
      </c>
      <c r="E934" s="27" t="n">
        <v>18.8</v>
      </c>
      <c r="F934" s="27" t="n">
        <v>45.5</v>
      </c>
      <c r="G934" s="27" t="n">
        <v>33.7</v>
      </c>
      <c r="H934" s="27" t="s">
        <v>198</v>
      </c>
      <c r="I934" s="42" t="n">
        <f aca="false">(D934-INDEX('Cohort Summary'!$D$5:$D$14,MATCH($A934,'Cohort Summary'!$A$5:$A$14,0)))/INDEX('Cohort Summary'!$E$5:$E$14,MATCH($A934,'Cohort Summary'!$A$5:$A$14,0))</f>
        <v>-0.215277777777779</v>
      </c>
      <c r="J934" s="42" t="n">
        <f aca="false">(E934-INDEX('Cohort Summary'!$F$5:$F$14,MATCH($A934,'Cohort Summary'!$A$5:$A$14,0)))/INDEX('Cohort Summary'!$G$5:$G$14,MATCH($A934,'Cohort Summary'!$A$5:$A$14,0))</f>
        <v>-0.972222222222221</v>
      </c>
      <c r="K934" s="42" t="n">
        <f aca="false">(F934-INDEX('Cohort Summary'!$H$5:$H$14,MATCH($A934,'Cohort Summary'!$A$5:$A$14,0)))/INDEX('Cohort Summary'!$I$5:$I$14,MATCH($A934,'Cohort Summary'!$A$5:$A$14,0))</f>
        <v>-1.65836298932384</v>
      </c>
      <c r="L934" s="42" t="n">
        <f aca="false">(G934-INDEX('Cohort Summary'!$J$5:$J$14,MATCH($A934,'Cohort Summary'!$A$5:$A$14,0)))/INDEX('Cohort Summary'!$K$5:$K$14,MATCH($A934,'Cohort Summary'!$A$5:$A$14,0))</f>
        <v>-1.14285714285714</v>
      </c>
      <c r="M934" s="42" t="n">
        <f aca="false">MAX(I934:K934)</f>
        <v>-0.215277777777779</v>
      </c>
      <c r="N934" s="27" t="s">
        <v>197</v>
      </c>
      <c r="O934" s="27"/>
      <c r="P934" s="27" t="str">
        <f aca="false">A934&amp;"|"&amp;N934</f>
        <v>NURSE-05|normal</v>
      </c>
    </row>
    <row r="935" customFormat="false" ht="15" hidden="false" customHeight="true" outlineLevel="0" collapsed="false">
      <c r="A935" s="27" t="s">
        <v>86</v>
      </c>
      <c r="B935" s="41" t="n">
        <v>46303.3378472222</v>
      </c>
      <c r="C935" s="27" t="s">
        <v>200</v>
      </c>
      <c r="D935" s="27" t="n">
        <v>62.7</v>
      </c>
      <c r="E935" s="27" t="n">
        <v>17.4</v>
      </c>
      <c r="F935" s="27" t="n">
        <v>45.5</v>
      </c>
      <c r="G935" s="27" t="n">
        <v>35.4</v>
      </c>
      <c r="H935" s="27" t="s">
        <v>198</v>
      </c>
      <c r="I935" s="42" t="n">
        <f aca="false">(D935-INDEX('Cohort Summary'!$D$5:$D$14,MATCH($A935,'Cohort Summary'!$A$5:$A$14,0)))/INDEX('Cohort Summary'!$E$5:$E$14,MATCH($A935,'Cohort Summary'!$A$5:$A$14,0))</f>
        <v>-0.944444444444444</v>
      </c>
      <c r="J935" s="42" t="n">
        <f aca="false">(E935-INDEX('Cohort Summary'!$F$5:$F$14,MATCH($A935,'Cohort Summary'!$A$5:$A$14,0)))/INDEX('Cohort Summary'!$G$5:$G$14,MATCH($A935,'Cohort Summary'!$A$5:$A$14,0))</f>
        <v>-1.62037037037037</v>
      </c>
      <c r="K935" s="42" t="n">
        <f aca="false">(F935-INDEX('Cohort Summary'!$H$5:$H$14,MATCH($A935,'Cohort Summary'!$A$5:$A$14,0)))/INDEX('Cohort Summary'!$I$5:$I$14,MATCH($A935,'Cohort Summary'!$A$5:$A$14,0))</f>
        <v>-1.65836298932384</v>
      </c>
      <c r="L935" s="42" t="n">
        <f aca="false">(G935-INDEX('Cohort Summary'!$J$5:$J$14,MATCH($A935,'Cohort Summary'!$A$5:$A$14,0)))/INDEX('Cohort Summary'!$K$5:$K$14,MATCH($A935,'Cohort Summary'!$A$5:$A$14,0))</f>
        <v>1.55555555555555</v>
      </c>
      <c r="M935" s="42" t="n">
        <f aca="false">MAX(I935:K935)</f>
        <v>-0.944444444444444</v>
      </c>
      <c r="N935" s="27" t="s">
        <v>197</v>
      </c>
      <c r="O935" s="27"/>
      <c r="P935" s="27" t="str">
        <f aca="false">A935&amp;"|"&amp;N935</f>
        <v>NURSE-05|normal</v>
      </c>
    </row>
    <row r="936" customFormat="false" ht="15" hidden="false" customHeight="true" outlineLevel="0" collapsed="false">
      <c r="A936" s="27" t="s">
        <v>86</v>
      </c>
      <c r="B936" s="41" t="n">
        <v>46303.3381944444</v>
      </c>
      <c r="C936" s="27" t="s">
        <v>200</v>
      </c>
      <c r="D936" s="27" t="n">
        <v>67.9</v>
      </c>
      <c r="E936" s="27" t="n">
        <v>22.1</v>
      </c>
      <c r="F936" s="27" t="n">
        <v>48.4</v>
      </c>
      <c r="G936" s="27" t="n">
        <v>34.5</v>
      </c>
      <c r="H936" s="27" t="s">
        <v>198</v>
      </c>
      <c r="I936" s="42" t="n">
        <f aca="false">(D936-INDEX('Cohort Summary'!$D$5:$D$14,MATCH($A936,'Cohort Summary'!$A$5:$A$14,0)))/INDEX('Cohort Summary'!$E$5:$E$14,MATCH($A936,'Cohort Summary'!$A$5:$A$14,0))</f>
        <v>0.861111111111113</v>
      </c>
      <c r="J936" s="42" t="n">
        <f aca="false">(E936-INDEX('Cohort Summary'!$F$5:$F$14,MATCH($A936,'Cohort Summary'!$A$5:$A$14,0)))/INDEX('Cohort Summary'!$G$5:$G$14,MATCH($A936,'Cohort Summary'!$A$5:$A$14,0))</f>
        <v>0.555555555555557</v>
      </c>
      <c r="K936" s="42" t="n">
        <f aca="false">(F936-INDEX('Cohort Summary'!$H$5:$H$14,MATCH($A936,'Cohort Summary'!$A$5:$A$14,0)))/INDEX('Cohort Summary'!$I$5:$I$14,MATCH($A936,'Cohort Summary'!$A$5:$A$14,0))</f>
        <v>-0.626334519572953</v>
      </c>
      <c r="L936" s="42" t="n">
        <f aca="false">(G936-INDEX('Cohort Summary'!$J$5:$J$14,MATCH($A936,'Cohort Summary'!$A$5:$A$14,0)))/INDEX('Cohort Summary'!$K$5:$K$14,MATCH($A936,'Cohort Summary'!$A$5:$A$14,0))</f>
        <v>0.126984126984124</v>
      </c>
      <c r="M936" s="42" t="n">
        <f aca="false">MAX(I936:K936)</f>
        <v>0.861111111111113</v>
      </c>
      <c r="N936" s="27" t="s">
        <v>197</v>
      </c>
      <c r="O936" s="27"/>
      <c r="P936" s="27" t="str">
        <f aca="false">A936&amp;"|"&amp;N936</f>
        <v>NURSE-05|normal</v>
      </c>
    </row>
    <row r="937" customFormat="false" ht="15" hidden="false" customHeight="true" outlineLevel="0" collapsed="false">
      <c r="A937" s="27" t="s">
        <v>86</v>
      </c>
      <c r="B937" s="41" t="n">
        <v>46303.3385416667</v>
      </c>
      <c r="C937" s="27" t="s">
        <v>200</v>
      </c>
      <c r="D937" s="27" t="n">
        <v>66.1</v>
      </c>
      <c r="E937" s="27" t="n">
        <v>23.9</v>
      </c>
      <c r="F937" s="27" t="n">
        <v>53.1</v>
      </c>
      <c r="G937" s="27" t="n">
        <v>35</v>
      </c>
      <c r="H937" s="27" t="s">
        <v>196</v>
      </c>
      <c r="I937" s="42" t="n">
        <f aca="false">(D937-INDEX('Cohort Summary'!$D$5:$D$14,MATCH($A937,'Cohort Summary'!$A$5:$A$14,0)))/INDEX('Cohort Summary'!$E$5:$E$14,MATCH($A937,'Cohort Summary'!$A$5:$A$14,0))</f>
        <v>0.236111111111109</v>
      </c>
      <c r="J937" s="42" t="n">
        <f aca="false">(E937-INDEX('Cohort Summary'!$F$5:$F$14,MATCH($A937,'Cohort Summary'!$A$5:$A$14,0)))/INDEX('Cohort Summary'!$G$5:$G$14,MATCH($A937,'Cohort Summary'!$A$5:$A$14,0))</f>
        <v>1.38888888888889</v>
      </c>
      <c r="K937" s="42" t="n">
        <f aca="false">(F937-INDEX('Cohort Summary'!$H$5:$H$14,MATCH($A937,'Cohort Summary'!$A$5:$A$14,0)))/INDEX('Cohort Summary'!$I$5:$I$14,MATCH($A937,'Cohort Summary'!$A$5:$A$14,0))</f>
        <v>1.04626334519573</v>
      </c>
      <c r="L937" s="42" t="n">
        <f aca="false">(G937-INDEX('Cohort Summary'!$J$5:$J$14,MATCH($A937,'Cohort Summary'!$A$5:$A$14,0)))/INDEX('Cohort Summary'!$K$5:$K$14,MATCH($A937,'Cohort Summary'!$A$5:$A$14,0))</f>
        <v>0.920634920634918</v>
      </c>
      <c r="M937" s="42" t="n">
        <f aca="false">MAX(I937:K937)</f>
        <v>1.38888888888889</v>
      </c>
      <c r="N937" s="27" t="s">
        <v>197</v>
      </c>
      <c r="O937" s="27"/>
      <c r="P937" s="27" t="str">
        <f aca="false">A937&amp;"|"&amp;N937</f>
        <v>NURSE-05|normal</v>
      </c>
    </row>
    <row r="938" customFormat="false" ht="15" hidden="false" customHeight="true" outlineLevel="0" collapsed="false">
      <c r="A938" s="27" t="s">
        <v>86</v>
      </c>
      <c r="B938" s="41" t="n">
        <v>46303.3388888889</v>
      </c>
      <c r="C938" s="27" t="s">
        <v>200</v>
      </c>
      <c r="D938" s="27" t="n">
        <v>64.2</v>
      </c>
      <c r="E938" s="27" t="n">
        <v>19.1</v>
      </c>
      <c r="F938" s="27" t="n">
        <v>45.2</v>
      </c>
      <c r="G938" s="27" t="n">
        <v>34.1</v>
      </c>
      <c r="H938" s="27" t="s">
        <v>198</v>
      </c>
      <c r="I938" s="42" t="n">
        <f aca="false">(D938-INDEX('Cohort Summary'!$D$5:$D$14,MATCH($A938,'Cohort Summary'!$A$5:$A$14,0)))/INDEX('Cohort Summary'!$E$5:$E$14,MATCH($A938,'Cohort Summary'!$A$5:$A$14,0))</f>
        <v>-0.423611111111111</v>
      </c>
      <c r="J938" s="42" t="n">
        <f aca="false">(E938-INDEX('Cohort Summary'!$F$5:$F$14,MATCH($A938,'Cohort Summary'!$A$5:$A$14,0)))/INDEX('Cohort Summary'!$G$5:$G$14,MATCH($A938,'Cohort Summary'!$A$5:$A$14,0))</f>
        <v>-0.833333333333332</v>
      </c>
      <c r="K938" s="42" t="n">
        <f aca="false">(F938-INDEX('Cohort Summary'!$H$5:$H$14,MATCH($A938,'Cohort Summary'!$A$5:$A$14,0)))/INDEX('Cohort Summary'!$I$5:$I$14,MATCH($A938,'Cohort Summary'!$A$5:$A$14,0))</f>
        <v>-1.76512455516014</v>
      </c>
      <c r="L938" s="42" t="n">
        <f aca="false">(G938-INDEX('Cohort Summary'!$J$5:$J$14,MATCH($A938,'Cohort Summary'!$A$5:$A$14,0)))/INDEX('Cohort Summary'!$K$5:$K$14,MATCH($A938,'Cohort Summary'!$A$5:$A$14,0))</f>
        <v>-0.507936507936508</v>
      </c>
      <c r="M938" s="42" t="n">
        <f aca="false">MAX(I938:K938)</f>
        <v>-0.423611111111111</v>
      </c>
      <c r="N938" s="27" t="s">
        <v>197</v>
      </c>
      <c r="O938" s="27"/>
      <c r="P938" s="27" t="str">
        <f aca="false">A938&amp;"|"&amp;N938</f>
        <v>NURSE-05|normal</v>
      </c>
    </row>
    <row r="939" customFormat="false" ht="15" hidden="false" customHeight="true" outlineLevel="0" collapsed="false">
      <c r="A939" s="27" t="s">
        <v>86</v>
      </c>
      <c r="B939" s="41" t="n">
        <v>46303.3392361111</v>
      </c>
      <c r="C939" s="27" t="s">
        <v>200</v>
      </c>
      <c r="D939" s="27" t="n">
        <v>68</v>
      </c>
      <c r="E939" s="27" t="n">
        <v>17.7</v>
      </c>
      <c r="F939" s="27" t="n">
        <v>50.9</v>
      </c>
      <c r="G939" s="27" t="n">
        <v>33.9</v>
      </c>
      <c r="H939" s="27" t="s">
        <v>196</v>
      </c>
      <c r="I939" s="42" t="n">
        <f aca="false">(D939-INDEX('Cohort Summary'!$D$5:$D$14,MATCH($A939,'Cohort Summary'!$A$5:$A$14,0)))/INDEX('Cohort Summary'!$E$5:$E$14,MATCH($A939,'Cohort Summary'!$A$5:$A$14,0))</f>
        <v>0.895833333333333</v>
      </c>
      <c r="J939" s="42" t="n">
        <f aca="false">(E939-INDEX('Cohort Summary'!$F$5:$F$14,MATCH($A939,'Cohort Summary'!$A$5:$A$14,0)))/INDEX('Cohort Summary'!$G$5:$G$14,MATCH($A939,'Cohort Summary'!$A$5:$A$14,0))</f>
        <v>-1.48148148148148</v>
      </c>
      <c r="K939" s="42" t="n">
        <f aca="false">(F939-INDEX('Cohort Summary'!$H$5:$H$14,MATCH($A939,'Cohort Summary'!$A$5:$A$14,0)))/INDEX('Cohort Summary'!$I$5:$I$14,MATCH($A939,'Cohort Summary'!$A$5:$A$14,0))</f>
        <v>0.263345195729538</v>
      </c>
      <c r="L939" s="42" t="n">
        <f aca="false">(G939-INDEX('Cohort Summary'!$J$5:$J$14,MATCH($A939,'Cohort Summary'!$A$5:$A$14,0)))/INDEX('Cohort Summary'!$K$5:$K$14,MATCH($A939,'Cohort Summary'!$A$5:$A$14,0))</f>
        <v>-0.82539682539683</v>
      </c>
      <c r="M939" s="42" t="n">
        <f aca="false">MAX(I939:K939)</f>
        <v>0.895833333333333</v>
      </c>
      <c r="N939" s="27" t="s">
        <v>197</v>
      </c>
      <c r="O939" s="27"/>
      <c r="P939" s="27" t="str">
        <f aca="false">A939&amp;"|"&amp;N939</f>
        <v>NURSE-05|normal</v>
      </c>
    </row>
    <row r="940" customFormat="false" ht="15" hidden="false" customHeight="true" outlineLevel="0" collapsed="false">
      <c r="A940" s="27" t="s">
        <v>86</v>
      </c>
      <c r="B940" s="41" t="n">
        <v>46303.3395833333</v>
      </c>
      <c r="C940" s="27" t="s">
        <v>200</v>
      </c>
      <c r="D940" s="27" t="n">
        <v>64.5</v>
      </c>
      <c r="E940" s="27" t="n">
        <v>20.3</v>
      </c>
      <c r="F940" s="27" t="n">
        <v>53.1</v>
      </c>
      <c r="G940" s="27" t="n">
        <v>34.7</v>
      </c>
      <c r="H940" s="27" t="s">
        <v>196</v>
      </c>
      <c r="I940" s="42" t="n">
        <f aca="false">(D940-INDEX('Cohort Summary'!$D$5:$D$14,MATCH($A940,'Cohort Summary'!$A$5:$A$14,0)))/INDEX('Cohort Summary'!$E$5:$E$14,MATCH($A940,'Cohort Summary'!$A$5:$A$14,0))</f>
        <v>-0.319444444444445</v>
      </c>
      <c r="J940" s="42" t="n">
        <f aca="false">(E940-INDEX('Cohort Summary'!$F$5:$F$14,MATCH($A940,'Cohort Summary'!$A$5:$A$14,0)))/INDEX('Cohort Summary'!$G$5:$G$14,MATCH($A940,'Cohort Summary'!$A$5:$A$14,0))</f>
        <v>-0.277777777777777</v>
      </c>
      <c r="K940" s="42" t="n">
        <f aca="false">(F940-INDEX('Cohort Summary'!$H$5:$H$14,MATCH($A940,'Cohort Summary'!$A$5:$A$14,0)))/INDEX('Cohort Summary'!$I$5:$I$14,MATCH($A940,'Cohort Summary'!$A$5:$A$14,0))</f>
        <v>1.04626334519573</v>
      </c>
      <c r="L940" s="42" t="n">
        <f aca="false">(G940-INDEX('Cohort Summary'!$J$5:$J$14,MATCH($A940,'Cohort Summary'!$A$5:$A$14,0)))/INDEX('Cohort Summary'!$K$5:$K$14,MATCH($A940,'Cohort Summary'!$A$5:$A$14,0))</f>
        <v>0.444444444444446</v>
      </c>
      <c r="M940" s="42" t="n">
        <f aca="false">MAX(I940:K940)</f>
        <v>1.04626334519573</v>
      </c>
      <c r="N940" s="27" t="s">
        <v>197</v>
      </c>
      <c r="O940" s="27"/>
      <c r="P940" s="27" t="str">
        <f aca="false">A940&amp;"|"&amp;N940</f>
        <v>NURSE-05|normal</v>
      </c>
    </row>
    <row r="941" customFormat="false" ht="15" hidden="false" customHeight="true" outlineLevel="0" collapsed="false">
      <c r="A941" s="27" t="s">
        <v>86</v>
      </c>
      <c r="B941" s="41" t="n">
        <v>46303.3399305556</v>
      </c>
      <c r="C941" s="27" t="s">
        <v>200</v>
      </c>
      <c r="D941" s="27" t="n">
        <v>64.7</v>
      </c>
      <c r="E941" s="27" t="n">
        <v>20</v>
      </c>
      <c r="F941" s="27" t="n">
        <v>45.1</v>
      </c>
      <c r="G941" s="27" t="n">
        <v>35.4</v>
      </c>
      <c r="H941" s="27" t="s">
        <v>198</v>
      </c>
      <c r="I941" s="42" t="n">
        <f aca="false">(D941-INDEX('Cohort Summary'!$D$5:$D$14,MATCH($A941,'Cohort Summary'!$A$5:$A$14,0)))/INDEX('Cohort Summary'!$E$5:$E$14,MATCH($A941,'Cohort Summary'!$A$5:$A$14,0))</f>
        <v>-0.25</v>
      </c>
      <c r="J941" s="42" t="n">
        <f aca="false">(E941-INDEX('Cohort Summary'!$F$5:$F$14,MATCH($A941,'Cohort Summary'!$A$5:$A$14,0)))/INDEX('Cohort Summary'!$G$5:$G$14,MATCH($A941,'Cohort Summary'!$A$5:$A$14,0))</f>
        <v>-0.416666666666666</v>
      </c>
      <c r="K941" s="42" t="n">
        <f aca="false">(F941-INDEX('Cohort Summary'!$H$5:$H$14,MATCH($A941,'Cohort Summary'!$A$5:$A$14,0)))/INDEX('Cohort Summary'!$I$5:$I$14,MATCH($A941,'Cohort Summary'!$A$5:$A$14,0))</f>
        <v>-1.80071174377224</v>
      </c>
      <c r="L941" s="42" t="n">
        <f aca="false">(G941-INDEX('Cohort Summary'!$J$5:$J$14,MATCH($A941,'Cohort Summary'!$A$5:$A$14,0)))/INDEX('Cohort Summary'!$K$5:$K$14,MATCH($A941,'Cohort Summary'!$A$5:$A$14,0))</f>
        <v>1.55555555555555</v>
      </c>
      <c r="M941" s="42" t="n">
        <f aca="false">MAX(I941:K941)</f>
        <v>-0.25</v>
      </c>
      <c r="N941" s="27" t="s">
        <v>197</v>
      </c>
      <c r="O941" s="27"/>
      <c r="P941" s="27" t="str">
        <f aca="false">A941&amp;"|"&amp;N941</f>
        <v>NURSE-05|normal</v>
      </c>
    </row>
    <row r="942" customFormat="false" ht="15" hidden="false" customHeight="true" outlineLevel="0" collapsed="false">
      <c r="A942" s="27" t="s">
        <v>86</v>
      </c>
      <c r="B942" s="41" t="n">
        <v>46303.3402777778</v>
      </c>
      <c r="C942" s="27" t="s">
        <v>200</v>
      </c>
      <c r="D942" s="27" t="n">
        <v>61.1</v>
      </c>
      <c r="E942" s="27" t="n">
        <v>21.4</v>
      </c>
      <c r="F942" s="27" t="n">
        <v>47.4</v>
      </c>
      <c r="G942" s="27" t="n">
        <v>34</v>
      </c>
      <c r="H942" s="27" t="s">
        <v>199</v>
      </c>
      <c r="I942" s="42" t="n">
        <f aca="false">(D942-INDEX('Cohort Summary'!$D$5:$D$14,MATCH($A942,'Cohort Summary'!$A$5:$A$14,0)))/INDEX('Cohort Summary'!$E$5:$E$14,MATCH($A942,'Cohort Summary'!$A$5:$A$14,0))</f>
        <v>-1.5</v>
      </c>
      <c r="J942" s="42" t="n">
        <f aca="false">(E942-INDEX('Cohort Summary'!$F$5:$F$14,MATCH($A942,'Cohort Summary'!$A$5:$A$14,0)))/INDEX('Cohort Summary'!$G$5:$G$14,MATCH($A942,'Cohort Summary'!$A$5:$A$14,0))</f>
        <v>0.231481481481481</v>
      </c>
      <c r="K942" s="42" t="n">
        <f aca="false">(F942-INDEX('Cohort Summary'!$H$5:$H$14,MATCH($A942,'Cohort Summary'!$A$5:$A$14,0)))/INDEX('Cohort Summary'!$I$5:$I$14,MATCH($A942,'Cohort Summary'!$A$5:$A$14,0))</f>
        <v>-0.98220640569395</v>
      </c>
      <c r="L942" s="42" t="n">
        <f aca="false">(G942-INDEX('Cohort Summary'!$J$5:$J$14,MATCH($A942,'Cohort Summary'!$A$5:$A$14,0)))/INDEX('Cohort Summary'!$K$5:$K$14,MATCH($A942,'Cohort Summary'!$A$5:$A$14,0))</f>
        <v>-0.666666666666669</v>
      </c>
      <c r="M942" s="42" t="n">
        <f aca="false">MAX(I942:K942)</f>
        <v>0.231481481481481</v>
      </c>
      <c r="N942" s="27" t="s">
        <v>197</v>
      </c>
      <c r="O942" s="27"/>
      <c r="P942" s="27" t="str">
        <f aca="false">A942&amp;"|"&amp;N942</f>
        <v>NURSE-05|normal</v>
      </c>
    </row>
    <row r="943" customFormat="false" ht="15" hidden="false" customHeight="true" outlineLevel="0" collapsed="false">
      <c r="A943" s="27" t="s">
        <v>86</v>
      </c>
      <c r="B943" s="41" t="n">
        <v>46303.340625</v>
      </c>
      <c r="C943" s="27" t="s">
        <v>200</v>
      </c>
      <c r="D943" s="27" t="n">
        <v>65.2</v>
      </c>
      <c r="E943" s="27" t="n">
        <v>19.3</v>
      </c>
      <c r="F943" s="27" t="n">
        <v>45.6</v>
      </c>
      <c r="G943" s="27" t="n">
        <v>34</v>
      </c>
      <c r="H943" s="27" t="s">
        <v>198</v>
      </c>
      <c r="I943" s="42" t="n">
        <f aca="false">(D943-INDEX('Cohort Summary'!$D$5:$D$14,MATCH($A943,'Cohort Summary'!$A$5:$A$14,0)))/INDEX('Cohort Summary'!$E$5:$E$14,MATCH($A943,'Cohort Summary'!$A$5:$A$14,0))</f>
        <v>-0.0763888888888885</v>
      </c>
      <c r="J943" s="42" t="n">
        <f aca="false">(E943-INDEX('Cohort Summary'!$F$5:$F$14,MATCH($A943,'Cohort Summary'!$A$5:$A$14,0)))/INDEX('Cohort Summary'!$G$5:$G$14,MATCH($A943,'Cohort Summary'!$A$5:$A$14,0))</f>
        <v>-0.74074074074074</v>
      </c>
      <c r="K943" s="42" t="n">
        <f aca="false">(F943-INDEX('Cohort Summary'!$H$5:$H$14,MATCH($A943,'Cohort Summary'!$A$5:$A$14,0)))/INDEX('Cohort Summary'!$I$5:$I$14,MATCH($A943,'Cohort Summary'!$A$5:$A$14,0))</f>
        <v>-1.62277580071174</v>
      </c>
      <c r="L943" s="42" t="n">
        <f aca="false">(G943-INDEX('Cohort Summary'!$J$5:$J$14,MATCH($A943,'Cohort Summary'!$A$5:$A$14,0)))/INDEX('Cohort Summary'!$K$5:$K$14,MATCH($A943,'Cohort Summary'!$A$5:$A$14,0))</f>
        <v>-0.666666666666669</v>
      </c>
      <c r="M943" s="42" t="n">
        <f aca="false">MAX(I943:K943)</f>
        <v>-0.0763888888888885</v>
      </c>
      <c r="N943" s="27" t="s">
        <v>197</v>
      </c>
      <c r="O943" s="27"/>
      <c r="P943" s="27" t="str">
        <f aca="false">A943&amp;"|"&amp;N943</f>
        <v>NURSE-05|normal</v>
      </c>
    </row>
    <row r="944" customFormat="false" ht="15" hidden="false" customHeight="true" outlineLevel="0" collapsed="false">
      <c r="A944" s="27" t="s">
        <v>86</v>
      </c>
      <c r="B944" s="41" t="n">
        <v>46303.3409722222</v>
      </c>
      <c r="C944" s="27" t="s">
        <v>200</v>
      </c>
      <c r="D944" s="27" t="n">
        <v>62.2</v>
      </c>
      <c r="E944" s="27" t="n">
        <v>19</v>
      </c>
      <c r="F944" s="27" t="n">
        <v>51.4</v>
      </c>
      <c r="G944" s="27" t="n">
        <v>34.9</v>
      </c>
      <c r="H944" s="27" t="s">
        <v>196</v>
      </c>
      <c r="I944" s="42" t="n">
        <f aca="false">(D944-INDEX('Cohort Summary'!$D$5:$D$14,MATCH($A944,'Cohort Summary'!$A$5:$A$14,0)))/INDEX('Cohort Summary'!$E$5:$E$14,MATCH($A944,'Cohort Summary'!$A$5:$A$14,0))</f>
        <v>-1.11805555555556</v>
      </c>
      <c r="J944" s="42" t="n">
        <f aca="false">(E944-INDEX('Cohort Summary'!$F$5:$F$14,MATCH($A944,'Cohort Summary'!$A$5:$A$14,0)))/INDEX('Cohort Summary'!$G$5:$G$14,MATCH($A944,'Cohort Summary'!$A$5:$A$14,0))</f>
        <v>-0.879629629629629</v>
      </c>
      <c r="K944" s="42" t="n">
        <f aca="false">(F944-INDEX('Cohort Summary'!$H$5:$H$14,MATCH($A944,'Cohort Summary'!$A$5:$A$14,0)))/INDEX('Cohort Summary'!$I$5:$I$14,MATCH($A944,'Cohort Summary'!$A$5:$A$14,0))</f>
        <v>0.441281138790036</v>
      </c>
      <c r="L944" s="42" t="n">
        <f aca="false">(G944-INDEX('Cohort Summary'!$J$5:$J$14,MATCH($A944,'Cohort Summary'!$A$5:$A$14,0)))/INDEX('Cohort Summary'!$K$5:$K$14,MATCH($A944,'Cohort Summary'!$A$5:$A$14,0))</f>
        <v>0.761904761904757</v>
      </c>
      <c r="M944" s="42" t="n">
        <f aca="false">MAX(I944:K944)</f>
        <v>0.441281138790036</v>
      </c>
      <c r="N944" s="27" t="s">
        <v>197</v>
      </c>
      <c r="O944" s="27"/>
      <c r="P944" s="27" t="str">
        <f aca="false">A944&amp;"|"&amp;N944</f>
        <v>NURSE-05|normal</v>
      </c>
    </row>
    <row r="945" customFormat="false" ht="15" hidden="false" customHeight="true" outlineLevel="0" collapsed="false">
      <c r="A945" s="27" t="s">
        <v>86</v>
      </c>
      <c r="B945" s="41" t="n">
        <v>46303.3413194444</v>
      </c>
      <c r="C945" s="27" t="s">
        <v>200</v>
      </c>
      <c r="D945" s="27" t="n">
        <v>61.9</v>
      </c>
      <c r="E945" s="27" t="n">
        <v>18.3</v>
      </c>
      <c r="F945" s="27" t="n">
        <v>54.9</v>
      </c>
      <c r="G945" s="27" t="n">
        <v>35.5</v>
      </c>
      <c r="H945" s="27" t="s">
        <v>199</v>
      </c>
      <c r="I945" s="42" t="n">
        <f aca="false">(D945-INDEX('Cohort Summary'!$D$5:$D$14,MATCH($A945,'Cohort Summary'!$A$5:$A$14,0)))/INDEX('Cohort Summary'!$E$5:$E$14,MATCH($A945,'Cohort Summary'!$A$5:$A$14,0))</f>
        <v>-1.22222222222222</v>
      </c>
      <c r="J945" s="42" t="n">
        <f aca="false">(E945-INDEX('Cohort Summary'!$F$5:$F$14,MATCH($A945,'Cohort Summary'!$A$5:$A$14,0)))/INDEX('Cohort Summary'!$G$5:$G$14,MATCH($A945,'Cohort Summary'!$A$5:$A$14,0))</f>
        <v>-1.2037037037037</v>
      </c>
      <c r="K945" s="42" t="n">
        <f aca="false">(F945-INDEX('Cohort Summary'!$H$5:$H$14,MATCH($A945,'Cohort Summary'!$A$5:$A$14,0)))/INDEX('Cohort Summary'!$I$5:$I$14,MATCH($A945,'Cohort Summary'!$A$5:$A$14,0))</f>
        <v>1.68683274021352</v>
      </c>
      <c r="L945" s="42" t="n">
        <f aca="false">(G945-INDEX('Cohort Summary'!$J$5:$J$14,MATCH($A945,'Cohort Summary'!$A$5:$A$14,0)))/INDEX('Cohort Summary'!$K$5:$K$14,MATCH($A945,'Cohort Summary'!$A$5:$A$14,0))</f>
        <v>1.71428571428571</v>
      </c>
      <c r="M945" s="42" t="n">
        <f aca="false">MAX(I945:K945)</f>
        <v>1.68683274021352</v>
      </c>
      <c r="N945" s="27" t="s">
        <v>197</v>
      </c>
      <c r="O945" s="27"/>
      <c r="P945" s="27" t="str">
        <f aca="false">A945&amp;"|"&amp;N945</f>
        <v>NURSE-05|normal</v>
      </c>
    </row>
    <row r="946" customFormat="false" ht="15" hidden="false" customHeight="true" outlineLevel="0" collapsed="false">
      <c r="A946" s="27" t="s">
        <v>86</v>
      </c>
      <c r="B946" s="41" t="n">
        <v>46303.3416666667</v>
      </c>
      <c r="C946" s="27" t="s">
        <v>200</v>
      </c>
      <c r="D946" s="27" t="n">
        <v>61.3</v>
      </c>
      <c r="E946" s="27" t="n">
        <v>17.4</v>
      </c>
      <c r="F946" s="27" t="n">
        <v>49.6</v>
      </c>
      <c r="G946" s="27" t="n">
        <v>34.2</v>
      </c>
      <c r="H946" s="27" t="s">
        <v>196</v>
      </c>
      <c r="I946" s="42" t="n">
        <f aca="false">(D946-INDEX('Cohort Summary'!$D$5:$D$14,MATCH($A946,'Cohort Summary'!$A$5:$A$14,0)))/INDEX('Cohort Summary'!$E$5:$E$14,MATCH($A946,'Cohort Summary'!$A$5:$A$14,0))</f>
        <v>-1.43055555555556</v>
      </c>
      <c r="J946" s="42" t="n">
        <f aca="false">(E946-INDEX('Cohort Summary'!$F$5:$F$14,MATCH($A946,'Cohort Summary'!$A$5:$A$14,0)))/INDEX('Cohort Summary'!$G$5:$G$14,MATCH($A946,'Cohort Summary'!$A$5:$A$14,0))</f>
        <v>-1.62037037037037</v>
      </c>
      <c r="K946" s="42" t="n">
        <f aca="false">(F946-INDEX('Cohort Summary'!$H$5:$H$14,MATCH($A946,'Cohort Summary'!$A$5:$A$14,0)))/INDEX('Cohort Summary'!$I$5:$I$14,MATCH($A946,'Cohort Summary'!$A$5:$A$14,0))</f>
        <v>-0.199288256227756</v>
      </c>
      <c r="L946" s="42" t="n">
        <f aca="false">(G946-INDEX('Cohort Summary'!$J$5:$J$14,MATCH($A946,'Cohort Summary'!$A$5:$A$14,0)))/INDEX('Cohort Summary'!$K$5:$K$14,MATCH($A946,'Cohort Summary'!$A$5:$A$14,0))</f>
        <v>-0.349206349206347</v>
      </c>
      <c r="M946" s="42" t="n">
        <f aca="false">MAX(I946:K946)</f>
        <v>-0.199288256227756</v>
      </c>
      <c r="N946" s="27" t="s">
        <v>197</v>
      </c>
      <c r="O946" s="27"/>
      <c r="P946" s="27" t="str">
        <f aca="false">A946&amp;"|"&amp;N946</f>
        <v>NURSE-05|normal</v>
      </c>
    </row>
    <row r="947" customFormat="false" ht="15" hidden="false" customHeight="true" outlineLevel="0" collapsed="false">
      <c r="A947" s="27" t="s">
        <v>86</v>
      </c>
      <c r="B947" s="41" t="n">
        <v>46303.3420138889</v>
      </c>
      <c r="C947" s="27" t="s">
        <v>200</v>
      </c>
      <c r="D947" s="27" t="n">
        <v>67.2</v>
      </c>
      <c r="E947" s="27" t="n">
        <v>23.7</v>
      </c>
      <c r="F947" s="27" t="n">
        <v>52.9</v>
      </c>
      <c r="G947" s="27" t="n">
        <v>34.1</v>
      </c>
      <c r="H947" s="27" t="s">
        <v>199</v>
      </c>
      <c r="I947" s="42" t="n">
        <f aca="false">(D947-INDEX('Cohort Summary'!$D$5:$D$14,MATCH($A947,'Cohort Summary'!$A$5:$A$14,0)))/INDEX('Cohort Summary'!$E$5:$E$14,MATCH($A947,'Cohort Summary'!$A$5:$A$14,0))</f>
        <v>0.618055555555556</v>
      </c>
      <c r="J947" s="42" t="n">
        <f aca="false">(E947-INDEX('Cohort Summary'!$F$5:$F$14,MATCH($A947,'Cohort Summary'!$A$5:$A$14,0)))/INDEX('Cohort Summary'!$G$5:$G$14,MATCH($A947,'Cohort Summary'!$A$5:$A$14,0))</f>
        <v>1.2962962962963</v>
      </c>
      <c r="K947" s="42" t="n">
        <f aca="false">(F947-INDEX('Cohort Summary'!$H$5:$H$14,MATCH($A947,'Cohort Summary'!$A$5:$A$14,0)))/INDEX('Cohort Summary'!$I$5:$I$14,MATCH($A947,'Cohort Summary'!$A$5:$A$14,0))</f>
        <v>0.975088967971531</v>
      </c>
      <c r="L947" s="42" t="n">
        <f aca="false">(G947-INDEX('Cohort Summary'!$J$5:$J$14,MATCH($A947,'Cohort Summary'!$A$5:$A$14,0)))/INDEX('Cohort Summary'!$K$5:$K$14,MATCH($A947,'Cohort Summary'!$A$5:$A$14,0))</f>
        <v>-0.507936507936508</v>
      </c>
      <c r="M947" s="42" t="n">
        <f aca="false">MAX(I947:K947)</f>
        <v>1.2962962962963</v>
      </c>
      <c r="N947" s="27" t="s">
        <v>197</v>
      </c>
      <c r="O947" s="27"/>
      <c r="P947" s="27" t="str">
        <f aca="false">A947&amp;"|"&amp;N947</f>
        <v>NURSE-05|normal</v>
      </c>
    </row>
    <row r="948" customFormat="false" ht="15" hidden="false" customHeight="true" outlineLevel="0" collapsed="false">
      <c r="A948" s="27" t="s">
        <v>86</v>
      </c>
      <c r="B948" s="41" t="n">
        <v>46303.3423611111</v>
      </c>
      <c r="C948" s="27" t="s">
        <v>200</v>
      </c>
      <c r="D948" s="27" t="n">
        <v>65.2</v>
      </c>
      <c r="E948" s="27" t="n">
        <v>19.1</v>
      </c>
      <c r="F948" s="27" t="n">
        <v>52.7</v>
      </c>
      <c r="G948" s="27" t="n">
        <v>34.1</v>
      </c>
      <c r="H948" s="27" t="s">
        <v>199</v>
      </c>
      <c r="I948" s="42" t="n">
        <f aca="false">(D948-INDEX('Cohort Summary'!$D$5:$D$14,MATCH($A948,'Cohort Summary'!$A$5:$A$14,0)))/INDEX('Cohort Summary'!$E$5:$E$14,MATCH($A948,'Cohort Summary'!$A$5:$A$14,0))</f>
        <v>-0.0763888888888885</v>
      </c>
      <c r="J948" s="42" t="n">
        <f aca="false">(E948-INDEX('Cohort Summary'!$F$5:$F$14,MATCH($A948,'Cohort Summary'!$A$5:$A$14,0)))/INDEX('Cohort Summary'!$G$5:$G$14,MATCH($A948,'Cohort Summary'!$A$5:$A$14,0))</f>
        <v>-0.833333333333332</v>
      </c>
      <c r="K948" s="42" t="n">
        <f aca="false">(F948-INDEX('Cohort Summary'!$H$5:$H$14,MATCH($A948,'Cohort Summary'!$A$5:$A$14,0)))/INDEX('Cohort Summary'!$I$5:$I$14,MATCH($A948,'Cohort Summary'!$A$5:$A$14,0))</f>
        <v>0.903914590747333</v>
      </c>
      <c r="L948" s="42" t="n">
        <f aca="false">(G948-INDEX('Cohort Summary'!$J$5:$J$14,MATCH($A948,'Cohort Summary'!$A$5:$A$14,0)))/INDEX('Cohort Summary'!$K$5:$K$14,MATCH($A948,'Cohort Summary'!$A$5:$A$14,0))</f>
        <v>-0.507936507936508</v>
      </c>
      <c r="M948" s="42" t="n">
        <f aca="false">MAX(I948:K948)</f>
        <v>0.903914590747333</v>
      </c>
      <c r="N948" s="27" t="s">
        <v>197</v>
      </c>
      <c r="O948" s="27"/>
      <c r="P948" s="27" t="str">
        <f aca="false">A948&amp;"|"&amp;N948</f>
        <v>NURSE-05|normal</v>
      </c>
    </row>
    <row r="949" customFormat="false" ht="15" hidden="false" customHeight="true" outlineLevel="0" collapsed="false">
      <c r="A949" s="27" t="s">
        <v>86</v>
      </c>
      <c r="B949" s="41" t="n">
        <v>46303.3427083333</v>
      </c>
      <c r="C949" s="27" t="s">
        <v>200</v>
      </c>
      <c r="D949" s="27" t="n">
        <v>60.5</v>
      </c>
      <c r="E949" s="27" t="n">
        <v>20.6</v>
      </c>
      <c r="F949" s="27" t="n">
        <v>46.5</v>
      </c>
      <c r="G949" s="27" t="n">
        <v>35.4</v>
      </c>
      <c r="H949" s="27" t="s">
        <v>198</v>
      </c>
      <c r="I949" s="42" t="n">
        <f aca="false">(D949-INDEX('Cohort Summary'!$D$5:$D$14,MATCH($A949,'Cohort Summary'!$A$5:$A$14,0)))/INDEX('Cohort Summary'!$E$5:$E$14,MATCH($A949,'Cohort Summary'!$A$5:$A$14,0))</f>
        <v>-1.70833333333333</v>
      </c>
      <c r="J949" s="42" t="n">
        <f aca="false">(E949-INDEX('Cohort Summary'!$F$5:$F$14,MATCH($A949,'Cohort Summary'!$A$5:$A$14,0)))/INDEX('Cohort Summary'!$G$5:$G$14,MATCH($A949,'Cohort Summary'!$A$5:$A$14,0))</f>
        <v>-0.138888888888888</v>
      </c>
      <c r="K949" s="42" t="n">
        <f aca="false">(F949-INDEX('Cohort Summary'!$H$5:$H$14,MATCH($A949,'Cohort Summary'!$A$5:$A$14,0)))/INDEX('Cohort Summary'!$I$5:$I$14,MATCH($A949,'Cohort Summary'!$A$5:$A$14,0))</f>
        <v>-1.30249110320285</v>
      </c>
      <c r="L949" s="42" t="n">
        <f aca="false">(G949-INDEX('Cohort Summary'!$J$5:$J$14,MATCH($A949,'Cohort Summary'!$A$5:$A$14,0)))/INDEX('Cohort Summary'!$K$5:$K$14,MATCH($A949,'Cohort Summary'!$A$5:$A$14,0))</f>
        <v>1.55555555555555</v>
      </c>
      <c r="M949" s="42" t="n">
        <f aca="false">MAX(I949:K949)</f>
        <v>-0.138888888888888</v>
      </c>
      <c r="N949" s="27" t="s">
        <v>197</v>
      </c>
      <c r="O949" s="27"/>
      <c r="P949" s="27" t="str">
        <f aca="false">A949&amp;"|"&amp;N949</f>
        <v>NURSE-05|normal</v>
      </c>
    </row>
    <row r="950" customFormat="false" ht="15" hidden="false" customHeight="true" outlineLevel="0" collapsed="false">
      <c r="A950" s="27" t="s">
        <v>86</v>
      </c>
      <c r="B950" s="41" t="n">
        <v>46303.3430555556</v>
      </c>
      <c r="C950" s="27" t="s">
        <v>200</v>
      </c>
      <c r="D950" s="27" t="n">
        <v>64.6</v>
      </c>
      <c r="E950" s="27" t="n">
        <v>18.4</v>
      </c>
      <c r="F950" s="27" t="n">
        <v>46.2</v>
      </c>
      <c r="G950" s="27" t="n">
        <v>34.5</v>
      </c>
      <c r="H950" s="27" t="s">
        <v>196</v>
      </c>
      <c r="I950" s="42" t="n">
        <f aca="false">(D950-INDEX('Cohort Summary'!$D$5:$D$14,MATCH($A950,'Cohort Summary'!$A$5:$A$14,0)))/INDEX('Cohort Summary'!$E$5:$E$14,MATCH($A950,'Cohort Summary'!$A$5:$A$14,0))</f>
        <v>-0.284722222222225</v>
      </c>
      <c r="J950" s="42" t="n">
        <f aca="false">(E950-INDEX('Cohort Summary'!$F$5:$F$14,MATCH($A950,'Cohort Summary'!$A$5:$A$14,0)))/INDEX('Cohort Summary'!$G$5:$G$14,MATCH($A950,'Cohort Summary'!$A$5:$A$14,0))</f>
        <v>-1.15740740740741</v>
      </c>
      <c r="K950" s="42" t="n">
        <f aca="false">(F950-INDEX('Cohort Summary'!$H$5:$H$14,MATCH($A950,'Cohort Summary'!$A$5:$A$14,0)))/INDEX('Cohort Summary'!$I$5:$I$14,MATCH($A950,'Cohort Summary'!$A$5:$A$14,0))</f>
        <v>-1.40925266903914</v>
      </c>
      <c r="L950" s="42" t="n">
        <f aca="false">(G950-INDEX('Cohort Summary'!$J$5:$J$14,MATCH($A950,'Cohort Summary'!$A$5:$A$14,0)))/INDEX('Cohort Summary'!$K$5:$K$14,MATCH($A950,'Cohort Summary'!$A$5:$A$14,0))</f>
        <v>0.126984126984124</v>
      </c>
      <c r="M950" s="42" t="n">
        <f aca="false">MAX(I950:K950)</f>
        <v>-0.284722222222225</v>
      </c>
      <c r="N950" s="27" t="s">
        <v>197</v>
      </c>
      <c r="O950" s="27"/>
      <c r="P950" s="27" t="str">
        <f aca="false">A950&amp;"|"&amp;N950</f>
        <v>NURSE-05|normal</v>
      </c>
    </row>
    <row r="951" customFormat="false" ht="15" hidden="false" customHeight="true" outlineLevel="0" collapsed="false">
      <c r="A951" s="27" t="s">
        <v>86</v>
      </c>
      <c r="B951" s="41" t="n">
        <v>46303.3434027778</v>
      </c>
      <c r="C951" s="27" t="s">
        <v>200</v>
      </c>
      <c r="D951" s="27" t="n">
        <v>68.7</v>
      </c>
      <c r="E951" s="27" t="n">
        <v>21.8</v>
      </c>
      <c r="F951" s="27" t="n">
        <v>49.8</v>
      </c>
      <c r="G951" s="27" t="n">
        <v>34.1</v>
      </c>
      <c r="H951" s="27" t="s">
        <v>198</v>
      </c>
      <c r="I951" s="42" t="n">
        <f aca="false">(D951-INDEX('Cohort Summary'!$D$5:$D$14,MATCH($A951,'Cohort Summary'!$A$5:$A$14,0)))/INDEX('Cohort Summary'!$E$5:$E$14,MATCH($A951,'Cohort Summary'!$A$5:$A$14,0))</f>
        <v>1.13888888888889</v>
      </c>
      <c r="J951" s="42" t="n">
        <f aca="false">(E951-INDEX('Cohort Summary'!$F$5:$F$14,MATCH($A951,'Cohort Summary'!$A$5:$A$14,0)))/INDEX('Cohort Summary'!$G$5:$G$14,MATCH($A951,'Cohort Summary'!$A$5:$A$14,0))</f>
        <v>0.416666666666668</v>
      </c>
      <c r="K951" s="42" t="n">
        <f aca="false">(F951-INDEX('Cohort Summary'!$H$5:$H$14,MATCH($A951,'Cohort Summary'!$A$5:$A$14,0)))/INDEX('Cohort Summary'!$I$5:$I$14,MATCH($A951,'Cohort Summary'!$A$5:$A$14,0))</f>
        <v>-0.128113879003559</v>
      </c>
      <c r="L951" s="42" t="n">
        <f aca="false">(G951-INDEX('Cohort Summary'!$J$5:$J$14,MATCH($A951,'Cohort Summary'!$A$5:$A$14,0)))/INDEX('Cohort Summary'!$K$5:$K$14,MATCH($A951,'Cohort Summary'!$A$5:$A$14,0))</f>
        <v>-0.507936507936508</v>
      </c>
      <c r="M951" s="42" t="n">
        <f aca="false">MAX(I951:K951)</f>
        <v>1.13888888888889</v>
      </c>
      <c r="N951" s="27" t="s">
        <v>197</v>
      </c>
      <c r="O951" s="27"/>
      <c r="P951" s="27" t="str">
        <f aca="false">A951&amp;"|"&amp;N951</f>
        <v>NURSE-05|normal</v>
      </c>
    </row>
    <row r="952" customFormat="false" ht="15" hidden="false" customHeight="true" outlineLevel="0" collapsed="false">
      <c r="A952" s="27" t="s">
        <v>86</v>
      </c>
      <c r="B952" s="41" t="n">
        <v>46303.34375</v>
      </c>
      <c r="C952" s="27" t="s">
        <v>200</v>
      </c>
      <c r="D952" s="27" t="n">
        <v>61.1</v>
      </c>
      <c r="E952" s="27" t="n">
        <v>17.5</v>
      </c>
      <c r="F952" s="27" t="n">
        <v>48.9</v>
      </c>
      <c r="G952" s="27" t="n">
        <v>34.5</v>
      </c>
      <c r="H952" s="27" t="s">
        <v>199</v>
      </c>
      <c r="I952" s="42" t="n">
        <f aca="false">(D952-INDEX('Cohort Summary'!$D$5:$D$14,MATCH($A952,'Cohort Summary'!$A$5:$A$14,0)))/INDEX('Cohort Summary'!$E$5:$E$14,MATCH($A952,'Cohort Summary'!$A$5:$A$14,0))</f>
        <v>-1.5</v>
      </c>
      <c r="J952" s="42" t="n">
        <f aca="false">(E952-INDEX('Cohort Summary'!$F$5:$F$14,MATCH($A952,'Cohort Summary'!$A$5:$A$14,0)))/INDEX('Cohort Summary'!$G$5:$G$14,MATCH($A952,'Cohort Summary'!$A$5:$A$14,0))</f>
        <v>-1.57407407407407</v>
      </c>
      <c r="K952" s="42" t="n">
        <f aca="false">(F952-INDEX('Cohort Summary'!$H$5:$H$14,MATCH($A952,'Cohort Summary'!$A$5:$A$14,0)))/INDEX('Cohort Summary'!$I$5:$I$14,MATCH($A952,'Cohort Summary'!$A$5:$A$14,0))</f>
        <v>-0.448398576512455</v>
      </c>
      <c r="L952" s="42" t="n">
        <f aca="false">(G952-INDEX('Cohort Summary'!$J$5:$J$14,MATCH($A952,'Cohort Summary'!$A$5:$A$14,0)))/INDEX('Cohort Summary'!$K$5:$K$14,MATCH($A952,'Cohort Summary'!$A$5:$A$14,0))</f>
        <v>0.126984126984124</v>
      </c>
      <c r="M952" s="42" t="n">
        <f aca="false">MAX(I952:K952)</f>
        <v>-0.448398576512455</v>
      </c>
      <c r="N952" s="27" t="s">
        <v>197</v>
      </c>
      <c r="O952" s="27"/>
      <c r="P952" s="27" t="str">
        <f aca="false">A952&amp;"|"&amp;N952</f>
        <v>NURSE-05|normal</v>
      </c>
    </row>
    <row r="953" customFormat="false" ht="15" hidden="false" customHeight="true" outlineLevel="0" collapsed="false">
      <c r="A953" s="27" t="s">
        <v>86</v>
      </c>
      <c r="B953" s="41" t="n">
        <v>46303.3440972222</v>
      </c>
      <c r="C953" s="27" t="s">
        <v>200</v>
      </c>
      <c r="D953" s="27" t="n">
        <v>68</v>
      </c>
      <c r="E953" s="27" t="n">
        <v>20.6</v>
      </c>
      <c r="F953" s="27" t="n">
        <v>49.5</v>
      </c>
      <c r="G953" s="27" t="n">
        <v>35.2</v>
      </c>
      <c r="H953" s="27" t="s">
        <v>196</v>
      </c>
      <c r="I953" s="42" t="n">
        <f aca="false">(D953-INDEX('Cohort Summary'!$D$5:$D$14,MATCH($A953,'Cohort Summary'!$A$5:$A$14,0)))/INDEX('Cohort Summary'!$E$5:$E$14,MATCH($A953,'Cohort Summary'!$A$5:$A$14,0))</f>
        <v>0.895833333333333</v>
      </c>
      <c r="J953" s="42" t="n">
        <f aca="false">(E953-INDEX('Cohort Summary'!$F$5:$F$14,MATCH($A953,'Cohort Summary'!$A$5:$A$14,0)))/INDEX('Cohort Summary'!$G$5:$G$14,MATCH($A953,'Cohort Summary'!$A$5:$A$14,0))</f>
        <v>-0.138888888888888</v>
      </c>
      <c r="K953" s="42" t="n">
        <f aca="false">(F953-INDEX('Cohort Summary'!$H$5:$H$14,MATCH($A953,'Cohort Summary'!$A$5:$A$14,0)))/INDEX('Cohort Summary'!$I$5:$I$14,MATCH($A953,'Cohort Summary'!$A$5:$A$14,0))</f>
        <v>-0.234875444839856</v>
      </c>
      <c r="L953" s="42" t="n">
        <f aca="false">(G953-INDEX('Cohort Summary'!$J$5:$J$14,MATCH($A953,'Cohort Summary'!$A$5:$A$14,0)))/INDEX('Cohort Summary'!$K$5:$K$14,MATCH($A953,'Cohort Summary'!$A$5:$A$14,0))</f>
        <v>1.23809523809524</v>
      </c>
      <c r="M953" s="42" t="n">
        <f aca="false">MAX(I953:K953)</f>
        <v>0.895833333333333</v>
      </c>
      <c r="N953" s="27" t="s">
        <v>197</v>
      </c>
      <c r="O953" s="27"/>
      <c r="P953" s="27" t="str">
        <f aca="false">A953&amp;"|"&amp;N953</f>
        <v>NURSE-05|normal</v>
      </c>
    </row>
    <row r="954" customFormat="false" ht="15" hidden="false" customHeight="true" outlineLevel="0" collapsed="false">
      <c r="A954" s="27" t="s">
        <v>86</v>
      </c>
      <c r="B954" s="41" t="n">
        <v>46303.3444444445</v>
      </c>
      <c r="C954" s="27" t="s">
        <v>200</v>
      </c>
      <c r="D954" s="27" t="n">
        <v>64.2</v>
      </c>
      <c r="E954" s="27" t="n">
        <v>21.9</v>
      </c>
      <c r="F954" s="27" t="n">
        <v>50.3</v>
      </c>
      <c r="G954" s="27" t="n">
        <v>35.1</v>
      </c>
      <c r="H954" s="27" t="s">
        <v>196</v>
      </c>
      <c r="I954" s="42" t="n">
        <f aca="false">(D954-INDEX('Cohort Summary'!$D$5:$D$14,MATCH($A954,'Cohort Summary'!$A$5:$A$14,0)))/INDEX('Cohort Summary'!$E$5:$E$14,MATCH($A954,'Cohort Summary'!$A$5:$A$14,0))</f>
        <v>-0.423611111111111</v>
      </c>
      <c r="J954" s="42" t="n">
        <f aca="false">(E954-INDEX('Cohort Summary'!$F$5:$F$14,MATCH($A954,'Cohort Summary'!$A$5:$A$14,0)))/INDEX('Cohort Summary'!$G$5:$G$14,MATCH($A954,'Cohort Summary'!$A$5:$A$14,0))</f>
        <v>0.462962962962963</v>
      </c>
      <c r="K954" s="42" t="n">
        <f aca="false">(F954-INDEX('Cohort Summary'!$H$5:$H$14,MATCH($A954,'Cohort Summary'!$A$5:$A$14,0)))/INDEX('Cohort Summary'!$I$5:$I$14,MATCH($A954,'Cohort Summary'!$A$5:$A$14,0))</f>
        <v>0.0498220640569397</v>
      </c>
      <c r="L954" s="42" t="n">
        <f aca="false">(G954-INDEX('Cohort Summary'!$J$5:$J$14,MATCH($A954,'Cohort Summary'!$A$5:$A$14,0)))/INDEX('Cohort Summary'!$K$5:$K$14,MATCH($A954,'Cohort Summary'!$A$5:$A$14,0))</f>
        <v>1.07936507936508</v>
      </c>
      <c r="M954" s="42" t="n">
        <f aca="false">MAX(I954:K954)</f>
        <v>0.462962962962963</v>
      </c>
      <c r="N954" s="27" t="s">
        <v>197</v>
      </c>
      <c r="O954" s="27"/>
      <c r="P954" s="27" t="str">
        <f aca="false">A954&amp;"|"&amp;N954</f>
        <v>NURSE-05|normal</v>
      </c>
    </row>
    <row r="955" customFormat="false" ht="15" hidden="false" customHeight="true" outlineLevel="0" collapsed="false">
      <c r="A955" s="27" t="s">
        <v>86</v>
      </c>
      <c r="B955" s="41" t="n">
        <v>46303.3447916667</v>
      </c>
      <c r="C955" s="27" t="s">
        <v>200</v>
      </c>
      <c r="D955" s="27" t="n">
        <v>69.3</v>
      </c>
      <c r="E955" s="27" t="n">
        <v>21.3</v>
      </c>
      <c r="F955" s="27" t="n">
        <v>46</v>
      </c>
      <c r="G955" s="27" t="n">
        <v>34.4</v>
      </c>
      <c r="H955" s="27" t="s">
        <v>196</v>
      </c>
      <c r="I955" s="42" t="n">
        <f aca="false">(D955-INDEX('Cohort Summary'!$D$5:$D$14,MATCH($A955,'Cohort Summary'!$A$5:$A$14,0)))/INDEX('Cohort Summary'!$E$5:$E$14,MATCH($A955,'Cohort Summary'!$A$5:$A$14,0))</f>
        <v>1.34722222222222</v>
      </c>
      <c r="J955" s="42" t="n">
        <f aca="false">(E955-INDEX('Cohort Summary'!$F$5:$F$14,MATCH($A955,'Cohort Summary'!$A$5:$A$14,0)))/INDEX('Cohort Summary'!$G$5:$G$14,MATCH($A955,'Cohort Summary'!$A$5:$A$14,0))</f>
        <v>0.185185185185186</v>
      </c>
      <c r="K955" s="42" t="n">
        <f aca="false">(F955-INDEX('Cohort Summary'!$H$5:$H$14,MATCH($A955,'Cohort Summary'!$A$5:$A$14,0)))/INDEX('Cohort Summary'!$I$5:$I$14,MATCH($A955,'Cohort Summary'!$A$5:$A$14,0))</f>
        <v>-1.48042704626334</v>
      </c>
      <c r="L955" s="42" t="n">
        <f aca="false">(G955-INDEX('Cohort Summary'!$J$5:$J$14,MATCH($A955,'Cohort Summary'!$A$5:$A$14,0)))/INDEX('Cohort Summary'!$K$5:$K$14,MATCH($A955,'Cohort Summary'!$A$5:$A$14,0))</f>
        <v>-0.0317460317460367</v>
      </c>
      <c r="M955" s="42" t="n">
        <f aca="false">MAX(I955:K955)</f>
        <v>1.34722222222222</v>
      </c>
      <c r="N955" s="27" t="s">
        <v>197</v>
      </c>
      <c r="O955" s="27"/>
      <c r="P955" s="27" t="str">
        <f aca="false">A955&amp;"|"&amp;N955</f>
        <v>NURSE-05|normal</v>
      </c>
    </row>
    <row r="956" customFormat="false" ht="15" hidden="false" customHeight="true" outlineLevel="0" collapsed="false">
      <c r="A956" s="27" t="s">
        <v>86</v>
      </c>
      <c r="B956" s="41" t="n">
        <v>46303.3451388889</v>
      </c>
      <c r="C956" s="27" t="s">
        <v>200</v>
      </c>
      <c r="D956" s="27" t="n">
        <v>69.2</v>
      </c>
      <c r="E956" s="27" t="n">
        <v>17.9</v>
      </c>
      <c r="F956" s="27" t="n">
        <v>53.6</v>
      </c>
      <c r="G956" s="27" t="n">
        <v>35.4</v>
      </c>
      <c r="H956" s="27" t="s">
        <v>196</v>
      </c>
      <c r="I956" s="42" t="n">
        <f aca="false">(D956-INDEX('Cohort Summary'!$D$5:$D$14,MATCH($A956,'Cohort Summary'!$A$5:$A$14,0)))/INDEX('Cohort Summary'!$E$5:$E$14,MATCH($A956,'Cohort Summary'!$A$5:$A$14,0))</f>
        <v>1.3125</v>
      </c>
      <c r="J956" s="42" t="n">
        <f aca="false">(E956-INDEX('Cohort Summary'!$F$5:$F$14,MATCH($A956,'Cohort Summary'!$A$5:$A$14,0)))/INDEX('Cohort Summary'!$G$5:$G$14,MATCH($A956,'Cohort Summary'!$A$5:$A$14,0))</f>
        <v>-1.38888888888889</v>
      </c>
      <c r="K956" s="42" t="n">
        <f aca="false">(F956-INDEX('Cohort Summary'!$H$5:$H$14,MATCH($A956,'Cohort Summary'!$A$5:$A$14,0)))/INDEX('Cohort Summary'!$I$5:$I$14,MATCH($A956,'Cohort Summary'!$A$5:$A$14,0))</f>
        <v>1.22419928825623</v>
      </c>
      <c r="L956" s="42" t="n">
        <f aca="false">(G956-INDEX('Cohort Summary'!$J$5:$J$14,MATCH($A956,'Cohort Summary'!$A$5:$A$14,0)))/INDEX('Cohort Summary'!$K$5:$K$14,MATCH($A956,'Cohort Summary'!$A$5:$A$14,0))</f>
        <v>1.55555555555555</v>
      </c>
      <c r="M956" s="42" t="n">
        <f aca="false">MAX(I956:K956)</f>
        <v>1.3125</v>
      </c>
      <c r="N956" s="27" t="s">
        <v>197</v>
      </c>
      <c r="O956" s="27"/>
      <c r="P956" s="27" t="str">
        <f aca="false">A956&amp;"|"&amp;N956</f>
        <v>NURSE-05|normal</v>
      </c>
    </row>
    <row r="957" customFormat="false" ht="15" hidden="false" customHeight="true" outlineLevel="0" collapsed="false">
      <c r="A957" s="27" t="s">
        <v>86</v>
      </c>
      <c r="B957" s="41" t="n">
        <v>46303.3454861111</v>
      </c>
      <c r="C957" s="27" t="s">
        <v>200</v>
      </c>
      <c r="D957" s="27" t="n">
        <v>61.3</v>
      </c>
      <c r="E957" s="27" t="n">
        <v>20.3</v>
      </c>
      <c r="F957" s="27" t="n">
        <v>51.2</v>
      </c>
      <c r="G957" s="27" t="n">
        <v>34.1</v>
      </c>
      <c r="H957" s="27" t="s">
        <v>198</v>
      </c>
      <c r="I957" s="42" t="n">
        <f aca="false">(D957-INDEX('Cohort Summary'!$D$5:$D$14,MATCH($A957,'Cohort Summary'!$A$5:$A$14,0)))/INDEX('Cohort Summary'!$E$5:$E$14,MATCH($A957,'Cohort Summary'!$A$5:$A$14,0))</f>
        <v>-1.43055555555556</v>
      </c>
      <c r="J957" s="42" t="n">
        <f aca="false">(E957-INDEX('Cohort Summary'!$F$5:$F$14,MATCH($A957,'Cohort Summary'!$A$5:$A$14,0)))/INDEX('Cohort Summary'!$G$5:$G$14,MATCH($A957,'Cohort Summary'!$A$5:$A$14,0))</f>
        <v>-0.277777777777777</v>
      </c>
      <c r="K957" s="42" t="n">
        <f aca="false">(F957-INDEX('Cohort Summary'!$H$5:$H$14,MATCH($A957,'Cohort Summary'!$A$5:$A$14,0)))/INDEX('Cohort Summary'!$I$5:$I$14,MATCH($A957,'Cohort Summary'!$A$5:$A$14,0))</f>
        <v>0.370106761565839</v>
      </c>
      <c r="L957" s="42" t="n">
        <f aca="false">(G957-INDEX('Cohort Summary'!$J$5:$J$14,MATCH($A957,'Cohort Summary'!$A$5:$A$14,0)))/INDEX('Cohort Summary'!$K$5:$K$14,MATCH($A957,'Cohort Summary'!$A$5:$A$14,0))</f>
        <v>-0.507936507936508</v>
      </c>
      <c r="M957" s="42" t="n">
        <f aca="false">MAX(I957:K957)</f>
        <v>0.370106761565839</v>
      </c>
      <c r="N957" s="27" t="s">
        <v>197</v>
      </c>
      <c r="O957" s="27"/>
      <c r="P957" s="27" t="str">
        <f aca="false">A957&amp;"|"&amp;N957</f>
        <v>NURSE-05|normal</v>
      </c>
    </row>
    <row r="958" customFormat="false" ht="15" hidden="false" customHeight="true" outlineLevel="0" collapsed="false">
      <c r="A958" s="27" t="s">
        <v>86</v>
      </c>
      <c r="B958" s="41" t="n">
        <v>46303.3458333333</v>
      </c>
      <c r="C958" s="27" t="s">
        <v>200</v>
      </c>
      <c r="D958" s="27" t="n">
        <v>68.5</v>
      </c>
      <c r="E958" s="27" t="n">
        <v>21.6</v>
      </c>
      <c r="F958" s="27" t="n">
        <v>48.4</v>
      </c>
      <c r="G958" s="27" t="n">
        <v>34.5</v>
      </c>
      <c r="H958" s="27" t="s">
        <v>198</v>
      </c>
      <c r="I958" s="42" t="n">
        <f aca="false">(D958-INDEX('Cohort Summary'!$D$5:$D$14,MATCH($A958,'Cohort Summary'!$A$5:$A$14,0)))/INDEX('Cohort Summary'!$E$5:$E$14,MATCH($A958,'Cohort Summary'!$A$5:$A$14,0))</f>
        <v>1.06944444444444</v>
      </c>
      <c r="J958" s="42" t="n">
        <f aca="false">(E958-INDEX('Cohort Summary'!$F$5:$F$14,MATCH($A958,'Cohort Summary'!$A$5:$A$14,0)))/INDEX('Cohort Summary'!$G$5:$G$14,MATCH($A958,'Cohort Summary'!$A$5:$A$14,0))</f>
        <v>0.324074074074075</v>
      </c>
      <c r="K958" s="42" t="n">
        <f aca="false">(F958-INDEX('Cohort Summary'!$H$5:$H$14,MATCH($A958,'Cohort Summary'!$A$5:$A$14,0)))/INDEX('Cohort Summary'!$I$5:$I$14,MATCH($A958,'Cohort Summary'!$A$5:$A$14,0))</f>
        <v>-0.626334519572953</v>
      </c>
      <c r="L958" s="42" t="n">
        <f aca="false">(G958-INDEX('Cohort Summary'!$J$5:$J$14,MATCH($A958,'Cohort Summary'!$A$5:$A$14,0)))/INDEX('Cohort Summary'!$K$5:$K$14,MATCH($A958,'Cohort Summary'!$A$5:$A$14,0))</f>
        <v>0.126984126984124</v>
      </c>
      <c r="M958" s="42" t="n">
        <f aca="false">MAX(I958:K958)</f>
        <v>1.06944444444444</v>
      </c>
      <c r="N958" s="27" t="s">
        <v>197</v>
      </c>
      <c r="O958" s="27"/>
      <c r="P958" s="27" t="str">
        <f aca="false">A958&amp;"|"&amp;N958</f>
        <v>NURSE-05|normal</v>
      </c>
    </row>
    <row r="959" customFormat="false" ht="15" hidden="false" customHeight="true" outlineLevel="0" collapsed="false">
      <c r="A959" s="27" t="s">
        <v>86</v>
      </c>
      <c r="B959" s="41" t="n">
        <v>46303.3461805556</v>
      </c>
      <c r="C959" s="27" t="s">
        <v>200</v>
      </c>
      <c r="D959" s="27" t="n">
        <v>63.9</v>
      </c>
      <c r="E959" s="27" t="n">
        <v>17.7</v>
      </c>
      <c r="F959" s="27" t="n">
        <v>54.6</v>
      </c>
      <c r="G959" s="27" t="n">
        <v>33.6</v>
      </c>
      <c r="H959" s="27" t="s">
        <v>199</v>
      </c>
      <c r="I959" s="42" t="n">
        <f aca="false">(D959-INDEX('Cohort Summary'!$D$5:$D$14,MATCH($A959,'Cohort Summary'!$A$5:$A$14,0)))/INDEX('Cohort Summary'!$E$5:$E$14,MATCH($A959,'Cohort Summary'!$A$5:$A$14,0))</f>
        <v>-0.527777777777779</v>
      </c>
      <c r="J959" s="42" t="n">
        <f aca="false">(E959-INDEX('Cohort Summary'!$F$5:$F$14,MATCH($A959,'Cohort Summary'!$A$5:$A$14,0)))/INDEX('Cohort Summary'!$G$5:$G$14,MATCH($A959,'Cohort Summary'!$A$5:$A$14,0))</f>
        <v>-1.48148148148148</v>
      </c>
      <c r="K959" s="42" t="n">
        <f aca="false">(F959-INDEX('Cohort Summary'!$H$5:$H$14,MATCH($A959,'Cohort Summary'!$A$5:$A$14,0)))/INDEX('Cohort Summary'!$I$5:$I$14,MATCH($A959,'Cohort Summary'!$A$5:$A$14,0))</f>
        <v>1.58007117437723</v>
      </c>
      <c r="L959" s="42" t="n">
        <f aca="false">(G959-INDEX('Cohort Summary'!$J$5:$J$14,MATCH($A959,'Cohort Summary'!$A$5:$A$14,0)))/INDEX('Cohort Summary'!$K$5:$K$14,MATCH($A959,'Cohort Summary'!$A$5:$A$14,0))</f>
        <v>-1.3015873015873</v>
      </c>
      <c r="M959" s="42" t="n">
        <f aca="false">MAX(I959:K959)</f>
        <v>1.58007117437723</v>
      </c>
      <c r="N959" s="27" t="s">
        <v>197</v>
      </c>
      <c r="O959" s="27"/>
      <c r="P959" s="27" t="str">
        <f aca="false">A959&amp;"|"&amp;N959</f>
        <v>NURSE-05|normal</v>
      </c>
    </row>
    <row r="960" customFormat="false" ht="15" hidden="false" customHeight="true" outlineLevel="0" collapsed="false">
      <c r="A960" s="27" t="s">
        <v>86</v>
      </c>
      <c r="B960" s="41" t="n">
        <v>46303.3465277778</v>
      </c>
      <c r="C960" s="27" t="s">
        <v>200</v>
      </c>
      <c r="D960" s="27" t="n">
        <v>69.1</v>
      </c>
      <c r="E960" s="27" t="n">
        <v>21.7</v>
      </c>
      <c r="F960" s="27" t="n">
        <v>50.3</v>
      </c>
      <c r="G960" s="27" t="n">
        <v>34.9</v>
      </c>
      <c r="H960" s="27" t="s">
        <v>199</v>
      </c>
      <c r="I960" s="42" t="n">
        <f aca="false">(D960-INDEX('Cohort Summary'!$D$5:$D$14,MATCH($A960,'Cohort Summary'!$A$5:$A$14,0)))/INDEX('Cohort Summary'!$E$5:$E$14,MATCH($A960,'Cohort Summary'!$A$5:$A$14,0))</f>
        <v>1.27777777777778</v>
      </c>
      <c r="J960" s="42" t="n">
        <f aca="false">(E960-INDEX('Cohort Summary'!$F$5:$F$14,MATCH($A960,'Cohort Summary'!$A$5:$A$14,0)))/INDEX('Cohort Summary'!$G$5:$G$14,MATCH($A960,'Cohort Summary'!$A$5:$A$14,0))</f>
        <v>0.370370370370371</v>
      </c>
      <c r="K960" s="42" t="n">
        <f aca="false">(F960-INDEX('Cohort Summary'!$H$5:$H$14,MATCH($A960,'Cohort Summary'!$A$5:$A$14,0)))/INDEX('Cohort Summary'!$I$5:$I$14,MATCH($A960,'Cohort Summary'!$A$5:$A$14,0))</f>
        <v>0.0498220640569397</v>
      </c>
      <c r="L960" s="42" t="n">
        <f aca="false">(G960-INDEX('Cohort Summary'!$J$5:$J$14,MATCH($A960,'Cohort Summary'!$A$5:$A$14,0)))/INDEX('Cohort Summary'!$K$5:$K$14,MATCH($A960,'Cohort Summary'!$A$5:$A$14,0))</f>
        <v>0.761904761904757</v>
      </c>
      <c r="M960" s="42" t="n">
        <f aca="false">MAX(I960:K960)</f>
        <v>1.27777777777778</v>
      </c>
      <c r="N960" s="27" t="s">
        <v>197</v>
      </c>
      <c r="O960" s="27"/>
      <c r="P960" s="27" t="str">
        <f aca="false">A960&amp;"|"&amp;N960</f>
        <v>NURSE-05|normal</v>
      </c>
    </row>
    <row r="961" customFormat="false" ht="15" hidden="false" customHeight="true" outlineLevel="0" collapsed="false">
      <c r="A961" s="27" t="s">
        <v>86</v>
      </c>
      <c r="B961" s="41" t="n">
        <v>46303.346875</v>
      </c>
      <c r="C961" s="27" t="s">
        <v>200</v>
      </c>
      <c r="D961" s="27" t="n">
        <v>61.6</v>
      </c>
      <c r="E961" s="27" t="n">
        <v>20.7</v>
      </c>
      <c r="F961" s="27" t="n">
        <v>53.3</v>
      </c>
      <c r="G961" s="27" t="n">
        <v>33.8</v>
      </c>
      <c r="H961" s="27" t="s">
        <v>198</v>
      </c>
      <c r="I961" s="42" t="n">
        <f aca="false">(D961-INDEX('Cohort Summary'!$D$5:$D$14,MATCH($A961,'Cohort Summary'!$A$5:$A$14,0)))/INDEX('Cohort Summary'!$E$5:$E$14,MATCH($A961,'Cohort Summary'!$A$5:$A$14,0))</f>
        <v>-1.32638888888889</v>
      </c>
      <c r="J961" s="42" t="n">
        <f aca="false">(E961-INDEX('Cohort Summary'!$F$5:$F$14,MATCH($A961,'Cohort Summary'!$A$5:$A$14,0)))/INDEX('Cohort Summary'!$G$5:$G$14,MATCH($A961,'Cohort Summary'!$A$5:$A$14,0))</f>
        <v>-0.0925925925925923</v>
      </c>
      <c r="K961" s="42" t="n">
        <f aca="false">(F961-INDEX('Cohort Summary'!$H$5:$H$14,MATCH($A961,'Cohort Summary'!$A$5:$A$14,0)))/INDEX('Cohort Summary'!$I$5:$I$14,MATCH($A961,'Cohort Summary'!$A$5:$A$14,0))</f>
        <v>1.11743772241993</v>
      </c>
      <c r="L961" s="42" t="n">
        <f aca="false">(G961-INDEX('Cohort Summary'!$J$5:$J$14,MATCH($A961,'Cohort Summary'!$A$5:$A$14,0)))/INDEX('Cohort Summary'!$K$5:$K$14,MATCH($A961,'Cohort Summary'!$A$5:$A$14,0))</f>
        <v>-0.984126984126991</v>
      </c>
      <c r="M961" s="42" t="n">
        <f aca="false">MAX(I961:K961)</f>
        <v>1.11743772241993</v>
      </c>
      <c r="N961" s="27" t="s">
        <v>197</v>
      </c>
      <c r="O961" s="27"/>
      <c r="P961" s="27" t="str">
        <f aca="false">A961&amp;"|"&amp;N961</f>
        <v>NURSE-05|normal</v>
      </c>
    </row>
    <row r="962" customFormat="false" ht="15" hidden="false" customHeight="true" outlineLevel="0" collapsed="false">
      <c r="A962" s="27" t="s">
        <v>86</v>
      </c>
      <c r="B962" s="41" t="n">
        <v>46303.3472222222</v>
      </c>
      <c r="C962" s="27" t="s">
        <v>200</v>
      </c>
      <c r="D962" s="27" t="n">
        <v>63.9</v>
      </c>
      <c r="E962" s="27" t="n">
        <v>22.6</v>
      </c>
      <c r="F962" s="27" t="n">
        <v>52.1</v>
      </c>
      <c r="G962" s="27" t="n">
        <v>34.2</v>
      </c>
      <c r="H962" s="27" t="s">
        <v>198</v>
      </c>
      <c r="I962" s="42" t="n">
        <f aca="false">(D962-INDEX('Cohort Summary'!$D$5:$D$14,MATCH($A962,'Cohort Summary'!$A$5:$A$14,0)))/INDEX('Cohort Summary'!$E$5:$E$14,MATCH($A962,'Cohort Summary'!$A$5:$A$14,0))</f>
        <v>-0.527777777777779</v>
      </c>
      <c r="J962" s="42" t="n">
        <f aca="false">(E962-INDEX('Cohort Summary'!$F$5:$F$14,MATCH($A962,'Cohort Summary'!$A$5:$A$14,0)))/INDEX('Cohort Summary'!$G$5:$G$14,MATCH($A962,'Cohort Summary'!$A$5:$A$14,0))</f>
        <v>0.787037037037038</v>
      </c>
      <c r="K962" s="42" t="n">
        <f aca="false">(F962-INDEX('Cohort Summary'!$H$5:$H$14,MATCH($A962,'Cohort Summary'!$A$5:$A$14,0)))/INDEX('Cohort Summary'!$I$5:$I$14,MATCH($A962,'Cohort Summary'!$A$5:$A$14,0))</f>
        <v>0.690391459074735</v>
      </c>
      <c r="L962" s="42" t="n">
        <f aca="false">(G962-INDEX('Cohort Summary'!$J$5:$J$14,MATCH($A962,'Cohort Summary'!$A$5:$A$14,0)))/INDEX('Cohort Summary'!$K$5:$K$14,MATCH($A962,'Cohort Summary'!$A$5:$A$14,0))</f>
        <v>-0.349206349206347</v>
      </c>
      <c r="M962" s="42" t="n">
        <f aca="false">MAX(I962:K962)</f>
        <v>0.787037037037038</v>
      </c>
      <c r="N962" s="27" t="s">
        <v>197</v>
      </c>
      <c r="O962" s="27"/>
      <c r="P962" s="27" t="str">
        <f aca="false">A962&amp;"|"&amp;N962</f>
        <v>NURSE-05|normal</v>
      </c>
    </row>
    <row r="963" customFormat="false" ht="15" hidden="false" customHeight="true" outlineLevel="0" collapsed="false">
      <c r="A963" s="27" t="s">
        <v>86</v>
      </c>
      <c r="B963" s="41" t="n">
        <v>46303.3475694444</v>
      </c>
      <c r="C963" s="27" t="s">
        <v>200</v>
      </c>
      <c r="D963" s="27" t="n">
        <v>64.6</v>
      </c>
      <c r="E963" s="27" t="n">
        <v>20.9</v>
      </c>
      <c r="F963" s="27" t="n">
        <v>45.9</v>
      </c>
      <c r="G963" s="27" t="n">
        <v>35.4</v>
      </c>
      <c r="H963" s="27" t="s">
        <v>196</v>
      </c>
      <c r="I963" s="42" t="n">
        <f aca="false">(D963-INDEX('Cohort Summary'!$D$5:$D$14,MATCH($A963,'Cohort Summary'!$A$5:$A$14,0)))/INDEX('Cohort Summary'!$E$5:$E$14,MATCH($A963,'Cohort Summary'!$A$5:$A$14,0))</f>
        <v>-0.284722222222225</v>
      </c>
      <c r="J963" s="42" t="n">
        <f aca="false">(E963-INDEX('Cohort Summary'!$F$5:$F$14,MATCH($A963,'Cohort Summary'!$A$5:$A$14,0)))/INDEX('Cohort Summary'!$G$5:$G$14,MATCH($A963,'Cohort Summary'!$A$5:$A$14,0))</f>
        <v>0</v>
      </c>
      <c r="K963" s="42" t="n">
        <f aca="false">(F963-INDEX('Cohort Summary'!$H$5:$H$14,MATCH($A963,'Cohort Summary'!$A$5:$A$14,0)))/INDEX('Cohort Summary'!$I$5:$I$14,MATCH($A963,'Cohort Summary'!$A$5:$A$14,0))</f>
        <v>-1.51601423487544</v>
      </c>
      <c r="L963" s="42" t="n">
        <f aca="false">(G963-INDEX('Cohort Summary'!$J$5:$J$14,MATCH($A963,'Cohort Summary'!$A$5:$A$14,0)))/INDEX('Cohort Summary'!$K$5:$K$14,MATCH($A963,'Cohort Summary'!$A$5:$A$14,0))</f>
        <v>1.55555555555555</v>
      </c>
      <c r="M963" s="42" t="n">
        <f aca="false">MAX(I963:K963)</f>
        <v>0</v>
      </c>
      <c r="N963" s="27" t="s">
        <v>197</v>
      </c>
      <c r="O963" s="27"/>
      <c r="P963" s="27" t="str">
        <f aca="false">A963&amp;"|"&amp;N963</f>
        <v>NURSE-05|normal</v>
      </c>
    </row>
    <row r="964" customFormat="false" ht="15" hidden="false" customHeight="true" outlineLevel="0" collapsed="false">
      <c r="A964" s="27" t="s">
        <v>86</v>
      </c>
      <c r="B964" s="41" t="n">
        <v>46303.3479166667</v>
      </c>
      <c r="C964" s="27" t="s">
        <v>200</v>
      </c>
      <c r="D964" s="27" t="n">
        <v>69</v>
      </c>
      <c r="E964" s="27" t="n">
        <v>20.3</v>
      </c>
      <c r="F964" s="27" t="n">
        <v>54.6</v>
      </c>
      <c r="G964" s="27" t="n">
        <v>34.7</v>
      </c>
      <c r="H964" s="27" t="s">
        <v>199</v>
      </c>
      <c r="I964" s="42" t="n">
        <f aca="false">(D964-INDEX('Cohort Summary'!$D$5:$D$14,MATCH($A964,'Cohort Summary'!$A$5:$A$14,0)))/INDEX('Cohort Summary'!$E$5:$E$14,MATCH($A964,'Cohort Summary'!$A$5:$A$14,0))</f>
        <v>1.24305555555556</v>
      </c>
      <c r="J964" s="42" t="n">
        <f aca="false">(E964-INDEX('Cohort Summary'!$F$5:$F$14,MATCH($A964,'Cohort Summary'!$A$5:$A$14,0)))/INDEX('Cohort Summary'!$G$5:$G$14,MATCH($A964,'Cohort Summary'!$A$5:$A$14,0))</f>
        <v>-0.277777777777777</v>
      </c>
      <c r="K964" s="42" t="n">
        <f aca="false">(F964-INDEX('Cohort Summary'!$H$5:$H$14,MATCH($A964,'Cohort Summary'!$A$5:$A$14,0)))/INDEX('Cohort Summary'!$I$5:$I$14,MATCH($A964,'Cohort Summary'!$A$5:$A$14,0))</f>
        <v>1.58007117437723</v>
      </c>
      <c r="L964" s="42" t="n">
        <f aca="false">(G964-INDEX('Cohort Summary'!$J$5:$J$14,MATCH($A964,'Cohort Summary'!$A$5:$A$14,0)))/INDEX('Cohort Summary'!$K$5:$K$14,MATCH($A964,'Cohort Summary'!$A$5:$A$14,0))</f>
        <v>0.444444444444446</v>
      </c>
      <c r="M964" s="42" t="n">
        <f aca="false">MAX(I964:K964)</f>
        <v>1.58007117437723</v>
      </c>
      <c r="N964" s="27" t="s">
        <v>197</v>
      </c>
      <c r="O964" s="27"/>
      <c r="P964" s="27" t="str">
        <f aca="false">A964&amp;"|"&amp;N964</f>
        <v>NURSE-05|normal</v>
      </c>
    </row>
    <row r="965" customFormat="false" ht="15" hidden="false" customHeight="true" outlineLevel="0" collapsed="false">
      <c r="A965" s="27" t="s">
        <v>86</v>
      </c>
      <c r="B965" s="41" t="n">
        <v>46303.3482638889</v>
      </c>
      <c r="C965" s="27" t="s">
        <v>200</v>
      </c>
      <c r="D965" s="27" t="n">
        <v>67.6</v>
      </c>
      <c r="E965" s="27" t="n">
        <v>19.8</v>
      </c>
      <c r="F965" s="27" t="n">
        <v>47</v>
      </c>
      <c r="G965" s="27" t="n">
        <v>35.1</v>
      </c>
      <c r="H965" s="27" t="s">
        <v>196</v>
      </c>
      <c r="I965" s="42" t="n">
        <f aca="false">(D965-INDEX('Cohort Summary'!$D$5:$D$14,MATCH($A965,'Cohort Summary'!$A$5:$A$14,0)))/INDEX('Cohort Summary'!$E$5:$E$14,MATCH($A965,'Cohort Summary'!$A$5:$A$14,0))</f>
        <v>0.756944444444442</v>
      </c>
      <c r="J965" s="42" t="n">
        <f aca="false">(E965-INDEX('Cohort Summary'!$F$5:$F$14,MATCH($A965,'Cohort Summary'!$A$5:$A$14,0)))/INDEX('Cohort Summary'!$G$5:$G$14,MATCH($A965,'Cohort Summary'!$A$5:$A$14,0))</f>
        <v>-0.509259259259258</v>
      </c>
      <c r="K965" s="42" t="n">
        <f aca="false">(F965-INDEX('Cohort Summary'!$H$5:$H$14,MATCH($A965,'Cohort Summary'!$A$5:$A$14,0)))/INDEX('Cohort Summary'!$I$5:$I$14,MATCH($A965,'Cohort Summary'!$A$5:$A$14,0))</f>
        <v>-1.12455516014235</v>
      </c>
      <c r="L965" s="42" t="n">
        <f aca="false">(G965-INDEX('Cohort Summary'!$J$5:$J$14,MATCH($A965,'Cohort Summary'!$A$5:$A$14,0)))/INDEX('Cohort Summary'!$K$5:$K$14,MATCH($A965,'Cohort Summary'!$A$5:$A$14,0))</f>
        <v>1.07936507936508</v>
      </c>
      <c r="M965" s="42" t="n">
        <f aca="false">MAX(I965:K965)</f>
        <v>0.756944444444442</v>
      </c>
      <c r="N965" s="27" t="s">
        <v>197</v>
      </c>
      <c r="O965" s="27"/>
      <c r="P965" s="27" t="str">
        <f aca="false">A965&amp;"|"&amp;N965</f>
        <v>NURSE-05|normal</v>
      </c>
    </row>
    <row r="966" customFormat="false" ht="15" hidden="false" customHeight="true" outlineLevel="0" collapsed="false">
      <c r="A966" s="27" t="s">
        <v>86</v>
      </c>
      <c r="B966" s="41" t="n">
        <v>46303.3486111111</v>
      </c>
      <c r="C966" s="27" t="s">
        <v>200</v>
      </c>
      <c r="D966" s="27" t="n">
        <v>61.9</v>
      </c>
      <c r="E966" s="27" t="n">
        <v>23.7</v>
      </c>
      <c r="F966" s="27" t="n">
        <v>46.1</v>
      </c>
      <c r="G966" s="27" t="n">
        <v>35.1</v>
      </c>
      <c r="H966" s="27" t="s">
        <v>199</v>
      </c>
      <c r="I966" s="42" t="n">
        <f aca="false">(D966-INDEX('Cohort Summary'!$D$5:$D$14,MATCH($A966,'Cohort Summary'!$A$5:$A$14,0)))/INDEX('Cohort Summary'!$E$5:$E$14,MATCH($A966,'Cohort Summary'!$A$5:$A$14,0))</f>
        <v>-1.22222222222222</v>
      </c>
      <c r="J966" s="42" t="n">
        <f aca="false">(E966-INDEX('Cohort Summary'!$F$5:$F$14,MATCH($A966,'Cohort Summary'!$A$5:$A$14,0)))/INDEX('Cohort Summary'!$G$5:$G$14,MATCH($A966,'Cohort Summary'!$A$5:$A$14,0))</f>
        <v>1.2962962962963</v>
      </c>
      <c r="K966" s="42" t="n">
        <f aca="false">(F966-INDEX('Cohort Summary'!$H$5:$H$14,MATCH($A966,'Cohort Summary'!$A$5:$A$14,0)))/INDEX('Cohort Summary'!$I$5:$I$14,MATCH($A966,'Cohort Summary'!$A$5:$A$14,0))</f>
        <v>-1.44483985765124</v>
      </c>
      <c r="L966" s="42" t="n">
        <f aca="false">(G966-INDEX('Cohort Summary'!$J$5:$J$14,MATCH($A966,'Cohort Summary'!$A$5:$A$14,0)))/INDEX('Cohort Summary'!$K$5:$K$14,MATCH($A966,'Cohort Summary'!$A$5:$A$14,0))</f>
        <v>1.07936507936508</v>
      </c>
      <c r="M966" s="42" t="n">
        <f aca="false">MAX(I966:K966)</f>
        <v>1.2962962962963</v>
      </c>
      <c r="N966" s="27" t="s">
        <v>197</v>
      </c>
      <c r="O966" s="27"/>
      <c r="P966" s="27" t="str">
        <f aca="false">A966&amp;"|"&amp;N966</f>
        <v>NURSE-05|normal</v>
      </c>
    </row>
    <row r="967" customFormat="false" ht="15" hidden="false" customHeight="true" outlineLevel="0" collapsed="false">
      <c r="A967" s="27" t="s">
        <v>86</v>
      </c>
      <c r="B967" s="41" t="n">
        <v>46303.3489583333</v>
      </c>
      <c r="C967" s="27" t="s">
        <v>200</v>
      </c>
      <c r="D967" s="27" t="n">
        <v>68</v>
      </c>
      <c r="E967" s="27" t="n">
        <v>17.2</v>
      </c>
      <c r="F967" s="27" t="n">
        <v>50.1</v>
      </c>
      <c r="G967" s="27" t="n">
        <v>35.1</v>
      </c>
      <c r="H967" s="27" t="s">
        <v>196</v>
      </c>
      <c r="I967" s="42" t="n">
        <f aca="false">(D967-INDEX('Cohort Summary'!$D$5:$D$14,MATCH($A967,'Cohort Summary'!$A$5:$A$14,0)))/INDEX('Cohort Summary'!$E$5:$E$14,MATCH($A967,'Cohort Summary'!$A$5:$A$14,0))</f>
        <v>0.895833333333333</v>
      </c>
      <c r="J967" s="42" t="n">
        <f aca="false">(E967-INDEX('Cohort Summary'!$F$5:$F$14,MATCH($A967,'Cohort Summary'!$A$5:$A$14,0)))/INDEX('Cohort Summary'!$G$5:$G$14,MATCH($A967,'Cohort Summary'!$A$5:$A$14,0))</f>
        <v>-1.71296296296296</v>
      </c>
      <c r="K967" s="42" t="n">
        <f aca="false">(F967-INDEX('Cohort Summary'!$H$5:$H$14,MATCH($A967,'Cohort Summary'!$A$5:$A$14,0)))/INDEX('Cohort Summary'!$I$5:$I$14,MATCH($A967,'Cohort Summary'!$A$5:$A$14,0))</f>
        <v>-0.0213523131672581</v>
      </c>
      <c r="L967" s="42" t="n">
        <f aca="false">(G967-INDEX('Cohort Summary'!$J$5:$J$14,MATCH($A967,'Cohort Summary'!$A$5:$A$14,0)))/INDEX('Cohort Summary'!$K$5:$K$14,MATCH($A967,'Cohort Summary'!$A$5:$A$14,0))</f>
        <v>1.07936507936508</v>
      </c>
      <c r="M967" s="42" t="n">
        <f aca="false">MAX(I967:K967)</f>
        <v>0.895833333333333</v>
      </c>
      <c r="N967" s="27" t="s">
        <v>197</v>
      </c>
      <c r="O967" s="27"/>
      <c r="P967" s="27" t="str">
        <f aca="false">A967&amp;"|"&amp;N967</f>
        <v>NURSE-05|normal</v>
      </c>
    </row>
    <row r="968" customFormat="false" ht="15" hidden="false" customHeight="true" outlineLevel="0" collapsed="false">
      <c r="A968" s="27" t="s">
        <v>86</v>
      </c>
      <c r="B968" s="41" t="n">
        <v>46303.3493055556</v>
      </c>
      <c r="C968" s="27" t="s">
        <v>200</v>
      </c>
      <c r="D968" s="27" t="n">
        <v>61.5</v>
      </c>
      <c r="E968" s="27" t="n">
        <v>23</v>
      </c>
      <c r="F968" s="27" t="n">
        <v>48.2</v>
      </c>
      <c r="G968" s="27" t="n">
        <v>33.8</v>
      </c>
      <c r="H968" s="27" t="s">
        <v>196</v>
      </c>
      <c r="I968" s="42" t="n">
        <f aca="false">(D968-INDEX('Cohort Summary'!$D$5:$D$14,MATCH($A968,'Cohort Summary'!$A$5:$A$14,0)))/INDEX('Cohort Summary'!$E$5:$E$14,MATCH($A968,'Cohort Summary'!$A$5:$A$14,0))</f>
        <v>-1.36111111111111</v>
      </c>
      <c r="J968" s="42" t="n">
        <f aca="false">(E968-INDEX('Cohort Summary'!$F$5:$F$14,MATCH($A968,'Cohort Summary'!$A$5:$A$14,0)))/INDEX('Cohort Summary'!$G$5:$G$14,MATCH($A968,'Cohort Summary'!$A$5:$A$14,0))</f>
        <v>0.972222222222223</v>
      </c>
      <c r="K968" s="42" t="n">
        <f aca="false">(F968-INDEX('Cohort Summary'!$H$5:$H$14,MATCH($A968,'Cohort Summary'!$A$5:$A$14,0)))/INDEX('Cohort Summary'!$I$5:$I$14,MATCH($A968,'Cohort Summary'!$A$5:$A$14,0))</f>
        <v>-0.697508896797151</v>
      </c>
      <c r="L968" s="42" t="n">
        <f aca="false">(G968-INDEX('Cohort Summary'!$J$5:$J$14,MATCH($A968,'Cohort Summary'!$A$5:$A$14,0)))/INDEX('Cohort Summary'!$K$5:$K$14,MATCH($A968,'Cohort Summary'!$A$5:$A$14,0))</f>
        <v>-0.984126984126991</v>
      </c>
      <c r="M968" s="42" t="n">
        <f aca="false">MAX(I968:K968)</f>
        <v>0.972222222222223</v>
      </c>
      <c r="N968" s="27" t="s">
        <v>197</v>
      </c>
      <c r="O968" s="27"/>
      <c r="P968" s="27" t="str">
        <f aca="false">A968&amp;"|"&amp;N968</f>
        <v>NURSE-05|normal</v>
      </c>
    </row>
    <row r="969" customFormat="false" ht="15" hidden="false" customHeight="true" outlineLevel="0" collapsed="false">
      <c r="A969" s="27" t="s">
        <v>86</v>
      </c>
      <c r="B969" s="41" t="n">
        <v>46303.3496527778</v>
      </c>
      <c r="C969" s="27" t="s">
        <v>200</v>
      </c>
      <c r="D969" s="27" t="n">
        <v>68.5</v>
      </c>
      <c r="E969" s="27" t="n">
        <v>21.8</v>
      </c>
      <c r="F969" s="27" t="n">
        <v>51.6</v>
      </c>
      <c r="G969" s="27" t="n">
        <v>33.6</v>
      </c>
      <c r="H969" s="27" t="s">
        <v>198</v>
      </c>
      <c r="I969" s="42" t="n">
        <f aca="false">(D969-INDEX('Cohort Summary'!$D$5:$D$14,MATCH($A969,'Cohort Summary'!$A$5:$A$14,0)))/INDEX('Cohort Summary'!$E$5:$E$14,MATCH($A969,'Cohort Summary'!$A$5:$A$14,0))</f>
        <v>1.06944444444444</v>
      </c>
      <c r="J969" s="42" t="n">
        <f aca="false">(E969-INDEX('Cohort Summary'!$F$5:$F$14,MATCH($A969,'Cohort Summary'!$A$5:$A$14,0)))/INDEX('Cohort Summary'!$G$5:$G$14,MATCH($A969,'Cohort Summary'!$A$5:$A$14,0))</f>
        <v>0.416666666666668</v>
      </c>
      <c r="K969" s="42" t="n">
        <f aca="false">(F969-INDEX('Cohort Summary'!$H$5:$H$14,MATCH($A969,'Cohort Summary'!$A$5:$A$14,0)))/INDEX('Cohort Summary'!$I$5:$I$14,MATCH($A969,'Cohort Summary'!$A$5:$A$14,0))</f>
        <v>0.512455516014237</v>
      </c>
      <c r="L969" s="42" t="n">
        <f aca="false">(G969-INDEX('Cohort Summary'!$J$5:$J$14,MATCH($A969,'Cohort Summary'!$A$5:$A$14,0)))/INDEX('Cohort Summary'!$K$5:$K$14,MATCH($A969,'Cohort Summary'!$A$5:$A$14,0))</f>
        <v>-1.3015873015873</v>
      </c>
      <c r="M969" s="42" t="n">
        <f aca="false">MAX(I969:K969)</f>
        <v>1.06944444444444</v>
      </c>
      <c r="N969" s="27" t="s">
        <v>197</v>
      </c>
      <c r="O969" s="27"/>
      <c r="P969" s="27" t="str">
        <f aca="false">A969&amp;"|"&amp;N969</f>
        <v>NURSE-05|normal</v>
      </c>
    </row>
    <row r="970" customFormat="false" ht="15" hidden="false" customHeight="true" outlineLevel="0" collapsed="false">
      <c r="A970" s="27" t="s">
        <v>86</v>
      </c>
      <c r="B970" s="41" t="n">
        <v>46303.35</v>
      </c>
      <c r="C970" s="27" t="s">
        <v>200</v>
      </c>
      <c r="D970" s="27" t="n">
        <v>68.6</v>
      </c>
      <c r="E970" s="27" t="n">
        <v>21</v>
      </c>
      <c r="F970" s="27" t="n">
        <v>45.1</v>
      </c>
      <c r="G970" s="27" t="n">
        <v>35</v>
      </c>
      <c r="H970" s="27" t="s">
        <v>196</v>
      </c>
      <c r="I970" s="42" t="n">
        <f aca="false">(D970-INDEX('Cohort Summary'!$D$5:$D$14,MATCH($A970,'Cohort Summary'!$A$5:$A$14,0)))/INDEX('Cohort Summary'!$E$5:$E$14,MATCH($A970,'Cohort Summary'!$A$5:$A$14,0))</f>
        <v>1.10416666666666</v>
      </c>
      <c r="J970" s="42" t="n">
        <f aca="false">(E970-INDEX('Cohort Summary'!$F$5:$F$14,MATCH($A970,'Cohort Summary'!$A$5:$A$14,0)))/INDEX('Cohort Summary'!$G$5:$G$14,MATCH($A970,'Cohort Summary'!$A$5:$A$14,0))</f>
        <v>0.046296296296297</v>
      </c>
      <c r="K970" s="42" t="n">
        <f aca="false">(F970-INDEX('Cohort Summary'!$H$5:$H$14,MATCH($A970,'Cohort Summary'!$A$5:$A$14,0)))/INDEX('Cohort Summary'!$I$5:$I$14,MATCH($A970,'Cohort Summary'!$A$5:$A$14,0))</f>
        <v>-1.80071174377224</v>
      </c>
      <c r="L970" s="42" t="n">
        <f aca="false">(G970-INDEX('Cohort Summary'!$J$5:$J$14,MATCH($A970,'Cohort Summary'!$A$5:$A$14,0)))/INDEX('Cohort Summary'!$K$5:$K$14,MATCH($A970,'Cohort Summary'!$A$5:$A$14,0))</f>
        <v>0.920634920634918</v>
      </c>
      <c r="M970" s="42" t="n">
        <f aca="false">MAX(I970:K970)</f>
        <v>1.10416666666666</v>
      </c>
      <c r="N970" s="27" t="s">
        <v>197</v>
      </c>
      <c r="O970" s="27"/>
      <c r="P970" s="27" t="str">
        <f aca="false">A970&amp;"|"&amp;N970</f>
        <v>NURSE-05|normal</v>
      </c>
    </row>
    <row r="971" customFormat="false" ht="15" hidden="false" customHeight="true" outlineLevel="0" collapsed="false">
      <c r="A971" s="27" t="s">
        <v>86</v>
      </c>
      <c r="B971" s="41" t="n">
        <v>46303.3503472222</v>
      </c>
      <c r="C971" s="27" t="s">
        <v>200</v>
      </c>
      <c r="D971" s="27" t="n">
        <v>60.4</v>
      </c>
      <c r="E971" s="27" t="n">
        <v>17.3</v>
      </c>
      <c r="F971" s="27" t="n">
        <v>55</v>
      </c>
      <c r="G971" s="27" t="n">
        <v>34</v>
      </c>
      <c r="H971" s="27" t="s">
        <v>199</v>
      </c>
      <c r="I971" s="42" t="n">
        <f aca="false">(D971-INDEX('Cohort Summary'!$D$5:$D$14,MATCH($A971,'Cohort Summary'!$A$5:$A$14,0)))/INDEX('Cohort Summary'!$E$5:$E$14,MATCH($A971,'Cohort Summary'!$A$5:$A$14,0))</f>
        <v>-1.74305555555556</v>
      </c>
      <c r="J971" s="42" t="n">
        <f aca="false">(E971-INDEX('Cohort Summary'!$F$5:$F$14,MATCH($A971,'Cohort Summary'!$A$5:$A$14,0)))/INDEX('Cohort Summary'!$G$5:$G$14,MATCH($A971,'Cohort Summary'!$A$5:$A$14,0))</f>
        <v>-1.66666666666667</v>
      </c>
      <c r="K971" s="42" t="n">
        <f aca="false">(F971-INDEX('Cohort Summary'!$H$5:$H$14,MATCH($A971,'Cohort Summary'!$A$5:$A$14,0)))/INDEX('Cohort Summary'!$I$5:$I$14,MATCH($A971,'Cohort Summary'!$A$5:$A$14,0))</f>
        <v>1.72241992882562</v>
      </c>
      <c r="L971" s="42" t="n">
        <f aca="false">(G971-INDEX('Cohort Summary'!$J$5:$J$14,MATCH($A971,'Cohort Summary'!$A$5:$A$14,0)))/INDEX('Cohort Summary'!$K$5:$K$14,MATCH($A971,'Cohort Summary'!$A$5:$A$14,0))</f>
        <v>-0.666666666666669</v>
      </c>
      <c r="M971" s="42" t="n">
        <f aca="false">MAX(I971:K971)</f>
        <v>1.72241992882562</v>
      </c>
      <c r="N971" s="27" t="s">
        <v>197</v>
      </c>
      <c r="O971" s="27"/>
      <c r="P971" s="27" t="str">
        <f aca="false">A971&amp;"|"&amp;N971</f>
        <v>NURSE-05|normal</v>
      </c>
    </row>
    <row r="972" customFormat="false" ht="15" hidden="false" customHeight="true" outlineLevel="0" collapsed="false">
      <c r="A972" s="27" t="s">
        <v>86</v>
      </c>
      <c r="B972" s="41" t="n">
        <v>46303.3506944445</v>
      </c>
      <c r="C972" s="27" t="s">
        <v>200</v>
      </c>
      <c r="D972" s="27" t="n">
        <v>68.2</v>
      </c>
      <c r="E972" s="27" t="n">
        <v>18.9</v>
      </c>
      <c r="F972" s="27" t="n">
        <v>48.7</v>
      </c>
      <c r="G972" s="27" t="n">
        <v>34.2</v>
      </c>
      <c r="H972" s="27" t="s">
        <v>199</v>
      </c>
      <c r="I972" s="42" t="n">
        <f aca="false">(D972-INDEX('Cohort Summary'!$D$5:$D$14,MATCH($A972,'Cohort Summary'!$A$5:$A$14,0)))/INDEX('Cohort Summary'!$E$5:$E$14,MATCH($A972,'Cohort Summary'!$A$5:$A$14,0))</f>
        <v>0.965277777777778</v>
      </c>
      <c r="J972" s="42" t="n">
        <f aca="false">(E972-INDEX('Cohort Summary'!$F$5:$F$14,MATCH($A972,'Cohort Summary'!$A$5:$A$14,0)))/INDEX('Cohort Summary'!$G$5:$G$14,MATCH($A972,'Cohort Summary'!$A$5:$A$14,0))</f>
        <v>-0.925925925925926</v>
      </c>
      <c r="K972" s="42" t="n">
        <f aca="false">(F972-INDEX('Cohort Summary'!$H$5:$H$14,MATCH($A972,'Cohort Summary'!$A$5:$A$14,0)))/INDEX('Cohort Summary'!$I$5:$I$14,MATCH($A972,'Cohort Summary'!$A$5:$A$14,0))</f>
        <v>-0.519572953736653</v>
      </c>
      <c r="L972" s="42" t="n">
        <f aca="false">(G972-INDEX('Cohort Summary'!$J$5:$J$14,MATCH($A972,'Cohort Summary'!$A$5:$A$14,0)))/INDEX('Cohort Summary'!$K$5:$K$14,MATCH($A972,'Cohort Summary'!$A$5:$A$14,0))</f>
        <v>-0.349206349206347</v>
      </c>
      <c r="M972" s="42" t="n">
        <f aca="false">MAX(I972:K972)</f>
        <v>0.965277777777778</v>
      </c>
      <c r="N972" s="27" t="s">
        <v>197</v>
      </c>
      <c r="O972" s="27"/>
      <c r="P972" s="27" t="str">
        <f aca="false">A972&amp;"|"&amp;N972</f>
        <v>NURSE-05|normal</v>
      </c>
    </row>
    <row r="973" customFormat="false" ht="15" hidden="false" customHeight="true" outlineLevel="0" collapsed="false">
      <c r="A973" s="27" t="s">
        <v>86</v>
      </c>
      <c r="B973" s="41" t="n">
        <v>46303.3510416667</v>
      </c>
      <c r="C973" s="27" t="s">
        <v>200</v>
      </c>
      <c r="D973" s="27" t="n">
        <v>63.9</v>
      </c>
      <c r="E973" s="27" t="n">
        <v>19</v>
      </c>
      <c r="F973" s="27" t="n">
        <v>54.4</v>
      </c>
      <c r="G973" s="27" t="n">
        <v>33.5</v>
      </c>
      <c r="H973" s="27" t="s">
        <v>196</v>
      </c>
      <c r="I973" s="42" t="n">
        <f aca="false">(D973-INDEX('Cohort Summary'!$D$5:$D$14,MATCH($A973,'Cohort Summary'!$A$5:$A$14,0)))/INDEX('Cohort Summary'!$E$5:$E$14,MATCH($A973,'Cohort Summary'!$A$5:$A$14,0))</f>
        <v>-0.527777777777779</v>
      </c>
      <c r="J973" s="42" t="n">
        <f aca="false">(E973-INDEX('Cohort Summary'!$F$5:$F$14,MATCH($A973,'Cohort Summary'!$A$5:$A$14,0)))/INDEX('Cohort Summary'!$G$5:$G$14,MATCH($A973,'Cohort Summary'!$A$5:$A$14,0))</f>
        <v>-0.879629629629629</v>
      </c>
      <c r="K973" s="42" t="n">
        <f aca="false">(F973-INDEX('Cohort Summary'!$H$5:$H$14,MATCH($A973,'Cohort Summary'!$A$5:$A$14,0)))/INDEX('Cohort Summary'!$I$5:$I$14,MATCH($A973,'Cohort Summary'!$A$5:$A$14,0))</f>
        <v>1.50889679715303</v>
      </c>
      <c r="L973" s="42" t="n">
        <f aca="false">(G973-INDEX('Cohort Summary'!$J$5:$J$14,MATCH($A973,'Cohort Summary'!$A$5:$A$14,0)))/INDEX('Cohort Summary'!$K$5:$K$14,MATCH($A973,'Cohort Summary'!$A$5:$A$14,0))</f>
        <v>-1.46031746031746</v>
      </c>
      <c r="M973" s="42" t="n">
        <f aca="false">MAX(I973:K973)</f>
        <v>1.50889679715303</v>
      </c>
      <c r="N973" s="27" t="s">
        <v>197</v>
      </c>
      <c r="O973" s="27"/>
      <c r="P973" s="27" t="str">
        <f aca="false">A973&amp;"|"&amp;N973</f>
        <v>NURSE-05|normal</v>
      </c>
    </row>
    <row r="974" customFormat="false" ht="15" hidden="false" customHeight="true" outlineLevel="0" collapsed="false">
      <c r="A974" s="27" t="s">
        <v>86</v>
      </c>
      <c r="B974" s="41" t="n">
        <v>46303.3513888889</v>
      </c>
      <c r="C974" s="27" t="s">
        <v>200</v>
      </c>
      <c r="D974" s="27" t="n">
        <v>64.1</v>
      </c>
      <c r="E974" s="27" t="n">
        <v>21.5</v>
      </c>
      <c r="F974" s="27" t="n">
        <v>53.9</v>
      </c>
      <c r="G974" s="27" t="n">
        <v>35</v>
      </c>
      <c r="H974" s="27" t="s">
        <v>198</v>
      </c>
      <c r="I974" s="42" t="n">
        <f aca="false">(D974-INDEX('Cohort Summary'!$D$5:$D$14,MATCH($A974,'Cohort Summary'!$A$5:$A$14,0)))/INDEX('Cohort Summary'!$E$5:$E$14,MATCH($A974,'Cohort Summary'!$A$5:$A$14,0))</f>
        <v>-0.458333333333336</v>
      </c>
      <c r="J974" s="42" t="n">
        <f aca="false">(E974-INDEX('Cohort Summary'!$F$5:$F$14,MATCH($A974,'Cohort Summary'!$A$5:$A$14,0)))/INDEX('Cohort Summary'!$G$5:$G$14,MATCH($A974,'Cohort Summary'!$A$5:$A$14,0))</f>
        <v>0.277777777777778</v>
      </c>
      <c r="K974" s="42" t="n">
        <f aca="false">(F974-INDEX('Cohort Summary'!$H$5:$H$14,MATCH($A974,'Cohort Summary'!$A$5:$A$14,0)))/INDEX('Cohort Summary'!$I$5:$I$14,MATCH($A974,'Cohort Summary'!$A$5:$A$14,0))</f>
        <v>1.33096085409253</v>
      </c>
      <c r="L974" s="42" t="n">
        <f aca="false">(G974-INDEX('Cohort Summary'!$J$5:$J$14,MATCH($A974,'Cohort Summary'!$A$5:$A$14,0)))/INDEX('Cohort Summary'!$K$5:$K$14,MATCH($A974,'Cohort Summary'!$A$5:$A$14,0))</f>
        <v>0.920634920634918</v>
      </c>
      <c r="M974" s="42" t="n">
        <f aca="false">MAX(I974:K974)</f>
        <v>1.33096085409253</v>
      </c>
      <c r="N974" s="27" t="s">
        <v>197</v>
      </c>
      <c r="O974" s="27"/>
      <c r="P974" s="27" t="str">
        <f aca="false">A974&amp;"|"&amp;N974</f>
        <v>NURSE-05|normal</v>
      </c>
    </row>
    <row r="975" customFormat="false" ht="15" hidden="false" customHeight="true" outlineLevel="0" collapsed="false">
      <c r="A975" s="27" t="s">
        <v>86</v>
      </c>
      <c r="B975" s="41" t="n">
        <v>46303.3517361111</v>
      </c>
      <c r="C975" s="27" t="s">
        <v>200</v>
      </c>
      <c r="D975" s="27" t="n">
        <v>68.2</v>
      </c>
      <c r="E975" s="27" t="n">
        <v>21.5</v>
      </c>
      <c r="F975" s="27" t="n">
        <v>45.5</v>
      </c>
      <c r="G975" s="27" t="n">
        <v>35.3</v>
      </c>
      <c r="H975" s="27" t="s">
        <v>198</v>
      </c>
      <c r="I975" s="42" t="n">
        <f aca="false">(D975-INDEX('Cohort Summary'!$D$5:$D$14,MATCH($A975,'Cohort Summary'!$A$5:$A$14,0)))/INDEX('Cohort Summary'!$E$5:$E$14,MATCH($A975,'Cohort Summary'!$A$5:$A$14,0))</f>
        <v>0.965277777777778</v>
      </c>
      <c r="J975" s="42" t="n">
        <f aca="false">(E975-INDEX('Cohort Summary'!$F$5:$F$14,MATCH($A975,'Cohort Summary'!$A$5:$A$14,0)))/INDEX('Cohort Summary'!$G$5:$G$14,MATCH($A975,'Cohort Summary'!$A$5:$A$14,0))</f>
        <v>0.277777777777778</v>
      </c>
      <c r="K975" s="42" t="n">
        <f aca="false">(F975-INDEX('Cohort Summary'!$H$5:$H$14,MATCH($A975,'Cohort Summary'!$A$5:$A$14,0)))/INDEX('Cohort Summary'!$I$5:$I$14,MATCH($A975,'Cohort Summary'!$A$5:$A$14,0))</f>
        <v>-1.65836298932384</v>
      </c>
      <c r="L975" s="42" t="n">
        <f aca="false">(G975-INDEX('Cohort Summary'!$J$5:$J$14,MATCH($A975,'Cohort Summary'!$A$5:$A$14,0)))/INDEX('Cohort Summary'!$K$5:$K$14,MATCH($A975,'Cohort Summary'!$A$5:$A$14,0))</f>
        <v>1.39682539682539</v>
      </c>
      <c r="M975" s="42" t="n">
        <f aca="false">MAX(I975:K975)</f>
        <v>0.965277777777778</v>
      </c>
      <c r="N975" s="27" t="s">
        <v>197</v>
      </c>
      <c r="O975" s="27"/>
      <c r="P975" s="27" t="str">
        <f aca="false">A975&amp;"|"&amp;N975</f>
        <v>NURSE-05|normal</v>
      </c>
    </row>
    <row r="976" customFormat="false" ht="15" hidden="false" customHeight="true" outlineLevel="0" collapsed="false">
      <c r="A976" s="27" t="s">
        <v>86</v>
      </c>
      <c r="B976" s="41" t="n">
        <v>46303.3520833333</v>
      </c>
      <c r="C976" s="27" t="s">
        <v>200</v>
      </c>
      <c r="D976" s="27" t="n">
        <v>67.5</v>
      </c>
      <c r="E976" s="27" t="n">
        <v>22.7</v>
      </c>
      <c r="F976" s="27" t="n">
        <v>47.5</v>
      </c>
      <c r="G976" s="27" t="n">
        <v>34.8</v>
      </c>
      <c r="H976" s="27" t="s">
        <v>199</v>
      </c>
      <c r="I976" s="42" t="n">
        <f aca="false">(D976-INDEX('Cohort Summary'!$D$5:$D$14,MATCH($A976,'Cohort Summary'!$A$5:$A$14,0)))/INDEX('Cohort Summary'!$E$5:$E$14,MATCH($A976,'Cohort Summary'!$A$5:$A$14,0))</f>
        <v>0.722222222222222</v>
      </c>
      <c r="J976" s="42" t="n">
        <f aca="false">(E976-INDEX('Cohort Summary'!$F$5:$F$14,MATCH($A976,'Cohort Summary'!$A$5:$A$14,0)))/INDEX('Cohort Summary'!$G$5:$G$14,MATCH($A976,'Cohort Summary'!$A$5:$A$14,0))</f>
        <v>0.833333333333334</v>
      </c>
      <c r="K976" s="42" t="n">
        <f aca="false">(F976-INDEX('Cohort Summary'!$H$5:$H$14,MATCH($A976,'Cohort Summary'!$A$5:$A$14,0)))/INDEX('Cohort Summary'!$I$5:$I$14,MATCH($A976,'Cohort Summary'!$A$5:$A$14,0))</f>
        <v>-0.946619217081849</v>
      </c>
      <c r="L976" s="42" t="n">
        <f aca="false">(G976-INDEX('Cohort Summary'!$J$5:$J$14,MATCH($A976,'Cohort Summary'!$A$5:$A$14,0)))/INDEX('Cohort Summary'!$K$5:$K$14,MATCH($A976,'Cohort Summary'!$A$5:$A$14,0))</f>
        <v>0.603174603174596</v>
      </c>
      <c r="M976" s="42" t="n">
        <f aca="false">MAX(I976:K976)</f>
        <v>0.833333333333334</v>
      </c>
      <c r="N976" s="27" t="s">
        <v>197</v>
      </c>
      <c r="O976" s="27"/>
      <c r="P976" s="27" t="str">
        <f aca="false">A976&amp;"|"&amp;N976</f>
        <v>NURSE-05|normal</v>
      </c>
    </row>
    <row r="977" customFormat="false" ht="15" hidden="false" customHeight="true" outlineLevel="0" collapsed="false">
      <c r="A977" s="27" t="s">
        <v>86</v>
      </c>
      <c r="B977" s="41" t="n">
        <v>46303.3524305556</v>
      </c>
      <c r="C977" s="27" t="s">
        <v>200</v>
      </c>
      <c r="D977" s="27" t="n">
        <v>64.4</v>
      </c>
      <c r="E977" s="27" t="n">
        <v>19.1</v>
      </c>
      <c r="F977" s="27" t="n">
        <v>47.4</v>
      </c>
      <c r="G977" s="27" t="n">
        <v>34.9</v>
      </c>
      <c r="H977" s="27" t="s">
        <v>196</v>
      </c>
      <c r="I977" s="42" t="n">
        <f aca="false">(D977-INDEX('Cohort Summary'!$D$5:$D$14,MATCH($A977,'Cohort Summary'!$A$5:$A$14,0)))/INDEX('Cohort Summary'!$E$5:$E$14,MATCH($A977,'Cohort Summary'!$A$5:$A$14,0))</f>
        <v>-0.354166666666665</v>
      </c>
      <c r="J977" s="42" t="n">
        <f aca="false">(E977-INDEX('Cohort Summary'!$F$5:$F$14,MATCH($A977,'Cohort Summary'!$A$5:$A$14,0)))/INDEX('Cohort Summary'!$G$5:$G$14,MATCH($A977,'Cohort Summary'!$A$5:$A$14,0))</f>
        <v>-0.833333333333332</v>
      </c>
      <c r="K977" s="42" t="n">
        <f aca="false">(F977-INDEX('Cohort Summary'!$H$5:$H$14,MATCH($A977,'Cohort Summary'!$A$5:$A$14,0)))/INDEX('Cohort Summary'!$I$5:$I$14,MATCH($A977,'Cohort Summary'!$A$5:$A$14,0))</f>
        <v>-0.98220640569395</v>
      </c>
      <c r="L977" s="42" t="n">
        <f aca="false">(G977-INDEX('Cohort Summary'!$J$5:$J$14,MATCH($A977,'Cohort Summary'!$A$5:$A$14,0)))/INDEX('Cohort Summary'!$K$5:$K$14,MATCH($A977,'Cohort Summary'!$A$5:$A$14,0))</f>
        <v>0.761904761904757</v>
      </c>
      <c r="M977" s="42" t="n">
        <f aca="false">MAX(I977:K977)</f>
        <v>-0.354166666666665</v>
      </c>
      <c r="N977" s="27" t="s">
        <v>197</v>
      </c>
      <c r="O977" s="27"/>
      <c r="P977" s="27" t="str">
        <f aca="false">A977&amp;"|"&amp;N977</f>
        <v>NURSE-05|normal</v>
      </c>
    </row>
    <row r="978" customFormat="false" ht="15" hidden="false" customHeight="true" outlineLevel="0" collapsed="false">
      <c r="A978" s="27" t="s">
        <v>86</v>
      </c>
      <c r="B978" s="41" t="n">
        <v>46303.3527777778</v>
      </c>
      <c r="C978" s="27" t="s">
        <v>200</v>
      </c>
      <c r="D978" s="27" t="n">
        <v>68.2</v>
      </c>
      <c r="E978" s="27" t="n">
        <v>19.4</v>
      </c>
      <c r="F978" s="27" t="n">
        <v>53.4</v>
      </c>
      <c r="G978" s="27" t="n">
        <v>35.2</v>
      </c>
      <c r="H978" s="27" t="s">
        <v>198</v>
      </c>
      <c r="I978" s="42" t="n">
        <f aca="false">(D978-INDEX('Cohort Summary'!$D$5:$D$14,MATCH($A978,'Cohort Summary'!$A$5:$A$14,0)))/INDEX('Cohort Summary'!$E$5:$E$14,MATCH($A978,'Cohort Summary'!$A$5:$A$14,0))</f>
        <v>0.965277777777778</v>
      </c>
      <c r="J978" s="42" t="n">
        <f aca="false">(E978-INDEX('Cohort Summary'!$F$5:$F$14,MATCH($A978,'Cohort Summary'!$A$5:$A$14,0)))/INDEX('Cohort Summary'!$G$5:$G$14,MATCH($A978,'Cohort Summary'!$A$5:$A$14,0))</f>
        <v>-0.694444444444444</v>
      </c>
      <c r="K978" s="42" t="n">
        <f aca="false">(F978-INDEX('Cohort Summary'!$H$5:$H$14,MATCH($A978,'Cohort Summary'!$A$5:$A$14,0)))/INDEX('Cohort Summary'!$I$5:$I$14,MATCH($A978,'Cohort Summary'!$A$5:$A$14,0))</f>
        <v>1.15302491103203</v>
      </c>
      <c r="L978" s="42" t="n">
        <f aca="false">(G978-INDEX('Cohort Summary'!$J$5:$J$14,MATCH($A978,'Cohort Summary'!$A$5:$A$14,0)))/INDEX('Cohort Summary'!$K$5:$K$14,MATCH($A978,'Cohort Summary'!$A$5:$A$14,0))</f>
        <v>1.23809523809524</v>
      </c>
      <c r="M978" s="42" t="n">
        <f aca="false">MAX(I978:K978)</f>
        <v>1.15302491103203</v>
      </c>
      <c r="N978" s="27" t="s">
        <v>197</v>
      </c>
      <c r="O978" s="27"/>
      <c r="P978" s="27" t="str">
        <f aca="false">A978&amp;"|"&amp;N978</f>
        <v>NURSE-05|normal</v>
      </c>
    </row>
    <row r="979" customFormat="false" ht="15" hidden="false" customHeight="true" outlineLevel="0" collapsed="false">
      <c r="A979" s="27" t="s">
        <v>86</v>
      </c>
      <c r="B979" s="41" t="n">
        <v>46303.353125</v>
      </c>
      <c r="C979" s="27" t="s">
        <v>200</v>
      </c>
      <c r="D979" s="27" t="n">
        <v>68.6</v>
      </c>
      <c r="E979" s="27" t="n">
        <v>23.7</v>
      </c>
      <c r="F979" s="27" t="n">
        <v>53.7</v>
      </c>
      <c r="G979" s="27" t="n">
        <v>34.6</v>
      </c>
      <c r="H979" s="27" t="s">
        <v>198</v>
      </c>
      <c r="I979" s="42" t="n">
        <f aca="false">(D979-INDEX('Cohort Summary'!$D$5:$D$14,MATCH($A979,'Cohort Summary'!$A$5:$A$14,0)))/INDEX('Cohort Summary'!$E$5:$E$14,MATCH($A979,'Cohort Summary'!$A$5:$A$14,0))</f>
        <v>1.10416666666666</v>
      </c>
      <c r="J979" s="42" t="n">
        <f aca="false">(E979-INDEX('Cohort Summary'!$F$5:$F$14,MATCH($A979,'Cohort Summary'!$A$5:$A$14,0)))/INDEX('Cohort Summary'!$G$5:$G$14,MATCH($A979,'Cohort Summary'!$A$5:$A$14,0))</f>
        <v>1.2962962962963</v>
      </c>
      <c r="K979" s="42" t="n">
        <f aca="false">(F979-INDEX('Cohort Summary'!$H$5:$H$14,MATCH($A979,'Cohort Summary'!$A$5:$A$14,0)))/INDEX('Cohort Summary'!$I$5:$I$14,MATCH($A979,'Cohort Summary'!$A$5:$A$14,0))</f>
        <v>1.25978647686833</v>
      </c>
      <c r="L979" s="42" t="n">
        <f aca="false">(G979-INDEX('Cohort Summary'!$J$5:$J$14,MATCH($A979,'Cohort Summary'!$A$5:$A$14,0)))/INDEX('Cohort Summary'!$K$5:$K$14,MATCH($A979,'Cohort Summary'!$A$5:$A$14,0))</f>
        <v>0.285714285714285</v>
      </c>
      <c r="M979" s="42" t="n">
        <f aca="false">MAX(I979:K979)</f>
        <v>1.2962962962963</v>
      </c>
      <c r="N979" s="27" t="s">
        <v>197</v>
      </c>
      <c r="O979" s="27"/>
      <c r="P979" s="27" t="str">
        <f aca="false">A979&amp;"|"&amp;N979</f>
        <v>NURSE-05|normal</v>
      </c>
    </row>
    <row r="980" customFormat="false" ht="15" hidden="false" customHeight="true" outlineLevel="0" collapsed="false">
      <c r="A980" s="27" t="s">
        <v>86</v>
      </c>
      <c r="B980" s="41" t="n">
        <v>46303.3534722222</v>
      </c>
      <c r="C980" s="27" t="s">
        <v>200</v>
      </c>
      <c r="D980" s="27" t="n">
        <v>67.9</v>
      </c>
      <c r="E980" s="27" t="n">
        <v>22.9</v>
      </c>
      <c r="F980" s="27" t="n">
        <v>54.8</v>
      </c>
      <c r="G980" s="27" t="n">
        <v>35.4</v>
      </c>
      <c r="H980" s="27" t="s">
        <v>199</v>
      </c>
      <c r="I980" s="42" t="n">
        <f aca="false">(D980-INDEX('Cohort Summary'!$D$5:$D$14,MATCH($A980,'Cohort Summary'!$A$5:$A$14,0)))/INDEX('Cohort Summary'!$E$5:$E$14,MATCH($A980,'Cohort Summary'!$A$5:$A$14,0))</f>
        <v>0.861111111111113</v>
      </c>
      <c r="J980" s="42" t="n">
        <f aca="false">(E980-INDEX('Cohort Summary'!$F$5:$F$14,MATCH($A980,'Cohort Summary'!$A$5:$A$14,0)))/INDEX('Cohort Summary'!$G$5:$G$14,MATCH($A980,'Cohort Summary'!$A$5:$A$14,0))</f>
        <v>0.925925925925926</v>
      </c>
      <c r="K980" s="42" t="n">
        <f aca="false">(F980-INDEX('Cohort Summary'!$H$5:$H$14,MATCH($A980,'Cohort Summary'!$A$5:$A$14,0)))/INDEX('Cohort Summary'!$I$5:$I$14,MATCH($A980,'Cohort Summary'!$A$5:$A$14,0))</f>
        <v>1.65124555160142</v>
      </c>
      <c r="L980" s="42" t="n">
        <f aca="false">(G980-INDEX('Cohort Summary'!$J$5:$J$14,MATCH($A980,'Cohort Summary'!$A$5:$A$14,0)))/INDEX('Cohort Summary'!$K$5:$K$14,MATCH($A980,'Cohort Summary'!$A$5:$A$14,0))</f>
        <v>1.55555555555555</v>
      </c>
      <c r="M980" s="42" t="n">
        <f aca="false">MAX(I980:K980)</f>
        <v>1.65124555160142</v>
      </c>
      <c r="N980" s="27" t="s">
        <v>197</v>
      </c>
      <c r="O980" s="27"/>
      <c r="P980" s="27" t="str">
        <f aca="false">A980&amp;"|"&amp;N980</f>
        <v>NURSE-05|normal</v>
      </c>
    </row>
    <row r="981" customFormat="false" ht="15" hidden="false" customHeight="true" outlineLevel="0" collapsed="false">
      <c r="A981" s="27" t="s">
        <v>86</v>
      </c>
      <c r="B981" s="41" t="n">
        <v>46303.3538194444</v>
      </c>
      <c r="C981" s="27" t="s">
        <v>200</v>
      </c>
      <c r="D981" s="27" t="n">
        <v>67.8</v>
      </c>
      <c r="E981" s="27" t="n">
        <v>22.5</v>
      </c>
      <c r="F981" s="27" t="n">
        <v>53.7</v>
      </c>
      <c r="G981" s="27" t="n">
        <v>33.9</v>
      </c>
      <c r="H981" s="27" t="s">
        <v>199</v>
      </c>
      <c r="I981" s="42" t="n">
        <f aca="false">(D981-INDEX('Cohort Summary'!$D$5:$D$14,MATCH($A981,'Cohort Summary'!$A$5:$A$14,0)))/INDEX('Cohort Summary'!$E$5:$E$14,MATCH($A981,'Cohort Summary'!$A$5:$A$14,0))</f>
        <v>0.826388888888887</v>
      </c>
      <c r="J981" s="42" t="n">
        <f aca="false">(E981-INDEX('Cohort Summary'!$F$5:$F$14,MATCH($A981,'Cohort Summary'!$A$5:$A$14,0)))/INDEX('Cohort Summary'!$G$5:$G$14,MATCH($A981,'Cohort Summary'!$A$5:$A$14,0))</f>
        <v>0.740740740740741</v>
      </c>
      <c r="K981" s="42" t="n">
        <f aca="false">(F981-INDEX('Cohort Summary'!$H$5:$H$14,MATCH($A981,'Cohort Summary'!$A$5:$A$14,0)))/INDEX('Cohort Summary'!$I$5:$I$14,MATCH($A981,'Cohort Summary'!$A$5:$A$14,0))</f>
        <v>1.25978647686833</v>
      </c>
      <c r="L981" s="42" t="n">
        <f aca="false">(G981-INDEX('Cohort Summary'!$J$5:$J$14,MATCH($A981,'Cohort Summary'!$A$5:$A$14,0)))/INDEX('Cohort Summary'!$K$5:$K$14,MATCH($A981,'Cohort Summary'!$A$5:$A$14,0))</f>
        <v>-0.82539682539683</v>
      </c>
      <c r="M981" s="42" t="n">
        <f aca="false">MAX(I981:K981)</f>
        <v>1.25978647686833</v>
      </c>
      <c r="N981" s="27" t="s">
        <v>197</v>
      </c>
      <c r="O981" s="27"/>
      <c r="P981" s="27" t="str">
        <f aca="false">A981&amp;"|"&amp;N981</f>
        <v>NURSE-05|normal</v>
      </c>
    </row>
    <row r="982" customFormat="false" ht="15" hidden="false" customHeight="true" outlineLevel="0" collapsed="false">
      <c r="A982" s="27" t="s">
        <v>86</v>
      </c>
      <c r="B982" s="41" t="n">
        <v>46303.3541666667</v>
      </c>
      <c r="C982" s="27" t="s">
        <v>200</v>
      </c>
      <c r="D982" s="27" t="n">
        <v>63.6</v>
      </c>
      <c r="E982" s="27" t="n">
        <v>17.4</v>
      </c>
      <c r="F982" s="27" t="n">
        <v>46.2</v>
      </c>
      <c r="G982" s="27" t="n">
        <v>35.3</v>
      </c>
      <c r="H982" s="27" t="s">
        <v>198</v>
      </c>
      <c r="I982" s="42" t="n">
        <f aca="false">(D982-INDEX('Cohort Summary'!$D$5:$D$14,MATCH($A982,'Cohort Summary'!$A$5:$A$14,0)))/INDEX('Cohort Summary'!$E$5:$E$14,MATCH($A982,'Cohort Summary'!$A$5:$A$14,0))</f>
        <v>-0.631944444444445</v>
      </c>
      <c r="J982" s="42" t="n">
        <f aca="false">(E982-INDEX('Cohort Summary'!$F$5:$F$14,MATCH($A982,'Cohort Summary'!$A$5:$A$14,0)))/INDEX('Cohort Summary'!$G$5:$G$14,MATCH($A982,'Cohort Summary'!$A$5:$A$14,0))</f>
        <v>-1.62037037037037</v>
      </c>
      <c r="K982" s="42" t="n">
        <f aca="false">(F982-INDEX('Cohort Summary'!$H$5:$H$14,MATCH($A982,'Cohort Summary'!$A$5:$A$14,0)))/INDEX('Cohort Summary'!$I$5:$I$14,MATCH($A982,'Cohort Summary'!$A$5:$A$14,0))</f>
        <v>-1.40925266903914</v>
      </c>
      <c r="L982" s="42" t="n">
        <f aca="false">(G982-INDEX('Cohort Summary'!$J$5:$J$14,MATCH($A982,'Cohort Summary'!$A$5:$A$14,0)))/INDEX('Cohort Summary'!$K$5:$K$14,MATCH($A982,'Cohort Summary'!$A$5:$A$14,0))</f>
        <v>1.39682539682539</v>
      </c>
      <c r="M982" s="42" t="n">
        <f aca="false">MAX(I982:K982)</f>
        <v>-0.631944444444445</v>
      </c>
      <c r="N982" s="27" t="s">
        <v>197</v>
      </c>
      <c r="O982" s="27"/>
      <c r="P982" s="27" t="str">
        <f aca="false">A982&amp;"|"&amp;N982</f>
        <v>NURSE-05|normal</v>
      </c>
    </row>
    <row r="983" customFormat="false" ht="15" hidden="false" customHeight="true" outlineLevel="0" collapsed="false">
      <c r="A983" s="27" t="s">
        <v>86</v>
      </c>
      <c r="B983" s="41" t="n">
        <v>46303.3545138889</v>
      </c>
      <c r="C983" s="27" t="s">
        <v>200</v>
      </c>
      <c r="D983" s="27" t="n">
        <v>62.3</v>
      </c>
      <c r="E983" s="27" t="n">
        <v>17.5</v>
      </c>
      <c r="F983" s="27" t="n">
        <v>45.7</v>
      </c>
      <c r="G983" s="27" t="n">
        <v>35</v>
      </c>
      <c r="H983" s="27" t="s">
        <v>198</v>
      </c>
      <c r="I983" s="42" t="n">
        <f aca="false">(D983-INDEX('Cohort Summary'!$D$5:$D$14,MATCH($A983,'Cohort Summary'!$A$5:$A$14,0)))/INDEX('Cohort Summary'!$E$5:$E$14,MATCH($A983,'Cohort Summary'!$A$5:$A$14,0))</f>
        <v>-1.08333333333334</v>
      </c>
      <c r="J983" s="42" t="n">
        <f aca="false">(E983-INDEX('Cohort Summary'!$F$5:$F$14,MATCH($A983,'Cohort Summary'!$A$5:$A$14,0)))/INDEX('Cohort Summary'!$G$5:$G$14,MATCH($A983,'Cohort Summary'!$A$5:$A$14,0))</f>
        <v>-1.57407407407407</v>
      </c>
      <c r="K983" s="42" t="n">
        <f aca="false">(F983-INDEX('Cohort Summary'!$H$5:$H$14,MATCH($A983,'Cohort Summary'!$A$5:$A$14,0)))/INDEX('Cohort Summary'!$I$5:$I$14,MATCH($A983,'Cohort Summary'!$A$5:$A$14,0))</f>
        <v>-1.58718861209964</v>
      </c>
      <c r="L983" s="42" t="n">
        <f aca="false">(G983-INDEX('Cohort Summary'!$J$5:$J$14,MATCH($A983,'Cohort Summary'!$A$5:$A$14,0)))/INDEX('Cohort Summary'!$K$5:$K$14,MATCH($A983,'Cohort Summary'!$A$5:$A$14,0))</f>
        <v>0.920634920634918</v>
      </c>
      <c r="M983" s="42" t="n">
        <f aca="false">MAX(I983:K983)</f>
        <v>-1.08333333333334</v>
      </c>
      <c r="N983" s="27" t="s">
        <v>197</v>
      </c>
      <c r="O983" s="27"/>
      <c r="P983" s="27" t="str">
        <f aca="false">A983&amp;"|"&amp;N983</f>
        <v>NURSE-05|normal</v>
      </c>
    </row>
    <row r="984" customFormat="false" ht="15" hidden="false" customHeight="true" outlineLevel="0" collapsed="false">
      <c r="A984" s="27" t="s">
        <v>86</v>
      </c>
      <c r="B984" s="41" t="n">
        <v>46303.3548611111</v>
      </c>
      <c r="C984" s="27" t="s">
        <v>200</v>
      </c>
      <c r="D984" s="27" t="n">
        <v>68.6</v>
      </c>
      <c r="E984" s="27" t="n">
        <v>21.5</v>
      </c>
      <c r="F984" s="27" t="n">
        <v>48.1</v>
      </c>
      <c r="G984" s="27" t="n">
        <v>34.5</v>
      </c>
      <c r="H984" s="27" t="s">
        <v>199</v>
      </c>
      <c r="I984" s="42" t="n">
        <f aca="false">(D984-INDEX('Cohort Summary'!$D$5:$D$14,MATCH($A984,'Cohort Summary'!$A$5:$A$14,0)))/INDEX('Cohort Summary'!$E$5:$E$14,MATCH($A984,'Cohort Summary'!$A$5:$A$14,0))</f>
        <v>1.10416666666666</v>
      </c>
      <c r="J984" s="42" t="n">
        <f aca="false">(E984-INDEX('Cohort Summary'!$F$5:$F$14,MATCH($A984,'Cohort Summary'!$A$5:$A$14,0)))/INDEX('Cohort Summary'!$G$5:$G$14,MATCH($A984,'Cohort Summary'!$A$5:$A$14,0))</f>
        <v>0.277777777777778</v>
      </c>
      <c r="K984" s="42" t="n">
        <f aca="false">(F984-INDEX('Cohort Summary'!$H$5:$H$14,MATCH($A984,'Cohort Summary'!$A$5:$A$14,0)))/INDEX('Cohort Summary'!$I$5:$I$14,MATCH($A984,'Cohort Summary'!$A$5:$A$14,0))</f>
        <v>-0.733096085409251</v>
      </c>
      <c r="L984" s="42" t="n">
        <f aca="false">(G984-INDEX('Cohort Summary'!$J$5:$J$14,MATCH($A984,'Cohort Summary'!$A$5:$A$14,0)))/INDEX('Cohort Summary'!$K$5:$K$14,MATCH($A984,'Cohort Summary'!$A$5:$A$14,0))</f>
        <v>0.126984126984124</v>
      </c>
      <c r="M984" s="42" t="n">
        <f aca="false">MAX(I984:K984)</f>
        <v>1.10416666666666</v>
      </c>
      <c r="N984" s="27" t="s">
        <v>197</v>
      </c>
      <c r="O984" s="27"/>
      <c r="P984" s="27" t="str">
        <f aca="false">A984&amp;"|"&amp;N984</f>
        <v>NURSE-05|normal</v>
      </c>
    </row>
    <row r="985" customFormat="false" ht="15" hidden="false" customHeight="true" outlineLevel="0" collapsed="false">
      <c r="A985" s="27" t="s">
        <v>86</v>
      </c>
      <c r="B985" s="41" t="n">
        <v>46303.3552083333</v>
      </c>
      <c r="C985" s="27" t="s">
        <v>200</v>
      </c>
      <c r="D985" s="27" t="n">
        <v>63.1</v>
      </c>
      <c r="E985" s="27" t="n">
        <v>21.4</v>
      </c>
      <c r="F985" s="27" t="n">
        <v>53.9</v>
      </c>
      <c r="G985" s="27" t="n">
        <v>34.4</v>
      </c>
      <c r="H985" s="27" t="s">
        <v>199</v>
      </c>
      <c r="I985" s="42" t="n">
        <f aca="false">(D985-INDEX('Cohort Summary'!$D$5:$D$14,MATCH($A985,'Cohort Summary'!$A$5:$A$14,0)))/INDEX('Cohort Summary'!$E$5:$E$14,MATCH($A985,'Cohort Summary'!$A$5:$A$14,0))</f>
        <v>-0.805555555555556</v>
      </c>
      <c r="J985" s="42" t="n">
        <f aca="false">(E985-INDEX('Cohort Summary'!$F$5:$F$14,MATCH($A985,'Cohort Summary'!$A$5:$A$14,0)))/INDEX('Cohort Summary'!$G$5:$G$14,MATCH($A985,'Cohort Summary'!$A$5:$A$14,0))</f>
        <v>0.231481481481481</v>
      </c>
      <c r="K985" s="42" t="n">
        <f aca="false">(F985-INDEX('Cohort Summary'!$H$5:$H$14,MATCH($A985,'Cohort Summary'!$A$5:$A$14,0)))/INDEX('Cohort Summary'!$I$5:$I$14,MATCH($A985,'Cohort Summary'!$A$5:$A$14,0))</f>
        <v>1.33096085409253</v>
      </c>
      <c r="L985" s="42" t="n">
        <f aca="false">(G985-INDEX('Cohort Summary'!$J$5:$J$14,MATCH($A985,'Cohort Summary'!$A$5:$A$14,0)))/INDEX('Cohort Summary'!$K$5:$K$14,MATCH($A985,'Cohort Summary'!$A$5:$A$14,0))</f>
        <v>-0.0317460317460367</v>
      </c>
      <c r="M985" s="42" t="n">
        <f aca="false">MAX(I985:K985)</f>
        <v>1.33096085409253</v>
      </c>
      <c r="N985" s="27" t="s">
        <v>197</v>
      </c>
      <c r="O985" s="27"/>
      <c r="P985" s="27" t="str">
        <f aca="false">A985&amp;"|"&amp;N985</f>
        <v>NURSE-05|normal</v>
      </c>
    </row>
    <row r="986" customFormat="false" ht="15" hidden="false" customHeight="true" outlineLevel="0" collapsed="false">
      <c r="A986" s="27" t="s">
        <v>86</v>
      </c>
      <c r="B986" s="41" t="n">
        <v>46303.3555555556</v>
      </c>
      <c r="C986" s="27" t="s">
        <v>200</v>
      </c>
      <c r="D986" s="27" t="n">
        <v>67.3</v>
      </c>
      <c r="E986" s="27" t="n">
        <v>19.2</v>
      </c>
      <c r="F986" s="27" t="n">
        <v>53.7</v>
      </c>
      <c r="G986" s="27" t="n">
        <v>34.6</v>
      </c>
      <c r="H986" s="27" t="s">
        <v>198</v>
      </c>
      <c r="I986" s="42" t="n">
        <f aca="false">(D986-INDEX('Cohort Summary'!$D$5:$D$14,MATCH($A986,'Cohort Summary'!$A$5:$A$14,0)))/INDEX('Cohort Summary'!$E$5:$E$14,MATCH($A986,'Cohort Summary'!$A$5:$A$14,0))</f>
        <v>0.652777777777776</v>
      </c>
      <c r="J986" s="42" t="n">
        <f aca="false">(E986-INDEX('Cohort Summary'!$F$5:$F$14,MATCH($A986,'Cohort Summary'!$A$5:$A$14,0)))/INDEX('Cohort Summary'!$G$5:$G$14,MATCH($A986,'Cohort Summary'!$A$5:$A$14,0))</f>
        <v>-0.787037037037037</v>
      </c>
      <c r="K986" s="42" t="n">
        <f aca="false">(F986-INDEX('Cohort Summary'!$H$5:$H$14,MATCH($A986,'Cohort Summary'!$A$5:$A$14,0)))/INDEX('Cohort Summary'!$I$5:$I$14,MATCH($A986,'Cohort Summary'!$A$5:$A$14,0))</f>
        <v>1.25978647686833</v>
      </c>
      <c r="L986" s="42" t="n">
        <f aca="false">(G986-INDEX('Cohort Summary'!$J$5:$J$14,MATCH($A986,'Cohort Summary'!$A$5:$A$14,0)))/INDEX('Cohort Summary'!$K$5:$K$14,MATCH($A986,'Cohort Summary'!$A$5:$A$14,0))</f>
        <v>0.285714285714285</v>
      </c>
      <c r="M986" s="42" t="n">
        <f aca="false">MAX(I986:K986)</f>
        <v>1.25978647686833</v>
      </c>
      <c r="N986" s="27" t="s">
        <v>197</v>
      </c>
      <c r="O986" s="27"/>
      <c r="P986" s="27" t="str">
        <f aca="false">A986&amp;"|"&amp;N986</f>
        <v>NURSE-05|normal</v>
      </c>
    </row>
    <row r="987" customFormat="false" ht="15" hidden="false" customHeight="true" outlineLevel="0" collapsed="false">
      <c r="A987" s="27" t="s">
        <v>86</v>
      </c>
      <c r="B987" s="41" t="n">
        <v>46303.3559027778</v>
      </c>
      <c r="C987" s="27" t="s">
        <v>200</v>
      </c>
      <c r="D987" s="27" t="n">
        <v>66</v>
      </c>
      <c r="E987" s="27" t="n">
        <v>24</v>
      </c>
      <c r="F987" s="27" t="n">
        <v>54</v>
      </c>
      <c r="G987" s="27" t="n">
        <v>33.6</v>
      </c>
      <c r="H987" s="27" t="s">
        <v>199</v>
      </c>
      <c r="I987" s="42" t="n">
        <f aca="false">(D987-INDEX('Cohort Summary'!$D$5:$D$14,MATCH($A987,'Cohort Summary'!$A$5:$A$14,0)))/INDEX('Cohort Summary'!$E$5:$E$14,MATCH($A987,'Cohort Summary'!$A$5:$A$14,0))</f>
        <v>0.201388888888888</v>
      </c>
      <c r="J987" s="42" t="n">
        <f aca="false">(E987-INDEX('Cohort Summary'!$F$5:$F$14,MATCH($A987,'Cohort Summary'!$A$5:$A$14,0)))/INDEX('Cohort Summary'!$G$5:$G$14,MATCH($A987,'Cohort Summary'!$A$5:$A$14,0))</f>
        <v>1.43518518518519</v>
      </c>
      <c r="K987" s="42" t="n">
        <f aca="false">(F987-INDEX('Cohort Summary'!$H$5:$H$14,MATCH($A987,'Cohort Summary'!$A$5:$A$14,0)))/INDEX('Cohort Summary'!$I$5:$I$14,MATCH($A987,'Cohort Summary'!$A$5:$A$14,0))</f>
        <v>1.36654804270463</v>
      </c>
      <c r="L987" s="42" t="n">
        <f aca="false">(G987-INDEX('Cohort Summary'!$J$5:$J$14,MATCH($A987,'Cohort Summary'!$A$5:$A$14,0)))/INDEX('Cohort Summary'!$K$5:$K$14,MATCH($A987,'Cohort Summary'!$A$5:$A$14,0))</f>
        <v>-1.3015873015873</v>
      </c>
      <c r="M987" s="42" t="n">
        <f aca="false">MAX(I987:K987)</f>
        <v>1.43518518518519</v>
      </c>
      <c r="N987" s="27" t="s">
        <v>197</v>
      </c>
      <c r="O987" s="27"/>
      <c r="P987" s="27" t="str">
        <f aca="false">A987&amp;"|"&amp;N987</f>
        <v>NURSE-05|normal</v>
      </c>
    </row>
    <row r="988" customFormat="false" ht="15" hidden="false" customHeight="true" outlineLevel="0" collapsed="false">
      <c r="A988" s="27" t="s">
        <v>86</v>
      </c>
      <c r="B988" s="41" t="n">
        <v>46303.35625</v>
      </c>
      <c r="C988" s="27" t="s">
        <v>200</v>
      </c>
      <c r="D988" s="27" t="n">
        <v>64.2</v>
      </c>
      <c r="E988" s="27" t="n">
        <v>23.2</v>
      </c>
      <c r="F988" s="27" t="n">
        <v>51.7</v>
      </c>
      <c r="G988" s="27" t="n">
        <v>33.9</v>
      </c>
      <c r="H988" s="27" t="s">
        <v>199</v>
      </c>
      <c r="I988" s="42" t="n">
        <f aca="false">(D988-INDEX('Cohort Summary'!$D$5:$D$14,MATCH($A988,'Cohort Summary'!$A$5:$A$14,0)))/INDEX('Cohort Summary'!$E$5:$E$14,MATCH($A988,'Cohort Summary'!$A$5:$A$14,0))</f>
        <v>-0.423611111111111</v>
      </c>
      <c r="J988" s="42" t="n">
        <f aca="false">(E988-INDEX('Cohort Summary'!$F$5:$F$14,MATCH($A988,'Cohort Summary'!$A$5:$A$14,0)))/INDEX('Cohort Summary'!$G$5:$G$14,MATCH($A988,'Cohort Summary'!$A$5:$A$14,0))</f>
        <v>1.06481481481482</v>
      </c>
      <c r="K988" s="42" t="n">
        <f aca="false">(F988-INDEX('Cohort Summary'!$H$5:$H$14,MATCH($A988,'Cohort Summary'!$A$5:$A$14,0)))/INDEX('Cohort Summary'!$I$5:$I$14,MATCH($A988,'Cohort Summary'!$A$5:$A$14,0))</f>
        <v>0.548042704626337</v>
      </c>
      <c r="L988" s="42" t="n">
        <f aca="false">(G988-INDEX('Cohort Summary'!$J$5:$J$14,MATCH($A988,'Cohort Summary'!$A$5:$A$14,0)))/INDEX('Cohort Summary'!$K$5:$K$14,MATCH($A988,'Cohort Summary'!$A$5:$A$14,0))</f>
        <v>-0.82539682539683</v>
      </c>
      <c r="M988" s="42" t="n">
        <f aca="false">MAX(I988:K988)</f>
        <v>1.06481481481482</v>
      </c>
      <c r="N988" s="27" t="s">
        <v>197</v>
      </c>
      <c r="O988" s="27"/>
      <c r="P988" s="27" t="str">
        <f aca="false">A988&amp;"|"&amp;N988</f>
        <v>NURSE-05|normal</v>
      </c>
    </row>
    <row r="989" customFormat="false" ht="15" hidden="false" customHeight="true" outlineLevel="0" collapsed="false">
      <c r="A989" s="27" t="s">
        <v>86</v>
      </c>
      <c r="B989" s="41" t="n">
        <v>46303.3565972222</v>
      </c>
      <c r="C989" s="27" t="s">
        <v>200</v>
      </c>
      <c r="D989" s="27" t="n">
        <v>65.4</v>
      </c>
      <c r="E989" s="27" t="n">
        <v>23.5</v>
      </c>
      <c r="F989" s="27" t="n">
        <v>51.6</v>
      </c>
      <c r="G989" s="27" t="n">
        <v>35.2</v>
      </c>
      <c r="H989" s="27" t="s">
        <v>196</v>
      </c>
      <c r="I989" s="42" t="n">
        <f aca="false">(D989-INDEX('Cohort Summary'!$D$5:$D$14,MATCH($A989,'Cohort Summary'!$A$5:$A$14,0)))/INDEX('Cohort Summary'!$E$5:$E$14,MATCH($A989,'Cohort Summary'!$A$5:$A$14,0))</f>
        <v>-0.00694444444444306</v>
      </c>
      <c r="J989" s="42" t="n">
        <f aca="false">(E989-INDEX('Cohort Summary'!$F$5:$F$14,MATCH($A989,'Cohort Summary'!$A$5:$A$14,0)))/INDEX('Cohort Summary'!$G$5:$G$14,MATCH($A989,'Cohort Summary'!$A$5:$A$14,0))</f>
        <v>1.2037037037037</v>
      </c>
      <c r="K989" s="42" t="n">
        <f aca="false">(F989-INDEX('Cohort Summary'!$H$5:$H$14,MATCH($A989,'Cohort Summary'!$A$5:$A$14,0)))/INDEX('Cohort Summary'!$I$5:$I$14,MATCH($A989,'Cohort Summary'!$A$5:$A$14,0))</f>
        <v>0.512455516014237</v>
      </c>
      <c r="L989" s="42" t="n">
        <f aca="false">(G989-INDEX('Cohort Summary'!$J$5:$J$14,MATCH($A989,'Cohort Summary'!$A$5:$A$14,0)))/INDEX('Cohort Summary'!$K$5:$K$14,MATCH($A989,'Cohort Summary'!$A$5:$A$14,0))</f>
        <v>1.23809523809524</v>
      </c>
      <c r="M989" s="42" t="n">
        <f aca="false">MAX(I989:K989)</f>
        <v>1.2037037037037</v>
      </c>
      <c r="N989" s="27" t="s">
        <v>197</v>
      </c>
      <c r="O989" s="27"/>
      <c r="P989" s="27" t="str">
        <f aca="false">A989&amp;"|"&amp;N989</f>
        <v>NURSE-05|normal</v>
      </c>
    </row>
    <row r="990" customFormat="false" ht="15" hidden="false" customHeight="true" outlineLevel="0" collapsed="false">
      <c r="A990" s="27" t="s">
        <v>86</v>
      </c>
      <c r="B990" s="41" t="n">
        <v>46303.3569444444</v>
      </c>
      <c r="C990" s="27" t="s">
        <v>200</v>
      </c>
      <c r="D990" s="27" t="n">
        <v>69.1</v>
      </c>
      <c r="E990" s="27" t="n">
        <v>17.2</v>
      </c>
      <c r="F990" s="27" t="n">
        <v>50.9</v>
      </c>
      <c r="G990" s="27" t="n">
        <v>34.4</v>
      </c>
      <c r="H990" s="27" t="s">
        <v>196</v>
      </c>
      <c r="I990" s="42" t="n">
        <f aca="false">(D990-INDEX('Cohort Summary'!$D$5:$D$14,MATCH($A990,'Cohort Summary'!$A$5:$A$14,0)))/INDEX('Cohort Summary'!$E$5:$E$14,MATCH($A990,'Cohort Summary'!$A$5:$A$14,0))</f>
        <v>1.27777777777778</v>
      </c>
      <c r="J990" s="42" t="n">
        <f aca="false">(E990-INDEX('Cohort Summary'!$F$5:$F$14,MATCH($A990,'Cohort Summary'!$A$5:$A$14,0)))/INDEX('Cohort Summary'!$G$5:$G$14,MATCH($A990,'Cohort Summary'!$A$5:$A$14,0))</f>
        <v>-1.71296296296296</v>
      </c>
      <c r="K990" s="42" t="n">
        <f aca="false">(F990-INDEX('Cohort Summary'!$H$5:$H$14,MATCH($A990,'Cohort Summary'!$A$5:$A$14,0)))/INDEX('Cohort Summary'!$I$5:$I$14,MATCH($A990,'Cohort Summary'!$A$5:$A$14,0))</f>
        <v>0.263345195729538</v>
      </c>
      <c r="L990" s="42" t="n">
        <f aca="false">(G990-INDEX('Cohort Summary'!$J$5:$J$14,MATCH($A990,'Cohort Summary'!$A$5:$A$14,0)))/INDEX('Cohort Summary'!$K$5:$K$14,MATCH($A990,'Cohort Summary'!$A$5:$A$14,0))</f>
        <v>-0.0317460317460367</v>
      </c>
      <c r="M990" s="42" t="n">
        <f aca="false">MAX(I990:K990)</f>
        <v>1.27777777777778</v>
      </c>
      <c r="N990" s="27" t="s">
        <v>197</v>
      </c>
      <c r="O990" s="27"/>
      <c r="P990" s="27" t="str">
        <f aca="false">A990&amp;"|"&amp;N990</f>
        <v>NURSE-05|normal</v>
      </c>
    </row>
    <row r="991" customFormat="false" ht="15" hidden="false" customHeight="true" outlineLevel="0" collapsed="false">
      <c r="A991" s="27" t="s">
        <v>86</v>
      </c>
      <c r="B991" s="41" t="n">
        <v>46303.3572916667</v>
      </c>
      <c r="C991" s="27" t="s">
        <v>200</v>
      </c>
      <c r="D991" s="27" t="n">
        <v>61.3</v>
      </c>
      <c r="E991" s="27" t="n">
        <v>24</v>
      </c>
      <c r="F991" s="27" t="n">
        <v>46.8</v>
      </c>
      <c r="G991" s="27" t="n">
        <v>34.1</v>
      </c>
      <c r="H991" s="27" t="s">
        <v>196</v>
      </c>
      <c r="I991" s="42" t="n">
        <f aca="false">(D991-INDEX('Cohort Summary'!$D$5:$D$14,MATCH($A991,'Cohort Summary'!$A$5:$A$14,0)))/INDEX('Cohort Summary'!$E$5:$E$14,MATCH($A991,'Cohort Summary'!$A$5:$A$14,0))</f>
        <v>-1.43055555555556</v>
      </c>
      <c r="J991" s="42" t="n">
        <f aca="false">(E991-INDEX('Cohort Summary'!$F$5:$F$14,MATCH($A991,'Cohort Summary'!$A$5:$A$14,0)))/INDEX('Cohort Summary'!$G$5:$G$14,MATCH($A991,'Cohort Summary'!$A$5:$A$14,0))</f>
        <v>1.43518518518519</v>
      </c>
      <c r="K991" s="42" t="n">
        <f aca="false">(F991-INDEX('Cohort Summary'!$H$5:$H$14,MATCH($A991,'Cohort Summary'!$A$5:$A$14,0)))/INDEX('Cohort Summary'!$I$5:$I$14,MATCH($A991,'Cohort Summary'!$A$5:$A$14,0))</f>
        <v>-1.19572953736655</v>
      </c>
      <c r="L991" s="42" t="n">
        <f aca="false">(G991-INDEX('Cohort Summary'!$J$5:$J$14,MATCH($A991,'Cohort Summary'!$A$5:$A$14,0)))/INDEX('Cohort Summary'!$K$5:$K$14,MATCH($A991,'Cohort Summary'!$A$5:$A$14,0))</f>
        <v>-0.507936507936508</v>
      </c>
      <c r="M991" s="42" t="n">
        <f aca="false">MAX(I991:K991)</f>
        <v>1.43518518518519</v>
      </c>
      <c r="N991" s="27" t="s">
        <v>197</v>
      </c>
      <c r="O991" s="27"/>
      <c r="P991" s="27" t="str">
        <f aca="false">A991&amp;"|"&amp;N991</f>
        <v>NURSE-05|normal</v>
      </c>
    </row>
    <row r="992" customFormat="false" ht="15" hidden="false" customHeight="true" outlineLevel="0" collapsed="false">
      <c r="A992" s="27" t="s">
        <v>86</v>
      </c>
      <c r="B992" s="41" t="n">
        <v>46303.3576388889</v>
      </c>
      <c r="C992" s="27" t="s">
        <v>200</v>
      </c>
      <c r="D992" s="27" t="n">
        <v>67.9</v>
      </c>
      <c r="E992" s="27" t="n">
        <v>19.5</v>
      </c>
      <c r="F992" s="27" t="n">
        <v>47.2</v>
      </c>
      <c r="G992" s="27" t="n">
        <v>35</v>
      </c>
      <c r="H992" s="27" t="s">
        <v>198</v>
      </c>
      <c r="I992" s="42" t="n">
        <f aca="false">(D992-INDEX('Cohort Summary'!$D$5:$D$14,MATCH($A992,'Cohort Summary'!$A$5:$A$14,0)))/INDEX('Cohort Summary'!$E$5:$E$14,MATCH($A992,'Cohort Summary'!$A$5:$A$14,0))</f>
        <v>0.861111111111113</v>
      </c>
      <c r="J992" s="42" t="n">
        <f aca="false">(E992-INDEX('Cohort Summary'!$F$5:$F$14,MATCH($A992,'Cohort Summary'!$A$5:$A$14,0)))/INDEX('Cohort Summary'!$G$5:$G$14,MATCH($A992,'Cohort Summary'!$A$5:$A$14,0))</f>
        <v>-0.648148148148148</v>
      </c>
      <c r="K992" s="42" t="n">
        <f aca="false">(F992-INDEX('Cohort Summary'!$H$5:$H$14,MATCH($A992,'Cohort Summary'!$A$5:$A$14,0)))/INDEX('Cohort Summary'!$I$5:$I$14,MATCH($A992,'Cohort Summary'!$A$5:$A$14,0))</f>
        <v>-1.05338078291815</v>
      </c>
      <c r="L992" s="42" t="n">
        <f aca="false">(G992-INDEX('Cohort Summary'!$J$5:$J$14,MATCH($A992,'Cohort Summary'!$A$5:$A$14,0)))/INDEX('Cohort Summary'!$K$5:$K$14,MATCH($A992,'Cohort Summary'!$A$5:$A$14,0))</f>
        <v>0.920634920634918</v>
      </c>
      <c r="M992" s="42" t="n">
        <f aca="false">MAX(I992:K992)</f>
        <v>0.861111111111113</v>
      </c>
      <c r="N992" s="27" t="s">
        <v>197</v>
      </c>
      <c r="O992" s="27"/>
      <c r="P992" s="27" t="str">
        <f aca="false">A992&amp;"|"&amp;N992</f>
        <v>NURSE-05|normal</v>
      </c>
    </row>
    <row r="993" customFormat="false" ht="15" hidden="false" customHeight="true" outlineLevel="0" collapsed="false">
      <c r="A993" s="27" t="s">
        <v>86</v>
      </c>
      <c r="B993" s="41" t="n">
        <v>46303.3579861111</v>
      </c>
      <c r="C993" s="27" t="s">
        <v>200</v>
      </c>
      <c r="D993" s="27" t="n">
        <v>62.2</v>
      </c>
      <c r="E993" s="27" t="n">
        <v>23.2</v>
      </c>
      <c r="F993" s="27" t="n">
        <v>54.9</v>
      </c>
      <c r="G993" s="27" t="n">
        <v>34.4</v>
      </c>
      <c r="H993" s="27" t="s">
        <v>199</v>
      </c>
      <c r="I993" s="42" t="n">
        <f aca="false">(D993-INDEX('Cohort Summary'!$D$5:$D$14,MATCH($A993,'Cohort Summary'!$A$5:$A$14,0)))/INDEX('Cohort Summary'!$E$5:$E$14,MATCH($A993,'Cohort Summary'!$A$5:$A$14,0))</f>
        <v>-1.11805555555556</v>
      </c>
      <c r="J993" s="42" t="n">
        <f aca="false">(E993-INDEX('Cohort Summary'!$F$5:$F$14,MATCH($A993,'Cohort Summary'!$A$5:$A$14,0)))/INDEX('Cohort Summary'!$G$5:$G$14,MATCH($A993,'Cohort Summary'!$A$5:$A$14,0))</f>
        <v>1.06481481481482</v>
      </c>
      <c r="K993" s="42" t="n">
        <f aca="false">(F993-INDEX('Cohort Summary'!$H$5:$H$14,MATCH($A993,'Cohort Summary'!$A$5:$A$14,0)))/INDEX('Cohort Summary'!$I$5:$I$14,MATCH($A993,'Cohort Summary'!$A$5:$A$14,0))</f>
        <v>1.68683274021352</v>
      </c>
      <c r="L993" s="42" t="n">
        <f aca="false">(G993-INDEX('Cohort Summary'!$J$5:$J$14,MATCH($A993,'Cohort Summary'!$A$5:$A$14,0)))/INDEX('Cohort Summary'!$K$5:$K$14,MATCH($A993,'Cohort Summary'!$A$5:$A$14,0))</f>
        <v>-0.0317460317460367</v>
      </c>
      <c r="M993" s="42" t="n">
        <f aca="false">MAX(I993:K993)</f>
        <v>1.68683274021352</v>
      </c>
      <c r="N993" s="27" t="s">
        <v>197</v>
      </c>
      <c r="O993" s="27"/>
      <c r="P993" s="27" t="str">
        <f aca="false">A993&amp;"|"&amp;N993</f>
        <v>NURSE-05|normal</v>
      </c>
    </row>
    <row r="994" customFormat="false" ht="15" hidden="false" customHeight="true" outlineLevel="0" collapsed="false">
      <c r="A994" s="27" t="s">
        <v>86</v>
      </c>
      <c r="B994" s="41" t="n">
        <v>46303.3583333333</v>
      </c>
      <c r="C994" s="27" t="s">
        <v>200</v>
      </c>
      <c r="D994" s="27" t="n">
        <v>66.4</v>
      </c>
      <c r="E994" s="27" t="n">
        <v>17.5</v>
      </c>
      <c r="F994" s="27" t="n">
        <v>49.2</v>
      </c>
      <c r="G994" s="27" t="n">
        <v>34.2</v>
      </c>
      <c r="H994" s="27" t="s">
        <v>199</v>
      </c>
      <c r="I994" s="42" t="n">
        <f aca="false">(D994-INDEX('Cohort Summary'!$D$5:$D$14,MATCH($A994,'Cohort Summary'!$A$5:$A$14,0)))/INDEX('Cohort Summary'!$E$5:$E$14,MATCH($A994,'Cohort Summary'!$A$5:$A$14,0))</f>
        <v>0.340277777777779</v>
      </c>
      <c r="J994" s="42" t="n">
        <f aca="false">(E994-INDEX('Cohort Summary'!$F$5:$F$14,MATCH($A994,'Cohort Summary'!$A$5:$A$14,0)))/INDEX('Cohort Summary'!$G$5:$G$14,MATCH($A994,'Cohort Summary'!$A$5:$A$14,0))</f>
        <v>-1.57407407407407</v>
      </c>
      <c r="K994" s="42" t="n">
        <f aca="false">(F994-INDEX('Cohort Summary'!$H$5:$H$14,MATCH($A994,'Cohort Summary'!$A$5:$A$14,0)))/INDEX('Cohort Summary'!$I$5:$I$14,MATCH($A994,'Cohort Summary'!$A$5:$A$14,0))</f>
        <v>-0.341637010676154</v>
      </c>
      <c r="L994" s="42" t="n">
        <f aca="false">(G994-INDEX('Cohort Summary'!$J$5:$J$14,MATCH($A994,'Cohort Summary'!$A$5:$A$14,0)))/INDEX('Cohort Summary'!$K$5:$K$14,MATCH($A994,'Cohort Summary'!$A$5:$A$14,0))</f>
        <v>-0.349206349206347</v>
      </c>
      <c r="M994" s="42" t="n">
        <f aca="false">MAX(I994:K994)</f>
        <v>0.340277777777779</v>
      </c>
      <c r="N994" s="27" t="s">
        <v>197</v>
      </c>
      <c r="O994" s="27"/>
      <c r="P994" s="27" t="str">
        <f aca="false">A994&amp;"|"&amp;N994</f>
        <v>NURSE-05|normal</v>
      </c>
    </row>
    <row r="995" customFormat="false" ht="15" hidden="false" customHeight="true" outlineLevel="0" collapsed="false">
      <c r="A995" s="27" t="s">
        <v>86</v>
      </c>
      <c r="B995" s="41" t="n">
        <v>46303.3586805556</v>
      </c>
      <c r="C995" s="27" t="s">
        <v>200</v>
      </c>
      <c r="D995" s="27" t="n">
        <v>65.2</v>
      </c>
      <c r="E995" s="27" t="n">
        <v>23.8</v>
      </c>
      <c r="F995" s="27" t="n">
        <v>49.9</v>
      </c>
      <c r="G995" s="27" t="n">
        <v>35</v>
      </c>
      <c r="H995" s="27" t="s">
        <v>198</v>
      </c>
      <c r="I995" s="42" t="n">
        <f aca="false">(D995-INDEX('Cohort Summary'!$D$5:$D$14,MATCH($A995,'Cohort Summary'!$A$5:$A$14,0)))/INDEX('Cohort Summary'!$E$5:$E$14,MATCH($A995,'Cohort Summary'!$A$5:$A$14,0))</f>
        <v>-0.0763888888888885</v>
      </c>
      <c r="J995" s="42" t="n">
        <f aca="false">(E995-INDEX('Cohort Summary'!$F$5:$F$14,MATCH($A995,'Cohort Summary'!$A$5:$A$14,0)))/INDEX('Cohort Summary'!$G$5:$G$14,MATCH($A995,'Cohort Summary'!$A$5:$A$14,0))</f>
        <v>1.34259259259259</v>
      </c>
      <c r="K995" s="42" t="n">
        <f aca="false">(F995-INDEX('Cohort Summary'!$H$5:$H$14,MATCH($A995,'Cohort Summary'!$A$5:$A$14,0)))/INDEX('Cohort Summary'!$I$5:$I$14,MATCH($A995,'Cohort Summary'!$A$5:$A$14,0))</f>
        <v>-0.0925266903914584</v>
      </c>
      <c r="L995" s="42" t="n">
        <f aca="false">(G995-INDEX('Cohort Summary'!$J$5:$J$14,MATCH($A995,'Cohort Summary'!$A$5:$A$14,0)))/INDEX('Cohort Summary'!$K$5:$K$14,MATCH($A995,'Cohort Summary'!$A$5:$A$14,0))</f>
        <v>0.920634920634918</v>
      </c>
      <c r="M995" s="42" t="n">
        <f aca="false">MAX(I995:K995)</f>
        <v>1.34259259259259</v>
      </c>
      <c r="N995" s="27" t="s">
        <v>197</v>
      </c>
      <c r="O995" s="27"/>
      <c r="P995" s="27" t="str">
        <f aca="false">A995&amp;"|"&amp;N995</f>
        <v>NURSE-05|normal</v>
      </c>
    </row>
    <row r="996" customFormat="false" ht="15" hidden="false" customHeight="true" outlineLevel="0" collapsed="false">
      <c r="A996" s="27" t="s">
        <v>86</v>
      </c>
      <c r="B996" s="41" t="n">
        <v>46303.3590277778</v>
      </c>
      <c r="C996" s="27" t="s">
        <v>200</v>
      </c>
      <c r="D996" s="27" t="n">
        <v>66.7</v>
      </c>
      <c r="E996" s="27" t="n">
        <v>18</v>
      </c>
      <c r="F996" s="27" t="n">
        <v>54.6</v>
      </c>
      <c r="G996" s="27" t="n">
        <v>35.5</v>
      </c>
      <c r="H996" s="27" t="s">
        <v>196</v>
      </c>
      <c r="I996" s="42" t="n">
        <f aca="false">(D996-INDEX('Cohort Summary'!$D$5:$D$14,MATCH($A996,'Cohort Summary'!$A$5:$A$14,0)))/INDEX('Cohort Summary'!$E$5:$E$14,MATCH($A996,'Cohort Summary'!$A$5:$A$14,0))</f>
        <v>0.444444444444445</v>
      </c>
      <c r="J996" s="42" t="n">
        <f aca="false">(E996-INDEX('Cohort Summary'!$F$5:$F$14,MATCH($A996,'Cohort Summary'!$A$5:$A$14,0)))/INDEX('Cohort Summary'!$G$5:$G$14,MATCH($A996,'Cohort Summary'!$A$5:$A$14,0))</f>
        <v>-1.34259259259259</v>
      </c>
      <c r="K996" s="42" t="n">
        <f aca="false">(F996-INDEX('Cohort Summary'!$H$5:$H$14,MATCH($A996,'Cohort Summary'!$A$5:$A$14,0)))/INDEX('Cohort Summary'!$I$5:$I$14,MATCH($A996,'Cohort Summary'!$A$5:$A$14,0))</f>
        <v>1.58007117437723</v>
      </c>
      <c r="L996" s="42" t="n">
        <f aca="false">(G996-INDEX('Cohort Summary'!$J$5:$J$14,MATCH($A996,'Cohort Summary'!$A$5:$A$14,0)))/INDEX('Cohort Summary'!$K$5:$K$14,MATCH($A996,'Cohort Summary'!$A$5:$A$14,0))</f>
        <v>1.71428571428571</v>
      </c>
      <c r="M996" s="42" t="n">
        <f aca="false">MAX(I996:K996)</f>
        <v>1.58007117437723</v>
      </c>
      <c r="N996" s="27" t="s">
        <v>197</v>
      </c>
      <c r="O996" s="27"/>
      <c r="P996" s="27" t="str">
        <f aca="false">A996&amp;"|"&amp;N996</f>
        <v>NURSE-05|normal</v>
      </c>
    </row>
    <row r="997" customFormat="false" ht="15" hidden="false" customHeight="true" outlineLevel="0" collapsed="false">
      <c r="A997" s="27" t="s">
        <v>86</v>
      </c>
      <c r="B997" s="41" t="n">
        <v>46303.359375</v>
      </c>
      <c r="C997" s="27" t="s">
        <v>200</v>
      </c>
      <c r="D997" s="27" t="n">
        <v>69</v>
      </c>
      <c r="E997" s="27" t="n">
        <v>18.1</v>
      </c>
      <c r="F997" s="27" t="n">
        <v>45.2</v>
      </c>
      <c r="G997" s="27" t="n">
        <v>34.8</v>
      </c>
      <c r="H997" s="27" t="s">
        <v>198</v>
      </c>
      <c r="I997" s="42" t="n">
        <f aca="false">(D997-INDEX('Cohort Summary'!$D$5:$D$14,MATCH($A997,'Cohort Summary'!$A$5:$A$14,0)))/INDEX('Cohort Summary'!$E$5:$E$14,MATCH($A997,'Cohort Summary'!$A$5:$A$14,0))</f>
        <v>1.24305555555556</v>
      </c>
      <c r="J997" s="42" t="n">
        <f aca="false">(E997-INDEX('Cohort Summary'!$F$5:$F$14,MATCH($A997,'Cohort Summary'!$A$5:$A$14,0)))/INDEX('Cohort Summary'!$G$5:$G$14,MATCH($A997,'Cohort Summary'!$A$5:$A$14,0))</f>
        <v>-1.2962962962963</v>
      </c>
      <c r="K997" s="42" t="n">
        <f aca="false">(F997-INDEX('Cohort Summary'!$H$5:$H$14,MATCH($A997,'Cohort Summary'!$A$5:$A$14,0)))/INDEX('Cohort Summary'!$I$5:$I$14,MATCH($A997,'Cohort Summary'!$A$5:$A$14,0))</f>
        <v>-1.76512455516014</v>
      </c>
      <c r="L997" s="42" t="n">
        <f aca="false">(G997-INDEX('Cohort Summary'!$J$5:$J$14,MATCH($A997,'Cohort Summary'!$A$5:$A$14,0)))/INDEX('Cohort Summary'!$K$5:$K$14,MATCH($A997,'Cohort Summary'!$A$5:$A$14,0))</f>
        <v>0.603174603174596</v>
      </c>
      <c r="M997" s="42" t="n">
        <f aca="false">MAX(I997:K997)</f>
        <v>1.24305555555556</v>
      </c>
      <c r="N997" s="27" t="s">
        <v>197</v>
      </c>
      <c r="O997" s="27"/>
      <c r="P997" s="27" t="str">
        <f aca="false">A997&amp;"|"&amp;N997</f>
        <v>NURSE-05|normal</v>
      </c>
    </row>
    <row r="998" customFormat="false" ht="15" hidden="false" customHeight="true" outlineLevel="0" collapsed="false">
      <c r="A998" s="27" t="s">
        <v>86</v>
      </c>
      <c r="B998" s="41" t="n">
        <v>46303.3597222222</v>
      </c>
      <c r="C998" s="27" t="s">
        <v>200</v>
      </c>
      <c r="D998" s="27" t="n">
        <v>68.7</v>
      </c>
      <c r="E998" s="27" t="n">
        <v>19.5</v>
      </c>
      <c r="F998" s="27" t="n">
        <v>54.2</v>
      </c>
      <c r="G998" s="27" t="n">
        <v>33.9</v>
      </c>
      <c r="H998" s="27" t="s">
        <v>198</v>
      </c>
      <c r="I998" s="42" t="n">
        <f aca="false">(D998-INDEX('Cohort Summary'!$D$5:$D$14,MATCH($A998,'Cohort Summary'!$A$5:$A$14,0)))/INDEX('Cohort Summary'!$E$5:$E$14,MATCH($A998,'Cohort Summary'!$A$5:$A$14,0))</f>
        <v>1.13888888888889</v>
      </c>
      <c r="J998" s="42" t="n">
        <f aca="false">(E998-INDEX('Cohort Summary'!$F$5:$F$14,MATCH($A998,'Cohort Summary'!$A$5:$A$14,0)))/INDEX('Cohort Summary'!$G$5:$G$14,MATCH($A998,'Cohort Summary'!$A$5:$A$14,0))</f>
        <v>-0.648148148148148</v>
      </c>
      <c r="K998" s="42" t="n">
        <f aca="false">(F998-INDEX('Cohort Summary'!$H$5:$H$14,MATCH($A998,'Cohort Summary'!$A$5:$A$14,0)))/INDEX('Cohort Summary'!$I$5:$I$14,MATCH($A998,'Cohort Summary'!$A$5:$A$14,0))</f>
        <v>1.43772241992883</v>
      </c>
      <c r="L998" s="42" t="n">
        <f aca="false">(G998-INDEX('Cohort Summary'!$J$5:$J$14,MATCH($A998,'Cohort Summary'!$A$5:$A$14,0)))/INDEX('Cohort Summary'!$K$5:$K$14,MATCH($A998,'Cohort Summary'!$A$5:$A$14,0))</f>
        <v>-0.82539682539683</v>
      </c>
      <c r="M998" s="42" t="n">
        <f aca="false">MAX(I998:K998)</f>
        <v>1.43772241992883</v>
      </c>
      <c r="N998" s="27" t="s">
        <v>197</v>
      </c>
      <c r="O998" s="27"/>
      <c r="P998" s="27" t="str">
        <f aca="false">A998&amp;"|"&amp;N998</f>
        <v>NURSE-05|normal</v>
      </c>
    </row>
    <row r="999" customFormat="false" ht="15" hidden="false" customHeight="true" outlineLevel="0" collapsed="false">
      <c r="A999" s="27" t="s">
        <v>86</v>
      </c>
      <c r="B999" s="41" t="n">
        <v>46303.3600694445</v>
      </c>
      <c r="C999" s="27" t="s">
        <v>200</v>
      </c>
      <c r="D999" s="27" t="n">
        <v>69</v>
      </c>
      <c r="E999" s="27" t="n">
        <v>23</v>
      </c>
      <c r="F999" s="27" t="n">
        <v>52.1</v>
      </c>
      <c r="G999" s="27" t="n">
        <v>34.9</v>
      </c>
      <c r="H999" s="27" t="s">
        <v>198</v>
      </c>
      <c r="I999" s="42" t="n">
        <f aca="false">(D999-INDEX('Cohort Summary'!$D$5:$D$14,MATCH($A999,'Cohort Summary'!$A$5:$A$14,0)))/INDEX('Cohort Summary'!$E$5:$E$14,MATCH($A999,'Cohort Summary'!$A$5:$A$14,0))</f>
        <v>1.24305555555556</v>
      </c>
      <c r="J999" s="42" t="n">
        <f aca="false">(E999-INDEX('Cohort Summary'!$F$5:$F$14,MATCH($A999,'Cohort Summary'!$A$5:$A$14,0)))/INDEX('Cohort Summary'!$G$5:$G$14,MATCH($A999,'Cohort Summary'!$A$5:$A$14,0))</f>
        <v>0.972222222222223</v>
      </c>
      <c r="K999" s="42" t="n">
        <f aca="false">(F999-INDEX('Cohort Summary'!$H$5:$H$14,MATCH($A999,'Cohort Summary'!$A$5:$A$14,0)))/INDEX('Cohort Summary'!$I$5:$I$14,MATCH($A999,'Cohort Summary'!$A$5:$A$14,0))</f>
        <v>0.690391459074735</v>
      </c>
      <c r="L999" s="42" t="n">
        <f aca="false">(G999-INDEX('Cohort Summary'!$J$5:$J$14,MATCH($A999,'Cohort Summary'!$A$5:$A$14,0)))/INDEX('Cohort Summary'!$K$5:$K$14,MATCH($A999,'Cohort Summary'!$A$5:$A$14,0))</f>
        <v>0.761904761904757</v>
      </c>
      <c r="M999" s="42" t="n">
        <f aca="false">MAX(I999:K999)</f>
        <v>1.24305555555556</v>
      </c>
      <c r="N999" s="27" t="s">
        <v>197</v>
      </c>
      <c r="O999" s="27"/>
      <c r="P999" s="27" t="str">
        <f aca="false">A999&amp;"|"&amp;N999</f>
        <v>NURSE-05|normal</v>
      </c>
    </row>
    <row r="1000" customFormat="false" ht="15" hidden="false" customHeight="true" outlineLevel="0" collapsed="false">
      <c r="A1000" s="27" t="s">
        <v>86</v>
      </c>
      <c r="B1000" s="41" t="n">
        <v>46303.3604166667</v>
      </c>
      <c r="C1000" s="27" t="s">
        <v>200</v>
      </c>
      <c r="D1000" s="27" t="n">
        <v>65.1</v>
      </c>
      <c r="E1000" s="27" t="n">
        <v>23.5</v>
      </c>
      <c r="F1000" s="27" t="n">
        <v>50.6</v>
      </c>
      <c r="G1000" s="27" t="n">
        <v>33.8</v>
      </c>
      <c r="H1000" s="27" t="s">
        <v>196</v>
      </c>
      <c r="I1000" s="42" t="n">
        <f aca="false">(D1000-INDEX('Cohort Summary'!$D$5:$D$14,MATCH($A1000,'Cohort Summary'!$A$5:$A$14,0)))/INDEX('Cohort Summary'!$E$5:$E$14,MATCH($A1000,'Cohort Summary'!$A$5:$A$14,0))</f>
        <v>-0.111111111111114</v>
      </c>
      <c r="J1000" s="42" t="n">
        <f aca="false">(E1000-INDEX('Cohort Summary'!$F$5:$F$14,MATCH($A1000,'Cohort Summary'!$A$5:$A$14,0)))/INDEX('Cohort Summary'!$G$5:$G$14,MATCH($A1000,'Cohort Summary'!$A$5:$A$14,0))</f>
        <v>1.2037037037037</v>
      </c>
      <c r="K1000" s="42" t="n">
        <f aca="false">(F1000-INDEX('Cohort Summary'!$H$5:$H$14,MATCH($A1000,'Cohort Summary'!$A$5:$A$14,0)))/INDEX('Cohort Summary'!$I$5:$I$14,MATCH($A1000,'Cohort Summary'!$A$5:$A$14,0))</f>
        <v>0.15658362989324</v>
      </c>
      <c r="L1000" s="42" t="n">
        <f aca="false">(G1000-INDEX('Cohort Summary'!$J$5:$J$14,MATCH($A1000,'Cohort Summary'!$A$5:$A$14,0)))/INDEX('Cohort Summary'!$K$5:$K$14,MATCH($A1000,'Cohort Summary'!$A$5:$A$14,0))</f>
        <v>-0.984126984126991</v>
      </c>
      <c r="M1000" s="42" t="n">
        <f aca="false">MAX(I1000:K1000)</f>
        <v>1.2037037037037</v>
      </c>
      <c r="N1000" s="27" t="s">
        <v>197</v>
      </c>
      <c r="O1000" s="27"/>
      <c r="P1000" s="27" t="str">
        <f aca="false">A1000&amp;"|"&amp;N1000</f>
        <v>NURSE-05|normal</v>
      </c>
    </row>
    <row r="1001" customFormat="false" ht="15" hidden="false" customHeight="true" outlineLevel="0" collapsed="false">
      <c r="A1001" s="27" t="s">
        <v>86</v>
      </c>
      <c r="B1001" s="41" t="n">
        <v>46303.3607638889</v>
      </c>
      <c r="C1001" s="27" t="s">
        <v>200</v>
      </c>
      <c r="D1001" s="27" t="n">
        <v>64.4</v>
      </c>
      <c r="E1001" s="27" t="n">
        <v>17.2</v>
      </c>
      <c r="F1001" s="27" t="n">
        <v>46.4</v>
      </c>
      <c r="G1001" s="27" t="n">
        <v>34.9</v>
      </c>
      <c r="H1001" s="27" t="s">
        <v>196</v>
      </c>
      <c r="I1001" s="42" t="n">
        <f aca="false">(D1001-INDEX('Cohort Summary'!$D$5:$D$14,MATCH($A1001,'Cohort Summary'!$A$5:$A$14,0)))/INDEX('Cohort Summary'!$E$5:$E$14,MATCH($A1001,'Cohort Summary'!$A$5:$A$14,0))</f>
        <v>-0.354166666666665</v>
      </c>
      <c r="J1001" s="42" t="n">
        <f aca="false">(E1001-INDEX('Cohort Summary'!$F$5:$F$14,MATCH($A1001,'Cohort Summary'!$A$5:$A$14,0)))/INDEX('Cohort Summary'!$G$5:$G$14,MATCH($A1001,'Cohort Summary'!$A$5:$A$14,0))</f>
        <v>-1.71296296296296</v>
      </c>
      <c r="K1001" s="42" t="n">
        <f aca="false">(F1001-INDEX('Cohort Summary'!$H$5:$H$14,MATCH($A1001,'Cohort Summary'!$A$5:$A$14,0)))/INDEX('Cohort Summary'!$I$5:$I$14,MATCH($A1001,'Cohort Summary'!$A$5:$A$14,0))</f>
        <v>-1.33807829181495</v>
      </c>
      <c r="L1001" s="42" t="n">
        <f aca="false">(G1001-INDEX('Cohort Summary'!$J$5:$J$14,MATCH($A1001,'Cohort Summary'!$A$5:$A$14,0)))/INDEX('Cohort Summary'!$K$5:$K$14,MATCH($A1001,'Cohort Summary'!$A$5:$A$14,0))</f>
        <v>0.761904761904757</v>
      </c>
      <c r="M1001" s="42" t="n">
        <f aca="false">MAX(I1001:K1001)</f>
        <v>-0.354166666666665</v>
      </c>
      <c r="N1001" s="27" t="s">
        <v>197</v>
      </c>
      <c r="O1001" s="27"/>
      <c r="P1001" s="27" t="str">
        <f aca="false">A1001&amp;"|"&amp;N1001</f>
        <v>NURSE-05|normal</v>
      </c>
    </row>
    <row r="1002" customFormat="false" ht="15" hidden="false" customHeight="true" outlineLevel="0" collapsed="false">
      <c r="A1002" s="27" t="s">
        <v>91</v>
      </c>
      <c r="B1002" s="41" t="n">
        <v>46303.2916666667</v>
      </c>
      <c r="C1002" s="27" t="s">
        <v>195</v>
      </c>
      <c r="D1002" s="27" t="n">
        <v>39.8</v>
      </c>
      <c r="E1002" s="27" t="n">
        <v>20.9</v>
      </c>
      <c r="F1002" s="27" t="n">
        <v>29.1</v>
      </c>
      <c r="G1002" s="27" t="n">
        <v>32.8</v>
      </c>
      <c r="H1002" s="27" t="s">
        <v>198</v>
      </c>
      <c r="I1002" s="42" t="n">
        <f aca="false">(D1002-INDEX('Cohort Summary'!$D$5:$D$14,MATCH($A1002,'Cohort Summary'!$A$5:$A$14,0)))/INDEX('Cohort Summary'!$E$5:$E$14,MATCH($A1002,'Cohort Summary'!$A$5:$A$14,0))</f>
        <v>-0.828767123287672</v>
      </c>
      <c r="J1002" s="42" t="n">
        <f aca="false">(E1002-INDEX('Cohort Summary'!$F$5:$F$14,MATCH($A1002,'Cohort Summary'!$A$5:$A$14,0)))/INDEX('Cohort Summary'!$G$5:$G$14,MATCH($A1002,'Cohort Summary'!$A$5:$A$14,0))</f>
        <v>-0.398058252427185</v>
      </c>
      <c r="K1002" s="42" t="n">
        <f aca="false">(F1002-INDEX('Cohort Summary'!$H$5:$H$14,MATCH($A1002,'Cohort Summary'!$A$5:$A$14,0)))/INDEX('Cohort Summary'!$I$5:$I$14,MATCH($A1002,'Cohort Summary'!$A$5:$A$14,0))</f>
        <v>-0.0243055555555557</v>
      </c>
      <c r="L1002" s="42" t="n">
        <f aca="false">(G1002-INDEX('Cohort Summary'!$J$5:$J$14,MATCH($A1002,'Cohort Summary'!$A$5:$A$14,0)))/INDEX('Cohort Summary'!$K$5:$K$14,MATCH($A1002,'Cohort Summary'!$A$5:$A$14,0))</f>
        <v>-0.166666666666673</v>
      </c>
      <c r="M1002" s="42" t="n">
        <f aca="false">MAX(I1002:K1002)</f>
        <v>-0.0243055555555557</v>
      </c>
      <c r="N1002" s="27" t="s">
        <v>197</v>
      </c>
      <c r="O1002" s="27"/>
      <c r="P1002" s="27" t="str">
        <f aca="false">A1002&amp;"|"&amp;N1002</f>
        <v>NURSE-06|normal</v>
      </c>
    </row>
    <row r="1003" customFormat="false" ht="15" hidden="false" customHeight="true" outlineLevel="0" collapsed="false">
      <c r="A1003" s="27" t="s">
        <v>91</v>
      </c>
      <c r="B1003" s="41" t="n">
        <v>46303.2920138889</v>
      </c>
      <c r="C1003" s="27" t="s">
        <v>195</v>
      </c>
      <c r="D1003" s="27" t="n">
        <v>44.7</v>
      </c>
      <c r="E1003" s="27" t="n">
        <v>23.6</v>
      </c>
      <c r="F1003" s="27" t="n">
        <v>33</v>
      </c>
      <c r="G1003" s="27" t="n">
        <v>32.2</v>
      </c>
      <c r="H1003" s="27" t="s">
        <v>198</v>
      </c>
      <c r="I1003" s="42" t="n">
        <f aca="false">(D1003-INDEX('Cohort Summary'!$D$5:$D$14,MATCH($A1003,'Cohort Summary'!$A$5:$A$14,0)))/INDEX('Cohort Summary'!$E$5:$E$14,MATCH($A1003,'Cohort Summary'!$A$5:$A$14,0))</f>
        <v>0.849315068493152</v>
      </c>
      <c r="J1003" s="42" t="n">
        <f aca="false">(E1003-INDEX('Cohort Summary'!$F$5:$F$14,MATCH($A1003,'Cohort Summary'!$A$5:$A$14,0)))/INDEX('Cohort Summary'!$G$5:$G$14,MATCH($A1003,'Cohort Summary'!$A$5:$A$14,0))</f>
        <v>0.912621359223302</v>
      </c>
      <c r="K1003" s="42" t="n">
        <f aca="false">(F1003-INDEX('Cohort Summary'!$H$5:$H$14,MATCH($A1003,'Cohort Summary'!$A$5:$A$14,0)))/INDEX('Cohort Summary'!$I$5:$I$14,MATCH($A1003,'Cohort Summary'!$A$5:$A$14,0))</f>
        <v>1.32986111111111</v>
      </c>
      <c r="L1003" s="42" t="n">
        <f aca="false">(G1003-INDEX('Cohort Summary'!$J$5:$J$14,MATCH($A1003,'Cohort Summary'!$A$5:$A$14,0)))/INDEX('Cohort Summary'!$K$5:$K$14,MATCH($A1003,'Cohort Summary'!$A$5:$A$14,0))</f>
        <v>-1.27777777777777</v>
      </c>
      <c r="M1003" s="42" t="n">
        <f aca="false">MAX(I1003:K1003)</f>
        <v>1.32986111111111</v>
      </c>
      <c r="N1003" s="27" t="s">
        <v>197</v>
      </c>
      <c r="O1003" s="27"/>
      <c r="P1003" s="27" t="str">
        <f aca="false">A1003&amp;"|"&amp;N1003</f>
        <v>NURSE-06|normal</v>
      </c>
    </row>
    <row r="1004" customFormat="false" ht="15" hidden="false" customHeight="true" outlineLevel="0" collapsed="false">
      <c r="A1004" s="27" t="s">
        <v>91</v>
      </c>
      <c r="B1004" s="41" t="n">
        <v>46303.2923611111</v>
      </c>
      <c r="C1004" s="27" t="s">
        <v>195</v>
      </c>
      <c r="D1004" s="27" t="n">
        <v>42.4</v>
      </c>
      <c r="E1004" s="27" t="n">
        <v>19.6</v>
      </c>
      <c r="F1004" s="27" t="n">
        <v>32.2</v>
      </c>
      <c r="G1004" s="27" t="n">
        <v>32.4</v>
      </c>
      <c r="H1004" s="27" t="s">
        <v>198</v>
      </c>
      <c r="I1004" s="42" t="n">
        <f aca="false">(D1004-INDEX('Cohort Summary'!$D$5:$D$14,MATCH($A1004,'Cohort Summary'!$A$5:$A$14,0)))/INDEX('Cohort Summary'!$E$5:$E$14,MATCH($A1004,'Cohort Summary'!$A$5:$A$14,0))</f>
        <v>0.0616438356164383</v>
      </c>
      <c r="J1004" s="42" t="n">
        <f aca="false">(E1004-INDEX('Cohort Summary'!$F$5:$F$14,MATCH($A1004,'Cohort Summary'!$A$5:$A$14,0)))/INDEX('Cohort Summary'!$G$5:$G$14,MATCH($A1004,'Cohort Summary'!$A$5:$A$14,0))</f>
        <v>-1.02912621359223</v>
      </c>
      <c r="K1004" s="42" t="n">
        <f aca="false">(F1004-INDEX('Cohort Summary'!$H$5:$H$14,MATCH($A1004,'Cohort Summary'!$A$5:$A$14,0)))/INDEX('Cohort Summary'!$I$5:$I$14,MATCH($A1004,'Cohort Summary'!$A$5:$A$14,0))</f>
        <v>1.05208333333333</v>
      </c>
      <c r="L1004" s="42" t="n">
        <f aca="false">(G1004-INDEX('Cohort Summary'!$J$5:$J$14,MATCH($A1004,'Cohort Summary'!$A$5:$A$14,0)))/INDEX('Cohort Summary'!$K$5:$K$14,MATCH($A1004,'Cohort Summary'!$A$5:$A$14,0))</f>
        <v>-0.907407407407411</v>
      </c>
      <c r="M1004" s="42" t="n">
        <f aca="false">MAX(I1004:K1004)</f>
        <v>1.05208333333333</v>
      </c>
      <c r="N1004" s="27" t="s">
        <v>197</v>
      </c>
      <c r="O1004" s="27"/>
      <c r="P1004" s="27" t="str">
        <f aca="false">A1004&amp;"|"&amp;N1004</f>
        <v>NURSE-06|normal</v>
      </c>
    </row>
    <row r="1005" customFormat="false" ht="15" hidden="false" customHeight="true" outlineLevel="0" collapsed="false">
      <c r="A1005" s="27" t="s">
        <v>91</v>
      </c>
      <c r="B1005" s="41" t="n">
        <v>46303.2927083333</v>
      </c>
      <c r="C1005" s="27" t="s">
        <v>195</v>
      </c>
      <c r="D1005" s="27" t="n">
        <v>46</v>
      </c>
      <c r="E1005" s="27" t="n">
        <v>19.4</v>
      </c>
      <c r="F1005" s="27" t="n">
        <v>29.9</v>
      </c>
      <c r="G1005" s="27" t="n">
        <v>33.3</v>
      </c>
      <c r="H1005" s="27" t="s">
        <v>196</v>
      </c>
      <c r="I1005" s="42" t="n">
        <f aca="false">(D1005-INDEX('Cohort Summary'!$D$5:$D$14,MATCH($A1005,'Cohort Summary'!$A$5:$A$14,0)))/INDEX('Cohort Summary'!$E$5:$E$14,MATCH($A1005,'Cohort Summary'!$A$5:$A$14,0))</f>
        <v>1.29452054794521</v>
      </c>
      <c r="J1005" s="42" t="n">
        <f aca="false">(E1005-INDEX('Cohort Summary'!$F$5:$F$14,MATCH($A1005,'Cohort Summary'!$A$5:$A$14,0)))/INDEX('Cohort Summary'!$G$5:$G$14,MATCH($A1005,'Cohort Summary'!$A$5:$A$14,0))</f>
        <v>-1.12621359223301</v>
      </c>
      <c r="K1005" s="42" t="n">
        <f aca="false">(F1005-INDEX('Cohort Summary'!$H$5:$H$14,MATCH($A1005,'Cohort Summary'!$A$5:$A$14,0)))/INDEX('Cohort Summary'!$I$5:$I$14,MATCH($A1005,'Cohort Summary'!$A$5:$A$14,0))</f>
        <v>0.253472222222221</v>
      </c>
      <c r="L1005" s="42" t="n">
        <f aca="false">(G1005-INDEX('Cohort Summary'!$J$5:$J$14,MATCH($A1005,'Cohort Summary'!$A$5:$A$14,0)))/INDEX('Cohort Summary'!$K$5:$K$14,MATCH($A1005,'Cohort Summary'!$A$5:$A$14,0))</f>
        <v>0.759259259259253</v>
      </c>
      <c r="M1005" s="42" t="n">
        <f aca="false">MAX(I1005:K1005)</f>
        <v>1.29452054794521</v>
      </c>
      <c r="N1005" s="27" t="s">
        <v>197</v>
      </c>
      <c r="O1005" s="27"/>
      <c r="P1005" s="27" t="str">
        <f aca="false">A1005&amp;"|"&amp;N1005</f>
        <v>NURSE-06|normal</v>
      </c>
    </row>
    <row r="1006" customFormat="false" ht="15" hidden="false" customHeight="true" outlineLevel="0" collapsed="false">
      <c r="A1006" s="27" t="s">
        <v>91</v>
      </c>
      <c r="B1006" s="41" t="n">
        <v>46303.2930555556</v>
      </c>
      <c r="C1006" s="27" t="s">
        <v>195</v>
      </c>
      <c r="D1006" s="27" t="n">
        <v>41.6</v>
      </c>
      <c r="E1006" s="27" t="n">
        <v>22.2</v>
      </c>
      <c r="F1006" s="27" t="n">
        <v>26.2</v>
      </c>
      <c r="G1006" s="27" t="n">
        <v>33.6</v>
      </c>
      <c r="H1006" s="27" t="s">
        <v>199</v>
      </c>
      <c r="I1006" s="42" t="n">
        <f aca="false">(D1006-INDEX('Cohort Summary'!$D$5:$D$14,MATCH($A1006,'Cohort Summary'!$A$5:$A$14,0)))/INDEX('Cohort Summary'!$E$5:$E$14,MATCH($A1006,'Cohort Summary'!$A$5:$A$14,0))</f>
        <v>-0.212328767123287</v>
      </c>
      <c r="J1006" s="42" t="n">
        <f aca="false">(E1006-INDEX('Cohort Summary'!$F$5:$F$14,MATCH($A1006,'Cohort Summary'!$A$5:$A$14,0)))/INDEX('Cohort Summary'!$G$5:$G$14,MATCH($A1006,'Cohort Summary'!$A$5:$A$14,0))</f>
        <v>0.233009708737864</v>
      </c>
      <c r="K1006" s="42" t="n">
        <f aca="false">(F1006-INDEX('Cohort Summary'!$H$5:$H$14,MATCH($A1006,'Cohort Summary'!$A$5:$A$14,0)))/INDEX('Cohort Summary'!$I$5:$I$14,MATCH($A1006,'Cohort Summary'!$A$5:$A$14,0))</f>
        <v>-1.03125</v>
      </c>
      <c r="L1006" s="42" t="n">
        <f aca="false">(G1006-INDEX('Cohort Summary'!$J$5:$J$14,MATCH($A1006,'Cohort Summary'!$A$5:$A$14,0)))/INDEX('Cohort Summary'!$K$5:$K$14,MATCH($A1006,'Cohort Summary'!$A$5:$A$14,0))</f>
        <v>1.31481481481482</v>
      </c>
      <c r="M1006" s="42" t="n">
        <f aca="false">MAX(I1006:K1006)</f>
        <v>0.233009708737864</v>
      </c>
      <c r="N1006" s="27" t="s">
        <v>197</v>
      </c>
      <c r="O1006" s="27"/>
      <c r="P1006" s="27" t="str">
        <f aca="false">A1006&amp;"|"&amp;N1006</f>
        <v>NURSE-06|normal</v>
      </c>
    </row>
    <row r="1007" customFormat="false" ht="15" hidden="false" customHeight="true" outlineLevel="0" collapsed="false">
      <c r="A1007" s="27" t="s">
        <v>91</v>
      </c>
      <c r="B1007" s="41" t="n">
        <v>46303.2934027778</v>
      </c>
      <c r="C1007" s="27" t="s">
        <v>195</v>
      </c>
      <c r="D1007" s="27" t="n">
        <v>46.3</v>
      </c>
      <c r="E1007" s="27" t="n">
        <v>18.4</v>
      </c>
      <c r="F1007" s="27" t="n">
        <v>33.4</v>
      </c>
      <c r="G1007" s="27" t="n">
        <v>32.8</v>
      </c>
      <c r="H1007" s="27" t="s">
        <v>198</v>
      </c>
      <c r="I1007" s="42" t="n">
        <f aca="false">(D1007-INDEX('Cohort Summary'!$D$5:$D$14,MATCH($A1007,'Cohort Summary'!$A$5:$A$14,0)))/INDEX('Cohort Summary'!$E$5:$E$14,MATCH($A1007,'Cohort Summary'!$A$5:$A$14,0))</f>
        <v>1.3972602739726</v>
      </c>
      <c r="J1007" s="42" t="n">
        <f aca="false">(E1007-INDEX('Cohort Summary'!$F$5:$F$14,MATCH($A1007,'Cohort Summary'!$A$5:$A$14,0)))/INDEX('Cohort Summary'!$G$5:$G$14,MATCH($A1007,'Cohort Summary'!$A$5:$A$14,0))</f>
        <v>-1.61165048543689</v>
      </c>
      <c r="K1007" s="42" t="n">
        <f aca="false">(F1007-INDEX('Cohort Summary'!$H$5:$H$14,MATCH($A1007,'Cohort Summary'!$A$5:$A$14,0)))/INDEX('Cohort Summary'!$I$5:$I$14,MATCH($A1007,'Cohort Summary'!$A$5:$A$14,0))</f>
        <v>1.46875</v>
      </c>
      <c r="L1007" s="42" t="n">
        <f aca="false">(G1007-INDEX('Cohort Summary'!$J$5:$J$14,MATCH($A1007,'Cohort Summary'!$A$5:$A$14,0)))/INDEX('Cohort Summary'!$K$5:$K$14,MATCH($A1007,'Cohort Summary'!$A$5:$A$14,0))</f>
        <v>-0.166666666666673</v>
      </c>
      <c r="M1007" s="42" t="n">
        <f aca="false">MAX(I1007:K1007)</f>
        <v>1.46875</v>
      </c>
      <c r="N1007" s="27" t="s">
        <v>197</v>
      </c>
      <c r="O1007" s="27"/>
      <c r="P1007" s="27" t="str">
        <f aca="false">A1007&amp;"|"&amp;N1007</f>
        <v>NURSE-06|normal</v>
      </c>
    </row>
    <row r="1008" customFormat="false" ht="15" hidden="false" customHeight="true" outlineLevel="0" collapsed="false">
      <c r="A1008" s="27" t="s">
        <v>91</v>
      </c>
      <c r="B1008" s="41" t="n">
        <v>46303.29375</v>
      </c>
      <c r="C1008" s="27" t="s">
        <v>195</v>
      </c>
      <c r="D1008" s="27" t="n">
        <v>45.7</v>
      </c>
      <c r="E1008" s="27" t="n">
        <v>24.3</v>
      </c>
      <c r="F1008" s="27" t="n">
        <v>29.6</v>
      </c>
      <c r="G1008" s="27" t="n">
        <v>32.7</v>
      </c>
      <c r="H1008" s="27" t="s">
        <v>199</v>
      </c>
      <c r="I1008" s="42" t="n">
        <f aca="false">(D1008-INDEX('Cohort Summary'!$D$5:$D$14,MATCH($A1008,'Cohort Summary'!$A$5:$A$14,0)))/INDEX('Cohort Summary'!$E$5:$E$14,MATCH($A1008,'Cohort Summary'!$A$5:$A$14,0))</f>
        <v>1.19178082191781</v>
      </c>
      <c r="J1008" s="42" t="n">
        <f aca="false">(E1008-INDEX('Cohort Summary'!$F$5:$F$14,MATCH($A1008,'Cohort Summary'!$A$5:$A$14,0)))/INDEX('Cohort Summary'!$G$5:$G$14,MATCH($A1008,'Cohort Summary'!$A$5:$A$14,0))</f>
        <v>1.25242718446602</v>
      </c>
      <c r="K1008" s="42" t="n">
        <f aca="false">(F1008-INDEX('Cohort Summary'!$H$5:$H$14,MATCH($A1008,'Cohort Summary'!$A$5:$A$14,0)))/INDEX('Cohort Summary'!$I$5:$I$14,MATCH($A1008,'Cohort Summary'!$A$5:$A$14,0))</f>
        <v>0.149305555555555</v>
      </c>
      <c r="L1008" s="42" t="n">
        <f aca="false">(G1008-INDEX('Cohort Summary'!$J$5:$J$14,MATCH($A1008,'Cohort Summary'!$A$5:$A$14,0)))/INDEX('Cohort Summary'!$K$5:$K$14,MATCH($A1008,'Cohort Summary'!$A$5:$A$14,0))</f>
        <v>-0.351851851851848</v>
      </c>
      <c r="M1008" s="42" t="n">
        <f aca="false">MAX(I1008:K1008)</f>
        <v>1.25242718446602</v>
      </c>
      <c r="N1008" s="27" t="s">
        <v>197</v>
      </c>
      <c r="O1008" s="27"/>
      <c r="P1008" s="27" t="str">
        <f aca="false">A1008&amp;"|"&amp;N1008</f>
        <v>NURSE-06|normal</v>
      </c>
    </row>
    <row r="1009" customFormat="false" ht="15" hidden="false" customHeight="true" outlineLevel="0" collapsed="false">
      <c r="A1009" s="27" t="s">
        <v>91</v>
      </c>
      <c r="B1009" s="41" t="n">
        <v>46303.2940972222</v>
      </c>
      <c r="C1009" s="27" t="s">
        <v>195</v>
      </c>
      <c r="D1009" s="27" t="n">
        <v>41.6</v>
      </c>
      <c r="E1009" s="27" t="n">
        <v>22.5</v>
      </c>
      <c r="F1009" s="27" t="n">
        <v>34</v>
      </c>
      <c r="G1009" s="27" t="n">
        <v>32.6</v>
      </c>
      <c r="H1009" s="27" t="s">
        <v>196</v>
      </c>
      <c r="I1009" s="42" t="n">
        <f aca="false">(D1009-INDEX('Cohort Summary'!$D$5:$D$14,MATCH($A1009,'Cohort Summary'!$A$5:$A$14,0)))/INDEX('Cohort Summary'!$E$5:$E$14,MATCH($A1009,'Cohort Summary'!$A$5:$A$14,0))</f>
        <v>-0.212328767123287</v>
      </c>
      <c r="J1009" s="42" t="n">
        <f aca="false">(E1009-INDEX('Cohort Summary'!$F$5:$F$14,MATCH($A1009,'Cohort Summary'!$A$5:$A$14,0)))/INDEX('Cohort Summary'!$G$5:$G$14,MATCH($A1009,'Cohort Summary'!$A$5:$A$14,0))</f>
        <v>0.37864077669903</v>
      </c>
      <c r="K1009" s="42" t="n">
        <f aca="false">(F1009-INDEX('Cohort Summary'!$H$5:$H$14,MATCH($A1009,'Cohort Summary'!$A$5:$A$14,0)))/INDEX('Cohort Summary'!$I$5:$I$14,MATCH($A1009,'Cohort Summary'!$A$5:$A$14,0))</f>
        <v>1.67708333333333</v>
      </c>
      <c r="L1009" s="42" t="n">
        <f aca="false">(G1009-INDEX('Cohort Summary'!$J$5:$J$14,MATCH($A1009,'Cohort Summary'!$A$5:$A$14,0)))/INDEX('Cohort Summary'!$K$5:$K$14,MATCH($A1009,'Cohort Summary'!$A$5:$A$14,0))</f>
        <v>-0.537037037037035</v>
      </c>
      <c r="M1009" s="42" t="n">
        <f aca="false">MAX(I1009:K1009)</f>
        <v>1.67708333333333</v>
      </c>
      <c r="N1009" s="27" t="s">
        <v>197</v>
      </c>
      <c r="O1009" s="27"/>
      <c r="P1009" s="27" t="str">
        <f aca="false">A1009&amp;"|"&amp;N1009</f>
        <v>NURSE-06|normal</v>
      </c>
    </row>
    <row r="1010" customFormat="false" ht="15" hidden="false" customHeight="true" outlineLevel="0" collapsed="false">
      <c r="A1010" s="27" t="s">
        <v>91</v>
      </c>
      <c r="B1010" s="41" t="n">
        <v>46303.2944444444</v>
      </c>
      <c r="C1010" s="27" t="s">
        <v>195</v>
      </c>
      <c r="D1010" s="27" t="n">
        <v>39.5</v>
      </c>
      <c r="E1010" s="27" t="n">
        <v>19.4</v>
      </c>
      <c r="F1010" s="27" t="n">
        <v>25.6</v>
      </c>
      <c r="G1010" s="27" t="n">
        <v>32.7</v>
      </c>
      <c r="H1010" s="27" t="s">
        <v>196</v>
      </c>
      <c r="I1010" s="42" t="n">
        <f aca="false">(D1010-INDEX('Cohort Summary'!$D$5:$D$14,MATCH($A1010,'Cohort Summary'!$A$5:$A$14,0)))/INDEX('Cohort Summary'!$E$5:$E$14,MATCH($A1010,'Cohort Summary'!$A$5:$A$14,0))</f>
        <v>-0.931506849315068</v>
      </c>
      <c r="J1010" s="42" t="n">
        <f aca="false">(E1010-INDEX('Cohort Summary'!$F$5:$F$14,MATCH($A1010,'Cohort Summary'!$A$5:$A$14,0)))/INDEX('Cohort Summary'!$G$5:$G$14,MATCH($A1010,'Cohort Summary'!$A$5:$A$14,0))</f>
        <v>-1.12621359223301</v>
      </c>
      <c r="K1010" s="42" t="n">
        <f aca="false">(F1010-INDEX('Cohort Summary'!$H$5:$H$14,MATCH($A1010,'Cohort Summary'!$A$5:$A$14,0)))/INDEX('Cohort Summary'!$I$5:$I$14,MATCH($A1010,'Cohort Summary'!$A$5:$A$14,0))</f>
        <v>-1.23958333333333</v>
      </c>
      <c r="L1010" s="42" t="n">
        <f aca="false">(G1010-INDEX('Cohort Summary'!$J$5:$J$14,MATCH($A1010,'Cohort Summary'!$A$5:$A$14,0)))/INDEX('Cohort Summary'!$K$5:$K$14,MATCH($A1010,'Cohort Summary'!$A$5:$A$14,0))</f>
        <v>-0.351851851851848</v>
      </c>
      <c r="M1010" s="42" t="n">
        <f aca="false">MAX(I1010:K1010)</f>
        <v>-0.931506849315068</v>
      </c>
      <c r="N1010" s="27" t="s">
        <v>197</v>
      </c>
      <c r="O1010" s="27"/>
      <c r="P1010" s="27" t="str">
        <f aca="false">A1010&amp;"|"&amp;N1010</f>
        <v>NURSE-06|normal</v>
      </c>
    </row>
    <row r="1011" customFormat="false" ht="15" hidden="false" customHeight="true" outlineLevel="0" collapsed="false">
      <c r="A1011" s="27" t="s">
        <v>91</v>
      </c>
      <c r="B1011" s="41" t="n">
        <v>46303.2947916667</v>
      </c>
      <c r="C1011" s="27" t="s">
        <v>195</v>
      </c>
      <c r="D1011" s="27" t="n">
        <v>41.4</v>
      </c>
      <c r="E1011" s="27" t="n">
        <v>20.2</v>
      </c>
      <c r="F1011" s="27" t="n">
        <v>30.3</v>
      </c>
      <c r="G1011" s="27" t="n">
        <v>32.8</v>
      </c>
      <c r="H1011" s="27" t="s">
        <v>198</v>
      </c>
      <c r="I1011" s="42" t="n">
        <f aca="false">(D1011-INDEX('Cohort Summary'!$D$5:$D$14,MATCH($A1011,'Cohort Summary'!$A$5:$A$14,0)))/INDEX('Cohort Summary'!$E$5:$E$14,MATCH($A1011,'Cohort Summary'!$A$5:$A$14,0))</f>
        <v>-0.280821917808219</v>
      </c>
      <c r="J1011" s="42" t="n">
        <f aca="false">(E1011-INDEX('Cohort Summary'!$F$5:$F$14,MATCH($A1011,'Cohort Summary'!$A$5:$A$14,0)))/INDEX('Cohort Summary'!$G$5:$G$14,MATCH($A1011,'Cohort Summary'!$A$5:$A$14,0))</f>
        <v>-0.737864077669903</v>
      </c>
      <c r="K1011" s="42" t="n">
        <f aca="false">(F1011-INDEX('Cohort Summary'!$H$5:$H$14,MATCH($A1011,'Cohort Summary'!$A$5:$A$14,0)))/INDEX('Cohort Summary'!$I$5:$I$14,MATCH($A1011,'Cohort Summary'!$A$5:$A$14,0))</f>
        <v>0.392361111111111</v>
      </c>
      <c r="L1011" s="42" t="n">
        <f aca="false">(G1011-INDEX('Cohort Summary'!$J$5:$J$14,MATCH($A1011,'Cohort Summary'!$A$5:$A$14,0)))/INDEX('Cohort Summary'!$K$5:$K$14,MATCH($A1011,'Cohort Summary'!$A$5:$A$14,0))</f>
        <v>-0.166666666666673</v>
      </c>
      <c r="M1011" s="42" t="n">
        <f aca="false">MAX(I1011:K1011)</f>
        <v>0.392361111111111</v>
      </c>
      <c r="N1011" s="27" t="s">
        <v>197</v>
      </c>
      <c r="O1011" s="27"/>
      <c r="P1011" s="27" t="str">
        <f aca="false">A1011&amp;"|"&amp;N1011</f>
        <v>NURSE-06|normal</v>
      </c>
    </row>
    <row r="1012" customFormat="false" ht="15" hidden="false" customHeight="true" outlineLevel="0" collapsed="false">
      <c r="A1012" s="27" t="s">
        <v>91</v>
      </c>
      <c r="B1012" s="41" t="n">
        <v>46303.2951388889</v>
      </c>
      <c r="C1012" s="27" t="s">
        <v>195</v>
      </c>
      <c r="D1012" s="27" t="n">
        <v>38.9</v>
      </c>
      <c r="E1012" s="27" t="n">
        <v>20.2</v>
      </c>
      <c r="F1012" s="27" t="n">
        <v>29</v>
      </c>
      <c r="G1012" s="27" t="n">
        <v>32.3</v>
      </c>
      <c r="H1012" s="27" t="s">
        <v>199</v>
      </c>
      <c r="I1012" s="42" t="n">
        <f aca="false">(D1012-INDEX('Cohort Summary'!$D$5:$D$14,MATCH($A1012,'Cohort Summary'!$A$5:$A$14,0)))/INDEX('Cohort Summary'!$E$5:$E$14,MATCH($A1012,'Cohort Summary'!$A$5:$A$14,0))</f>
        <v>-1.13698630136986</v>
      </c>
      <c r="J1012" s="42" t="n">
        <f aca="false">(E1012-INDEX('Cohort Summary'!$F$5:$F$14,MATCH($A1012,'Cohort Summary'!$A$5:$A$14,0)))/INDEX('Cohort Summary'!$G$5:$G$14,MATCH($A1012,'Cohort Summary'!$A$5:$A$14,0))</f>
        <v>-0.737864077669903</v>
      </c>
      <c r="K1012" s="42" t="n">
        <f aca="false">(F1012-INDEX('Cohort Summary'!$H$5:$H$14,MATCH($A1012,'Cohort Summary'!$A$5:$A$14,0)))/INDEX('Cohort Summary'!$I$5:$I$14,MATCH($A1012,'Cohort Summary'!$A$5:$A$14,0))</f>
        <v>-0.0590277777777784</v>
      </c>
      <c r="L1012" s="42" t="n">
        <f aca="false">(G1012-INDEX('Cohort Summary'!$J$5:$J$14,MATCH($A1012,'Cohort Summary'!$A$5:$A$14,0)))/INDEX('Cohort Summary'!$K$5:$K$14,MATCH($A1012,'Cohort Summary'!$A$5:$A$14,0))</f>
        <v>-1.0925925925926</v>
      </c>
      <c r="M1012" s="42" t="n">
        <f aca="false">MAX(I1012:K1012)</f>
        <v>-0.0590277777777784</v>
      </c>
      <c r="N1012" s="27" t="s">
        <v>197</v>
      </c>
      <c r="O1012" s="27"/>
      <c r="P1012" s="27" t="str">
        <f aca="false">A1012&amp;"|"&amp;N1012</f>
        <v>NURSE-06|normal</v>
      </c>
    </row>
    <row r="1013" customFormat="false" ht="15" hidden="false" customHeight="true" outlineLevel="0" collapsed="false">
      <c r="A1013" s="27" t="s">
        <v>91</v>
      </c>
      <c r="B1013" s="41" t="n">
        <v>46303.2954861111</v>
      </c>
      <c r="C1013" s="27" t="s">
        <v>195</v>
      </c>
      <c r="D1013" s="27" t="n">
        <v>45.4</v>
      </c>
      <c r="E1013" s="27" t="n">
        <v>23.4</v>
      </c>
      <c r="F1013" s="27" t="n">
        <v>29.9</v>
      </c>
      <c r="G1013" s="27" t="n">
        <v>32.8</v>
      </c>
      <c r="H1013" s="27" t="s">
        <v>199</v>
      </c>
      <c r="I1013" s="42" t="n">
        <f aca="false">(D1013-INDEX('Cohort Summary'!$D$5:$D$14,MATCH($A1013,'Cohort Summary'!$A$5:$A$14,0)))/INDEX('Cohort Summary'!$E$5:$E$14,MATCH($A1013,'Cohort Summary'!$A$5:$A$14,0))</f>
        <v>1.08904109589041</v>
      </c>
      <c r="J1013" s="42" t="n">
        <f aca="false">(E1013-INDEX('Cohort Summary'!$F$5:$F$14,MATCH($A1013,'Cohort Summary'!$A$5:$A$14,0)))/INDEX('Cohort Summary'!$G$5:$G$14,MATCH($A1013,'Cohort Summary'!$A$5:$A$14,0))</f>
        <v>0.815533980582524</v>
      </c>
      <c r="K1013" s="42" t="n">
        <f aca="false">(F1013-INDEX('Cohort Summary'!$H$5:$H$14,MATCH($A1013,'Cohort Summary'!$A$5:$A$14,0)))/INDEX('Cohort Summary'!$I$5:$I$14,MATCH($A1013,'Cohort Summary'!$A$5:$A$14,0))</f>
        <v>0.253472222222221</v>
      </c>
      <c r="L1013" s="42" t="n">
        <f aca="false">(G1013-INDEX('Cohort Summary'!$J$5:$J$14,MATCH($A1013,'Cohort Summary'!$A$5:$A$14,0)))/INDEX('Cohort Summary'!$K$5:$K$14,MATCH($A1013,'Cohort Summary'!$A$5:$A$14,0))</f>
        <v>-0.166666666666673</v>
      </c>
      <c r="M1013" s="42" t="n">
        <f aca="false">MAX(I1013:K1013)</f>
        <v>1.08904109589041</v>
      </c>
      <c r="N1013" s="27" t="s">
        <v>197</v>
      </c>
      <c r="O1013" s="27"/>
      <c r="P1013" s="27" t="str">
        <f aca="false">A1013&amp;"|"&amp;N1013</f>
        <v>NURSE-06|normal</v>
      </c>
    </row>
    <row r="1014" customFormat="false" ht="15" hidden="false" customHeight="true" outlineLevel="0" collapsed="false">
      <c r="A1014" s="27" t="s">
        <v>91</v>
      </c>
      <c r="B1014" s="41" t="n">
        <v>46303.2958333333</v>
      </c>
      <c r="C1014" s="27" t="s">
        <v>195</v>
      </c>
      <c r="D1014" s="27" t="n">
        <v>41.7</v>
      </c>
      <c r="E1014" s="27" t="n">
        <v>19.4</v>
      </c>
      <c r="F1014" s="27" t="n">
        <v>29.9</v>
      </c>
      <c r="G1014" s="27" t="n">
        <v>32.2</v>
      </c>
      <c r="H1014" s="27" t="s">
        <v>198</v>
      </c>
      <c r="I1014" s="42" t="n">
        <f aca="false">(D1014-INDEX('Cohort Summary'!$D$5:$D$14,MATCH($A1014,'Cohort Summary'!$A$5:$A$14,0)))/INDEX('Cohort Summary'!$E$5:$E$14,MATCH($A1014,'Cohort Summary'!$A$5:$A$14,0))</f>
        <v>-0.178082191780821</v>
      </c>
      <c r="J1014" s="42" t="n">
        <f aca="false">(E1014-INDEX('Cohort Summary'!$F$5:$F$14,MATCH($A1014,'Cohort Summary'!$A$5:$A$14,0)))/INDEX('Cohort Summary'!$G$5:$G$14,MATCH($A1014,'Cohort Summary'!$A$5:$A$14,0))</f>
        <v>-1.12621359223301</v>
      </c>
      <c r="K1014" s="42" t="n">
        <f aca="false">(F1014-INDEX('Cohort Summary'!$H$5:$H$14,MATCH($A1014,'Cohort Summary'!$A$5:$A$14,0)))/INDEX('Cohort Summary'!$I$5:$I$14,MATCH($A1014,'Cohort Summary'!$A$5:$A$14,0))</f>
        <v>0.253472222222221</v>
      </c>
      <c r="L1014" s="42" t="n">
        <f aca="false">(G1014-INDEX('Cohort Summary'!$J$5:$J$14,MATCH($A1014,'Cohort Summary'!$A$5:$A$14,0)))/INDEX('Cohort Summary'!$K$5:$K$14,MATCH($A1014,'Cohort Summary'!$A$5:$A$14,0))</f>
        <v>-1.27777777777777</v>
      </c>
      <c r="M1014" s="42" t="n">
        <f aca="false">MAX(I1014:K1014)</f>
        <v>0.253472222222221</v>
      </c>
      <c r="N1014" s="27" t="s">
        <v>197</v>
      </c>
      <c r="O1014" s="27"/>
      <c r="P1014" s="27" t="str">
        <f aca="false">A1014&amp;"|"&amp;N1014</f>
        <v>NURSE-06|normal</v>
      </c>
    </row>
    <row r="1015" customFormat="false" ht="15" hidden="false" customHeight="true" outlineLevel="0" collapsed="false">
      <c r="A1015" s="27" t="s">
        <v>91</v>
      </c>
      <c r="B1015" s="41" t="n">
        <v>46303.2961805556</v>
      </c>
      <c r="C1015" s="27" t="s">
        <v>195</v>
      </c>
      <c r="D1015" s="27" t="n">
        <v>39.3</v>
      </c>
      <c r="E1015" s="27" t="n">
        <v>20.5</v>
      </c>
      <c r="F1015" s="27" t="n">
        <v>27.8</v>
      </c>
      <c r="G1015" s="27" t="n">
        <v>32</v>
      </c>
      <c r="H1015" s="27" t="s">
        <v>198</v>
      </c>
      <c r="I1015" s="42" t="n">
        <f aca="false">(D1015-INDEX('Cohort Summary'!$D$5:$D$14,MATCH($A1015,'Cohort Summary'!$A$5:$A$14,0)))/INDEX('Cohort Summary'!$E$5:$E$14,MATCH($A1015,'Cohort Summary'!$A$5:$A$14,0))</f>
        <v>-1</v>
      </c>
      <c r="J1015" s="42" t="n">
        <f aca="false">(E1015-INDEX('Cohort Summary'!$F$5:$F$14,MATCH($A1015,'Cohort Summary'!$A$5:$A$14,0)))/INDEX('Cohort Summary'!$G$5:$G$14,MATCH($A1015,'Cohort Summary'!$A$5:$A$14,0))</f>
        <v>-0.592233009708737</v>
      </c>
      <c r="K1015" s="42" t="n">
        <f aca="false">(F1015-INDEX('Cohort Summary'!$H$5:$H$14,MATCH($A1015,'Cohort Summary'!$A$5:$A$14,0)))/INDEX('Cohort Summary'!$I$5:$I$14,MATCH($A1015,'Cohort Summary'!$A$5:$A$14,0))</f>
        <v>-0.475694444444445</v>
      </c>
      <c r="L1015" s="42" t="n">
        <f aca="false">(G1015-INDEX('Cohort Summary'!$J$5:$J$14,MATCH($A1015,'Cohort Summary'!$A$5:$A$14,0)))/INDEX('Cohort Summary'!$K$5:$K$14,MATCH($A1015,'Cohort Summary'!$A$5:$A$14,0))</f>
        <v>-1.64814814814815</v>
      </c>
      <c r="M1015" s="42" t="n">
        <f aca="false">MAX(I1015:K1015)</f>
        <v>-0.475694444444445</v>
      </c>
      <c r="N1015" s="27" t="s">
        <v>197</v>
      </c>
      <c r="O1015" s="27"/>
      <c r="P1015" s="27" t="str">
        <f aca="false">A1015&amp;"|"&amp;N1015</f>
        <v>NURSE-06|normal</v>
      </c>
    </row>
    <row r="1016" customFormat="false" ht="15" hidden="false" customHeight="true" outlineLevel="0" collapsed="false">
      <c r="A1016" s="27" t="s">
        <v>91</v>
      </c>
      <c r="B1016" s="41" t="n">
        <v>46303.2965277778</v>
      </c>
      <c r="C1016" s="27" t="s">
        <v>195</v>
      </c>
      <c r="D1016" s="27" t="n">
        <v>40.5</v>
      </c>
      <c r="E1016" s="27" t="n">
        <v>21</v>
      </c>
      <c r="F1016" s="27" t="n">
        <v>27.5</v>
      </c>
      <c r="G1016" s="27" t="n">
        <v>33.3</v>
      </c>
      <c r="H1016" s="27" t="s">
        <v>199</v>
      </c>
      <c r="I1016" s="42" t="n">
        <f aca="false">(D1016-INDEX('Cohort Summary'!$D$5:$D$14,MATCH($A1016,'Cohort Summary'!$A$5:$A$14,0)))/INDEX('Cohort Summary'!$E$5:$E$14,MATCH($A1016,'Cohort Summary'!$A$5:$A$14,0))</f>
        <v>-0.589041095890411</v>
      </c>
      <c r="J1016" s="42" t="n">
        <f aca="false">(E1016-INDEX('Cohort Summary'!$F$5:$F$14,MATCH($A1016,'Cohort Summary'!$A$5:$A$14,0)))/INDEX('Cohort Summary'!$G$5:$G$14,MATCH($A1016,'Cohort Summary'!$A$5:$A$14,0))</f>
        <v>-0.349514563106796</v>
      </c>
      <c r="K1016" s="42" t="n">
        <f aca="false">(F1016-INDEX('Cohort Summary'!$H$5:$H$14,MATCH($A1016,'Cohort Summary'!$A$5:$A$14,0)))/INDEX('Cohort Summary'!$I$5:$I$14,MATCH($A1016,'Cohort Summary'!$A$5:$A$14,0))</f>
        <v>-0.579861111111112</v>
      </c>
      <c r="L1016" s="42" t="n">
        <f aca="false">(G1016-INDEX('Cohort Summary'!$J$5:$J$14,MATCH($A1016,'Cohort Summary'!$A$5:$A$14,0)))/INDEX('Cohort Summary'!$K$5:$K$14,MATCH($A1016,'Cohort Summary'!$A$5:$A$14,0))</f>
        <v>0.759259259259253</v>
      </c>
      <c r="M1016" s="42" t="n">
        <f aca="false">MAX(I1016:K1016)</f>
        <v>-0.349514563106796</v>
      </c>
      <c r="N1016" s="27" t="s">
        <v>197</v>
      </c>
      <c r="O1016" s="27"/>
      <c r="P1016" s="27" t="str">
        <f aca="false">A1016&amp;"|"&amp;N1016</f>
        <v>NURSE-06|normal</v>
      </c>
    </row>
    <row r="1017" customFormat="false" ht="15" hidden="false" customHeight="true" outlineLevel="0" collapsed="false">
      <c r="A1017" s="27" t="s">
        <v>91</v>
      </c>
      <c r="B1017" s="41" t="n">
        <v>46303.296875</v>
      </c>
      <c r="C1017" s="27" t="s">
        <v>195</v>
      </c>
      <c r="D1017" s="27" t="n">
        <v>43.5</v>
      </c>
      <c r="E1017" s="27" t="n">
        <v>21.3</v>
      </c>
      <c r="F1017" s="27" t="n">
        <v>32.3</v>
      </c>
      <c r="G1017" s="27" t="n">
        <v>33</v>
      </c>
      <c r="H1017" s="27" t="s">
        <v>198</v>
      </c>
      <c r="I1017" s="42" t="n">
        <f aca="false">(D1017-INDEX('Cohort Summary'!$D$5:$D$14,MATCH($A1017,'Cohort Summary'!$A$5:$A$14,0)))/INDEX('Cohort Summary'!$E$5:$E$14,MATCH($A1017,'Cohort Summary'!$A$5:$A$14,0))</f>
        <v>0.438356164383562</v>
      </c>
      <c r="J1017" s="42" t="n">
        <f aca="false">(E1017-INDEX('Cohort Summary'!$F$5:$F$14,MATCH($A1017,'Cohort Summary'!$A$5:$A$14,0)))/INDEX('Cohort Summary'!$G$5:$G$14,MATCH($A1017,'Cohort Summary'!$A$5:$A$14,0))</f>
        <v>-0.20388349514563</v>
      </c>
      <c r="K1017" s="42" t="n">
        <f aca="false">(F1017-INDEX('Cohort Summary'!$H$5:$H$14,MATCH($A1017,'Cohort Summary'!$A$5:$A$14,0)))/INDEX('Cohort Summary'!$I$5:$I$14,MATCH($A1017,'Cohort Summary'!$A$5:$A$14,0))</f>
        <v>1.08680555555555</v>
      </c>
      <c r="L1017" s="42" t="n">
        <f aca="false">(G1017-INDEX('Cohort Summary'!$J$5:$J$14,MATCH($A1017,'Cohort Summary'!$A$5:$A$14,0)))/INDEX('Cohort Summary'!$K$5:$K$14,MATCH($A1017,'Cohort Summary'!$A$5:$A$14,0))</f>
        <v>0.203703703703703</v>
      </c>
      <c r="M1017" s="42" t="n">
        <f aca="false">MAX(I1017:K1017)</f>
        <v>1.08680555555555</v>
      </c>
      <c r="N1017" s="27" t="s">
        <v>197</v>
      </c>
      <c r="O1017" s="27"/>
      <c r="P1017" s="27" t="str">
        <f aca="false">A1017&amp;"|"&amp;N1017</f>
        <v>NURSE-06|normal</v>
      </c>
    </row>
    <row r="1018" customFormat="false" ht="15" hidden="false" customHeight="true" outlineLevel="0" collapsed="false">
      <c r="A1018" s="27" t="s">
        <v>91</v>
      </c>
      <c r="B1018" s="41" t="n">
        <v>46303.2972222222</v>
      </c>
      <c r="C1018" s="27" t="s">
        <v>195</v>
      </c>
      <c r="D1018" s="27" t="n">
        <v>45.5</v>
      </c>
      <c r="E1018" s="27" t="n">
        <v>23.1</v>
      </c>
      <c r="F1018" s="27" t="n">
        <v>27.5</v>
      </c>
      <c r="G1018" s="27" t="n">
        <v>33.2</v>
      </c>
      <c r="H1018" s="27" t="s">
        <v>196</v>
      </c>
      <c r="I1018" s="42" t="n">
        <f aca="false">(D1018-INDEX('Cohort Summary'!$D$5:$D$14,MATCH($A1018,'Cohort Summary'!$A$5:$A$14,0)))/INDEX('Cohort Summary'!$E$5:$E$14,MATCH($A1018,'Cohort Summary'!$A$5:$A$14,0))</f>
        <v>1.12328767123288</v>
      </c>
      <c r="J1018" s="42" t="n">
        <f aca="false">(E1018-INDEX('Cohort Summary'!$F$5:$F$14,MATCH($A1018,'Cohort Summary'!$A$5:$A$14,0)))/INDEX('Cohort Summary'!$G$5:$G$14,MATCH($A1018,'Cohort Summary'!$A$5:$A$14,0))</f>
        <v>0.669902912621361</v>
      </c>
      <c r="K1018" s="42" t="n">
        <f aca="false">(F1018-INDEX('Cohort Summary'!$H$5:$H$14,MATCH($A1018,'Cohort Summary'!$A$5:$A$14,0)))/INDEX('Cohort Summary'!$I$5:$I$14,MATCH($A1018,'Cohort Summary'!$A$5:$A$14,0))</f>
        <v>-0.579861111111112</v>
      </c>
      <c r="L1018" s="42" t="n">
        <f aca="false">(G1018-INDEX('Cohort Summary'!$J$5:$J$14,MATCH($A1018,'Cohort Summary'!$A$5:$A$14,0)))/INDEX('Cohort Summary'!$K$5:$K$14,MATCH($A1018,'Cohort Summary'!$A$5:$A$14,0))</f>
        <v>0.574074074074078</v>
      </c>
      <c r="M1018" s="42" t="n">
        <f aca="false">MAX(I1018:K1018)</f>
        <v>1.12328767123288</v>
      </c>
      <c r="N1018" s="27" t="s">
        <v>197</v>
      </c>
      <c r="O1018" s="27"/>
      <c r="P1018" s="27" t="str">
        <f aca="false">A1018&amp;"|"&amp;N1018</f>
        <v>NURSE-06|normal</v>
      </c>
    </row>
    <row r="1019" customFormat="false" ht="15" hidden="false" customHeight="true" outlineLevel="0" collapsed="false">
      <c r="A1019" s="27" t="s">
        <v>91</v>
      </c>
      <c r="B1019" s="41" t="n">
        <v>46303.2975694445</v>
      </c>
      <c r="C1019" s="27" t="s">
        <v>195</v>
      </c>
      <c r="D1019" s="27" t="n">
        <v>41</v>
      </c>
      <c r="E1019" s="27" t="n">
        <v>21</v>
      </c>
      <c r="F1019" s="27" t="n">
        <v>27</v>
      </c>
      <c r="G1019" s="27" t="n">
        <v>33</v>
      </c>
      <c r="H1019" s="27" t="s">
        <v>196</v>
      </c>
      <c r="I1019" s="42" t="n">
        <f aca="false">(D1019-INDEX('Cohort Summary'!$D$5:$D$14,MATCH($A1019,'Cohort Summary'!$A$5:$A$14,0)))/INDEX('Cohort Summary'!$E$5:$E$14,MATCH($A1019,'Cohort Summary'!$A$5:$A$14,0))</f>
        <v>-0.417808219178082</v>
      </c>
      <c r="J1019" s="42" t="n">
        <f aca="false">(E1019-INDEX('Cohort Summary'!$F$5:$F$14,MATCH($A1019,'Cohort Summary'!$A$5:$A$14,0)))/INDEX('Cohort Summary'!$G$5:$G$14,MATCH($A1019,'Cohort Summary'!$A$5:$A$14,0))</f>
        <v>-0.349514563106796</v>
      </c>
      <c r="K1019" s="42" t="n">
        <f aca="false">(F1019-INDEX('Cohort Summary'!$H$5:$H$14,MATCH($A1019,'Cohort Summary'!$A$5:$A$14,0)))/INDEX('Cohort Summary'!$I$5:$I$14,MATCH($A1019,'Cohort Summary'!$A$5:$A$14,0))</f>
        <v>-0.753472222222223</v>
      </c>
      <c r="L1019" s="42" t="n">
        <f aca="false">(G1019-INDEX('Cohort Summary'!$J$5:$J$14,MATCH($A1019,'Cohort Summary'!$A$5:$A$14,0)))/INDEX('Cohort Summary'!$K$5:$K$14,MATCH($A1019,'Cohort Summary'!$A$5:$A$14,0))</f>
        <v>0.203703703703703</v>
      </c>
      <c r="M1019" s="42" t="n">
        <f aca="false">MAX(I1019:K1019)</f>
        <v>-0.349514563106796</v>
      </c>
      <c r="N1019" s="27" t="s">
        <v>197</v>
      </c>
      <c r="O1019" s="27"/>
      <c r="P1019" s="27" t="str">
        <f aca="false">A1019&amp;"|"&amp;N1019</f>
        <v>NURSE-06|normal</v>
      </c>
    </row>
    <row r="1020" customFormat="false" ht="15" hidden="false" customHeight="true" outlineLevel="0" collapsed="false">
      <c r="A1020" s="27" t="s">
        <v>91</v>
      </c>
      <c r="B1020" s="41" t="n">
        <v>46303.2979166667</v>
      </c>
      <c r="C1020" s="27" t="s">
        <v>195</v>
      </c>
      <c r="D1020" s="27" t="n">
        <v>44.5</v>
      </c>
      <c r="E1020" s="27" t="n">
        <v>18</v>
      </c>
      <c r="F1020" s="27" t="n">
        <v>30.9</v>
      </c>
      <c r="G1020" s="27" t="n">
        <v>33.2</v>
      </c>
      <c r="H1020" s="27" t="s">
        <v>196</v>
      </c>
      <c r="I1020" s="42" t="n">
        <f aca="false">(D1020-INDEX('Cohort Summary'!$D$5:$D$14,MATCH($A1020,'Cohort Summary'!$A$5:$A$14,0)))/INDEX('Cohort Summary'!$E$5:$E$14,MATCH($A1020,'Cohort Summary'!$A$5:$A$14,0))</f>
        <v>0.78082191780822</v>
      </c>
      <c r="J1020" s="42" t="n">
        <f aca="false">(E1020-INDEX('Cohort Summary'!$F$5:$F$14,MATCH($A1020,'Cohort Summary'!$A$5:$A$14,0)))/INDEX('Cohort Summary'!$G$5:$G$14,MATCH($A1020,'Cohort Summary'!$A$5:$A$14,0))</f>
        <v>-1.80582524271845</v>
      </c>
      <c r="K1020" s="42" t="n">
        <f aca="false">(F1020-INDEX('Cohort Summary'!$H$5:$H$14,MATCH($A1020,'Cohort Summary'!$A$5:$A$14,0)))/INDEX('Cohort Summary'!$I$5:$I$14,MATCH($A1020,'Cohort Summary'!$A$5:$A$14,0))</f>
        <v>0.600694444444443</v>
      </c>
      <c r="L1020" s="42" t="n">
        <f aca="false">(G1020-INDEX('Cohort Summary'!$J$5:$J$14,MATCH($A1020,'Cohort Summary'!$A$5:$A$14,0)))/INDEX('Cohort Summary'!$K$5:$K$14,MATCH($A1020,'Cohort Summary'!$A$5:$A$14,0))</f>
        <v>0.574074074074078</v>
      </c>
      <c r="M1020" s="42" t="n">
        <f aca="false">MAX(I1020:K1020)</f>
        <v>0.78082191780822</v>
      </c>
      <c r="N1020" s="27" t="s">
        <v>197</v>
      </c>
      <c r="O1020" s="27"/>
      <c r="P1020" s="27" t="str">
        <f aca="false">A1020&amp;"|"&amp;N1020</f>
        <v>NURSE-06|normal</v>
      </c>
    </row>
    <row r="1021" customFormat="false" ht="15" hidden="false" customHeight="true" outlineLevel="0" collapsed="false">
      <c r="A1021" s="27" t="s">
        <v>91</v>
      </c>
      <c r="B1021" s="41" t="n">
        <v>46303.2982638889</v>
      </c>
      <c r="C1021" s="27" t="s">
        <v>195</v>
      </c>
      <c r="D1021" s="27" t="n">
        <v>45.5</v>
      </c>
      <c r="E1021" s="27" t="n">
        <v>23.5</v>
      </c>
      <c r="F1021" s="27" t="n">
        <v>29.9</v>
      </c>
      <c r="G1021" s="27" t="n">
        <v>33.3</v>
      </c>
      <c r="H1021" s="27" t="s">
        <v>199</v>
      </c>
      <c r="I1021" s="42" t="n">
        <f aca="false">(D1021-INDEX('Cohort Summary'!$D$5:$D$14,MATCH($A1021,'Cohort Summary'!$A$5:$A$14,0)))/INDEX('Cohort Summary'!$E$5:$E$14,MATCH($A1021,'Cohort Summary'!$A$5:$A$14,0))</f>
        <v>1.12328767123288</v>
      </c>
      <c r="J1021" s="42" t="n">
        <f aca="false">(E1021-INDEX('Cohort Summary'!$F$5:$F$14,MATCH($A1021,'Cohort Summary'!$A$5:$A$14,0)))/INDEX('Cohort Summary'!$G$5:$G$14,MATCH($A1021,'Cohort Summary'!$A$5:$A$14,0))</f>
        <v>0.864077669902913</v>
      </c>
      <c r="K1021" s="42" t="n">
        <f aca="false">(F1021-INDEX('Cohort Summary'!$H$5:$H$14,MATCH($A1021,'Cohort Summary'!$A$5:$A$14,0)))/INDEX('Cohort Summary'!$I$5:$I$14,MATCH($A1021,'Cohort Summary'!$A$5:$A$14,0))</f>
        <v>0.253472222222221</v>
      </c>
      <c r="L1021" s="42" t="n">
        <f aca="false">(G1021-INDEX('Cohort Summary'!$J$5:$J$14,MATCH($A1021,'Cohort Summary'!$A$5:$A$14,0)))/INDEX('Cohort Summary'!$K$5:$K$14,MATCH($A1021,'Cohort Summary'!$A$5:$A$14,0))</f>
        <v>0.759259259259253</v>
      </c>
      <c r="M1021" s="42" t="n">
        <f aca="false">MAX(I1021:K1021)</f>
        <v>1.12328767123288</v>
      </c>
      <c r="N1021" s="27" t="s">
        <v>197</v>
      </c>
      <c r="O1021" s="27"/>
      <c r="P1021" s="27" t="str">
        <f aca="false">A1021&amp;"|"&amp;N1021</f>
        <v>NURSE-06|normal</v>
      </c>
    </row>
    <row r="1022" customFormat="false" ht="15" hidden="false" customHeight="true" outlineLevel="0" collapsed="false">
      <c r="A1022" s="27" t="s">
        <v>91</v>
      </c>
      <c r="B1022" s="41" t="n">
        <v>46303.2986111111</v>
      </c>
      <c r="C1022" s="27" t="s">
        <v>195</v>
      </c>
      <c r="D1022" s="27" t="n">
        <v>45</v>
      </c>
      <c r="E1022" s="27" t="n">
        <v>19.1</v>
      </c>
      <c r="F1022" s="27" t="n">
        <v>29.5</v>
      </c>
      <c r="G1022" s="27" t="n">
        <v>33.2</v>
      </c>
      <c r="H1022" s="27" t="s">
        <v>199</v>
      </c>
      <c r="I1022" s="42" t="n">
        <f aca="false">(D1022-INDEX('Cohort Summary'!$D$5:$D$14,MATCH($A1022,'Cohort Summary'!$A$5:$A$14,0)))/INDEX('Cohort Summary'!$E$5:$E$14,MATCH($A1022,'Cohort Summary'!$A$5:$A$14,0))</f>
        <v>0.952054794520548</v>
      </c>
      <c r="J1022" s="42" t="n">
        <f aca="false">(E1022-INDEX('Cohort Summary'!$F$5:$F$14,MATCH($A1022,'Cohort Summary'!$A$5:$A$14,0)))/INDEX('Cohort Summary'!$G$5:$G$14,MATCH($A1022,'Cohort Summary'!$A$5:$A$14,0))</f>
        <v>-1.27184466019417</v>
      </c>
      <c r="K1022" s="42" t="n">
        <f aca="false">(F1022-INDEX('Cohort Summary'!$H$5:$H$14,MATCH($A1022,'Cohort Summary'!$A$5:$A$14,0)))/INDEX('Cohort Summary'!$I$5:$I$14,MATCH($A1022,'Cohort Summary'!$A$5:$A$14,0))</f>
        <v>0.114583333333333</v>
      </c>
      <c r="L1022" s="42" t="n">
        <f aca="false">(G1022-INDEX('Cohort Summary'!$J$5:$J$14,MATCH($A1022,'Cohort Summary'!$A$5:$A$14,0)))/INDEX('Cohort Summary'!$K$5:$K$14,MATCH($A1022,'Cohort Summary'!$A$5:$A$14,0))</f>
        <v>0.574074074074078</v>
      </c>
      <c r="M1022" s="42" t="n">
        <f aca="false">MAX(I1022:K1022)</f>
        <v>0.952054794520548</v>
      </c>
      <c r="N1022" s="27" t="s">
        <v>197</v>
      </c>
      <c r="O1022" s="27"/>
      <c r="P1022" s="27" t="str">
        <f aca="false">A1022&amp;"|"&amp;N1022</f>
        <v>NURSE-06|normal</v>
      </c>
    </row>
    <row r="1023" customFormat="false" ht="15" hidden="false" customHeight="true" outlineLevel="0" collapsed="false">
      <c r="A1023" s="27" t="s">
        <v>91</v>
      </c>
      <c r="B1023" s="41" t="n">
        <v>46303.2989583333</v>
      </c>
      <c r="C1023" s="27" t="s">
        <v>195</v>
      </c>
      <c r="D1023" s="27" t="n">
        <v>38.2</v>
      </c>
      <c r="E1023" s="27" t="n">
        <v>24.3</v>
      </c>
      <c r="F1023" s="27" t="n">
        <v>32</v>
      </c>
      <c r="G1023" s="27" t="n">
        <v>32</v>
      </c>
      <c r="H1023" s="27" t="s">
        <v>199</v>
      </c>
      <c r="I1023" s="42" t="n">
        <f aca="false">(D1023-INDEX('Cohort Summary'!$D$5:$D$14,MATCH($A1023,'Cohort Summary'!$A$5:$A$14,0)))/INDEX('Cohort Summary'!$E$5:$E$14,MATCH($A1023,'Cohort Summary'!$A$5:$A$14,0))</f>
        <v>-1.37671232876712</v>
      </c>
      <c r="J1023" s="42" t="n">
        <f aca="false">(E1023-INDEX('Cohort Summary'!$F$5:$F$14,MATCH($A1023,'Cohort Summary'!$A$5:$A$14,0)))/INDEX('Cohort Summary'!$G$5:$G$14,MATCH($A1023,'Cohort Summary'!$A$5:$A$14,0))</f>
        <v>1.25242718446602</v>
      </c>
      <c r="K1023" s="42" t="n">
        <f aca="false">(F1023-INDEX('Cohort Summary'!$H$5:$H$14,MATCH($A1023,'Cohort Summary'!$A$5:$A$14,0)))/INDEX('Cohort Summary'!$I$5:$I$14,MATCH($A1023,'Cohort Summary'!$A$5:$A$14,0))</f>
        <v>0.982638888888888</v>
      </c>
      <c r="L1023" s="42" t="n">
        <f aca="false">(G1023-INDEX('Cohort Summary'!$J$5:$J$14,MATCH($A1023,'Cohort Summary'!$A$5:$A$14,0)))/INDEX('Cohort Summary'!$K$5:$K$14,MATCH($A1023,'Cohort Summary'!$A$5:$A$14,0))</f>
        <v>-1.64814814814815</v>
      </c>
      <c r="M1023" s="42" t="n">
        <f aca="false">MAX(I1023:K1023)</f>
        <v>1.25242718446602</v>
      </c>
      <c r="N1023" s="27" t="s">
        <v>197</v>
      </c>
      <c r="O1023" s="27"/>
      <c r="P1023" s="27" t="str">
        <f aca="false">A1023&amp;"|"&amp;N1023</f>
        <v>NURSE-06|normal</v>
      </c>
    </row>
    <row r="1024" customFormat="false" ht="15" hidden="false" customHeight="true" outlineLevel="0" collapsed="false">
      <c r="A1024" s="27" t="s">
        <v>91</v>
      </c>
      <c r="B1024" s="41" t="n">
        <v>46303.2993055556</v>
      </c>
      <c r="C1024" s="27" t="s">
        <v>195</v>
      </c>
      <c r="D1024" s="27" t="n">
        <v>45.1</v>
      </c>
      <c r="E1024" s="27" t="n">
        <v>21.1</v>
      </c>
      <c r="F1024" s="27" t="n">
        <v>26.7</v>
      </c>
      <c r="G1024" s="27" t="n">
        <v>32.9</v>
      </c>
      <c r="H1024" s="27" t="s">
        <v>198</v>
      </c>
      <c r="I1024" s="42" t="n">
        <f aca="false">(D1024-INDEX('Cohort Summary'!$D$5:$D$14,MATCH($A1024,'Cohort Summary'!$A$5:$A$14,0)))/INDEX('Cohort Summary'!$E$5:$E$14,MATCH($A1024,'Cohort Summary'!$A$5:$A$14,0))</f>
        <v>0.986301369863015</v>
      </c>
      <c r="J1024" s="42" t="n">
        <f aca="false">(E1024-INDEX('Cohort Summary'!$F$5:$F$14,MATCH($A1024,'Cohort Summary'!$A$5:$A$14,0)))/INDEX('Cohort Summary'!$G$5:$G$14,MATCH($A1024,'Cohort Summary'!$A$5:$A$14,0))</f>
        <v>-0.300970873786407</v>
      </c>
      <c r="K1024" s="42" t="n">
        <f aca="false">(F1024-INDEX('Cohort Summary'!$H$5:$H$14,MATCH($A1024,'Cohort Summary'!$A$5:$A$14,0)))/INDEX('Cohort Summary'!$I$5:$I$14,MATCH($A1024,'Cohort Summary'!$A$5:$A$14,0))</f>
        <v>-0.85763888888889</v>
      </c>
      <c r="L1024" s="42" t="n">
        <f aca="false">(G1024-INDEX('Cohort Summary'!$J$5:$J$14,MATCH($A1024,'Cohort Summary'!$A$5:$A$14,0)))/INDEX('Cohort Summary'!$K$5:$K$14,MATCH($A1024,'Cohort Summary'!$A$5:$A$14,0))</f>
        <v>0.0185185185185148</v>
      </c>
      <c r="M1024" s="42" t="n">
        <f aca="false">MAX(I1024:K1024)</f>
        <v>0.986301369863015</v>
      </c>
      <c r="N1024" s="27" t="s">
        <v>197</v>
      </c>
      <c r="O1024" s="27"/>
      <c r="P1024" s="27" t="str">
        <f aca="false">A1024&amp;"|"&amp;N1024</f>
        <v>NURSE-06|normal</v>
      </c>
    </row>
    <row r="1025" customFormat="false" ht="15" hidden="false" customHeight="true" outlineLevel="0" collapsed="false">
      <c r="A1025" s="27" t="s">
        <v>91</v>
      </c>
      <c r="B1025" s="41" t="n">
        <v>46303.2996527778</v>
      </c>
      <c r="C1025" s="27" t="s">
        <v>195</v>
      </c>
      <c r="D1025" s="27" t="n">
        <v>40.5</v>
      </c>
      <c r="E1025" s="27" t="n">
        <v>21.7</v>
      </c>
      <c r="F1025" s="27" t="n">
        <v>33.3</v>
      </c>
      <c r="G1025" s="27" t="n">
        <v>33.2</v>
      </c>
      <c r="H1025" s="27" t="s">
        <v>199</v>
      </c>
      <c r="I1025" s="42" t="n">
        <f aca="false">(D1025-INDEX('Cohort Summary'!$D$5:$D$14,MATCH($A1025,'Cohort Summary'!$A$5:$A$14,0)))/INDEX('Cohort Summary'!$E$5:$E$14,MATCH($A1025,'Cohort Summary'!$A$5:$A$14,0))</f>
        <v>-0.589041095890411</v>
      </c>
      <c r="J1025" s="42" t="n">
        <f aca="false">(E1025-INDEX('Cohort Summary'!$F$5:$F$14,MATCH($A1025,'Cohort Summary'!$A$5:$A$14,0)))/INDEX('Cohort Summary'!$G$5:$G$14,MATCH($A1025,'Cohort Summary'!$A$5:$A$14,0))</f>
        <v>-0.00970873786407746</v>
      </c>
      <c r="K1025" s="42" t="n">
        <f aca="false">(F1025-INDEX('Cohort Summary'!$H$5:$H$14,MATCH($A1025,'Cohort Summary'!$A$5:$A$14,0)))/INDEX('Cohort Summary'!$I$5:$I$14,MATCH($A1025,'Cohort Summary'!$A$5:$A$14,0))</f>
        <v>1.43402777777778</v>
      </c>
      <c r="L1025" s="42" t="n">
        <f aca="false">(G1025-INDEX('Cohort Summary'!$J$5:$J$14,MATCH($A1025,'Cohort Summary'!$A$5:$A$14,0)))/INDEX('Cohort Summary'!$K$5:$K$14,MATCH($A1025,'Cohort Summary'!$A$5:$A$14,0))</f>
        <v>0.574074074074078</v>
      </c>
      <c r="M1025" s="42" t="n">
        <f aca="false">MAX(I1025:K1025)</f>
        <v>1.43402777777778</v>
      </c>
      <c r="N1025" s="27" t="s">
        <v>197</v>
      </c>
      <c r="O1025" s="27"/>
      <c r="P1025" s="27" t="str">
        <f aca="false">A1025&amp;"|"&amp;N1025</f>
        <v>NURSE-06|normal</v>
      </c>
    </row>
    <row r="1026" customFormat="false" ht="15" hidden="false" customHeight="true" outlineLevel="0" collapsed="false">
      <c r="A1026" s="27" t="s">
        <v>91</v>
      </c>
      <c r="B1026" s="41" t="n">
        <v>46303.3</v>
      </c>
      <c r="C1026" s="27" t="s">
        <v>195</v>
      </c>
      <c r="D1026" s="27" t="n">
        <v>38.2</v>
      </c>
      <c r="E1026" s="27" t="n">
        <v>19.8</v>
      </c>
      <c r="F1026" s="27" t="n">
        <v>30.1</v>
      </c>
      <c r="G1026" s="27" t="n">
        <v>33</v>
      </c>
      <c r="H1026" s="27" t="s">
        <v>199</v>
      </c>
      <c r="I1026" s="42" t="n">
        <f aca="false">(D1026-INDEX('Cohort Summary'!$D$5:$D$14,MATCH($A1026,'Cohort Summary'!$A$5:$A$14,0)))/INDEX('Cohort Summary'!$E$5:$E$14,MATCH($A1026,'Cohort Summary'!$A$5:$A$14,0))</f>
        <v>-1.37671232876712</v>
      </c>
      <c r="J1026" s="42" t="n">
        <f aca="false">(E1026-INDEX('Cohort Summary'!$F$5:$F$14,MATCH($A1026,'Cohort Summary'!$A$5:$A$14,0)))/INDEX('Cohort Summary'!$G$5:$G$14,MATCH($A1026,'Cohort Summary'!$A$5:$A$14,0))</f>
        <v>-0.932038834951455</v>
      </c>
      <c r="K1026" s="42" t="n">
        <f aca="false">(F1026-INDEX('Cohort Summary'!$H$5:$H$14,MATCH($A1026,'Cohort Summary'!$A$5:$A$14,0)))/INDEX('Cohort Summary'!$I$5:$I$14,MATCH($A1026,'Cohort Summary'!$A$5:$A$14,0))</f>
        <v>0.322916666666667</v>
      </c>
      <c r="L1026" s="42" t="n">
        <f aca="false">(G1026-INDEX('Cohort Summary'!$J$5:$J$14,MATCH($A1026,'Cohort Summary'!$A$5:$A$14,0)))/INDEX('Cohort Summary'!$K$5:$K$14,MATCH($A1026,'Cohort Summary'!$A$5:$A$14,0))</f>
        <v>0.203703703703703</v>
      </c>
      <c r="M1026" s="42" t="n">
        <f aca="false">MAX(I1026:K1026)</f>
        <v>0.322916666666667</v>
      </c>
      <c r="N1026" s="27" t="s">
        <v>197</v>
      </c>
      <c r="O1026" s="27"/>
      <c r="P1026" s="27" t="str">
        <f aca="false">A1026&amp;"|"&amp;N1026</f>
        <v>NURSE-06|normal</v>
      </c>
    </row>
    <row r="1027" customFormat="false" ht="15" hidden="false" customHeight="true" outlineLevel="0" collapsed="false">
      <c r="A1027" s="27" t="s">
        <v>91</v>
      </c>
      <c r="B1027" s="41" t="n">
        <v>46303.3003472222</v>
      </c>
      <c r="C1027" s="27" t="s">
        <v>195</v>
      </c>
      <c r="D1027" s="27" t="n">
        <v>37.2</v>
      </c>
      <c r="E1027" s="27" t="n">
        <v>23.6</v>
      </c>
      <c r="F1027" s="27" t="n">
        <v>24.7</v>
      </c>
      <c r="G1027" s="27" t="n">
        <v>33.5</v>
      </c>
      <c r="H1027" s="27" t="s">
        <v>196</v>
      </c>
      <c r="I1027" s="42" t="n">
        <f aca="false">(D1027-INDEX('Cohort Summary'!$D$5:$D$14,MATCH($A1027,'Cohort Summary'!$A$5:$A$14,0)))/INDEX('Cohort Summary'!$E$5:$E$14,MATCH($A1027,'Cohort Summary'!$A$5:$A$14,0))</f>
        <v>-1.71917808219178</v>
      </c>
      <c r="J1027" s="42" t="n">
        <f aca="false">(E1027-INDEX('Cohort Summary'!$F$5:$F$14,MATCH($A1027,'Cohort Summary'!$A$5:$A$14,0)))/INDEX('Cohort Summary'!$G$5:$G$14,MATCH($A1027,'Cohort Summary'!$A$5:$A$14,0))</f>
        <v>0.912621359223302</v>
      </c>
      <c r="K1027" s="42" t="n">
        <f aca="false">(F1027-INDEX('Cohort Summary'!$H$5:$H$14,MATCH($A1027,'Cohort Summary'!$A$5:$A$14,0)))/INDEX('Cohort Summary'!$I$5:$I$14,MATCH($A1027,'Cohort Summary'!$A$5:$A$14,0))</f>
        <v>-1.55208333333333</v>
      </c>
      <c r="L1027" s="42" t="n">
        <f aca="false">(G1027-INDEX('Cohort Summary'!$J$5:$J$14,MATCH($A1027,'Cohort Summary'!$A$5:$A$14,0)))/INDEX('Cohort Summary'!$K$5:$K$14,MATCH($A1027,'Cohort Summary'!$A$5:$A$14,0))</f>
        <v>1.12962962962963</v>
      </c>
      <c r="M1027" s="42" t="n">
        <f aca="false">MAX(I1027:K1027)</f>
        <v>0.912621359223302</v>
      </c>
      <c r="N1027" s="27" t="s">
        <v>197</v>
      </c>
      <c r="O1027" s="27"/>
      <c r="P1027" s="27" t="str">
        <f aca="false">A1027&amp;"|"&amp;N1027</f>
        <v>NURSE-06|normal</v>
      </c>
    </row>
    <row r="1028" customFormat="false" ht="15" hidden="false" customHeight="true" outlineLevel="0" collapsed="false">
      <c r="A1028" s="27" t="s">
        <v>91</v>
      </c>
      <c r="B1028" s="41" t="n">
        <v>46303.3006944444</v>
      </c>
      <c r="C1028" s="27" t="s">
        <v>195</v>
      </c>
      <c r="D1028" s="27" t="n">
        <v>42.4</v>
      </c>
      <c r="E1028" s="27" t="n">
        <v>19.9</v>
      </c>
      <c r="F1028" s="27" t="n">
        <v>27.3</v>
      </c>
      <c r="G1028" s="27" t="n">
        <v>33.5</v>
      </c>
      <c r="H1028" s="27" t="s">
        <v>198</v>
      </c>
      <c r="I1028" s="42" t="n">
        <f aca="false">(D1028-INDEX('Cohort Summary'!$D$5:$D$14,MATCH($A1028,'Cohort Summary'!$A$5:$A$14,0)))/INDEX('Cohort Summary'!$E$5:$E$14,MATCH($A1028,'Cohort Summary'!$A$5:$A$14,0))</f>
        <v>0.0616438356164383</v>
      </c>
      <c r="J1028" s="42" t="n">
        <f aca="false">(E1028-INDEX('Cohort Summary'!$F$5:$F$14,MATCH($A1028,'Cohort Summary'!$A$5:$A$14,0)))/INDEX('Cohort Summary'!$G$5:$G$14,MATCH($A1028,'Cohort Summary'!$A$5:$A$14,0))</f>
        <v>-0.883495145631068</v>
      </c>
      <c r="K1028" s="42" t="n">
        <f aca="false">(F1028-INDEX('Cohort Summary'!$H$5:$H$14,MATCH($A1028,'Cohort Summary'!$A$5:$A$14,0)))/INDEX('Cohort Summary'!$I$5:$I$14,MATCH($A1028,'Cohort Summary'!$A$5:$A$14,0))</f>
        <v>-0.649305555555556</v>
      </c>
      <c r="L1028" s="42" t="n">
        <f aca="false">(G1028-INDEX('Cohort Summary'!$J$5:$J$14,MATCH($A1028,'Cohort Summary'!$A$5:$A$14,0)))/INDEX('Cohort Summary'!$K$5:$K$14,MATCH($A1028,'Cohort Summary'!$A$5:$A$14,0))</f>
        <v>1.12962962962963</v>
      </c>
      <c r="M1028" s="42" t="n">
        <f aca="false">MAX(I1028:K1028)</f>
        <v>0.0616438356164383</v>
      </c>
      <c r="N1028" s="27" t="s">
        <v>197</v>
      </c>
      <c r="O1028" s="27"/>
      <c r="P1028" s="27" t="str">
        <f aca="false">A1028&amp;"|"&amp;N1028</f>
        <v>NURSE-06|normal</v>
      </c>
    </row>
    <row r="1029" customFormat="false" ht="15" hidden="false" customHeight="true" outlineLevel="0" collapsed="false">
      <c r="A1029" s="27" t="s">
        <v>91</v>
      </c>
      <c r="B1029" s="41" t="n">
        <v>46303.3010416667</v>
      </c>
      <c r="C1029" s="27" t="s">
        <v>195</v>
      </c>
      <c r="D1029" s="27" t="n">
        <v>46.4</v>
      </c>
      <c r="E1029" s="27" t="n">
        <v>20.6</v>
      </c>
      <c r="F1029" s="27" t="n">
        <v>24.8</v>
      </c>
      <c r="G1029" s="27" t="n">
        <v>32.3</v>
      </c>
      <c r="H1029" s="27" t="s">
        <v>196</v>
      </c>
      <c r="I1029" s="42" t="n">
        <f aca="false">(D1029-INDEX('Cohort Summary'!$D$5:$D$14,MATCH($A1029,'Cohort Summary'!$A$5:$A$14,0)))/INDEX('Cohort Summary'!$E$5:$E$14,MATCH($A1029,'Cohort Summary'!$A$5:$A$14,0))</f>
        <v>1.43150684931507</v>
      </c>
      <c r="J1029" s="42" t="n">
        <f aca="false">(E1029-INDEX('Cohort Summary'!$F$5:$F$14,MATCH($A1029,'Cohort Summary'!$A$5:$A$14,0)))/INDEX('Cohort Summary'!$G$5:$G$14,MATCH($A1029,'Cohort Summary'!$A$5:$A$14,0))</f>
        <v>-0.543689320388348</v>
      </c>
      <c r="K1029" s="42" t="n">
        <f aca="false">(F1029-INDEX('Cohort Summary'!$H$5:$H$14,MATCH($A1029,'Cohort Summary'!$A$5:$A$14,0)))/INDEX('Cohort Summary'!$I$5:$I$14,MATCH($A1029,'Cohort Summary'!$A$5:$A$14,0))</f>
        <v>-1.51736111111111</v>
      </c>
      <c r="L1029" s="42" t="n">
        <f aca="false">(G1029-INDEX('Cohort Summary'!$J$5:$J$14,MATCH($A1029,'Cohort Summary'!$A$5:$A$14,0)))/INDEX('Cohort Summary'!$K$5:$K$14,MATCH($A1029,'Cohort Summary'!$A$5:$A$14,0))</f>
        <v>-1.0925925925926</v>
      </c>
      <c r="M1029" s="42" t="n">
        <f aca="false">MAX(I1029:K1029)</f>
        <v>1.43150684931507</v>
      </c>
      <c r="N1029" s="27" t="s">
        <v>197</v>
      </c>
      <c r="O1029" s="27"/>
      <c r="P1029" s="27" t="str">
        <f aca="false">A1029&amp;"|"&amp;N1029</f>
        <v>NURSE-06|normal</v>
      </c>
    </row>
    <row r="1030" customFormat="false" ht="15" hidden="false" customHeight="true" outlineLevel="0" collapsed="false">
      <c r="A1030" s="27" t="s">
        <v>91</v>
      </c>
      <c r="B1030" s="41" t="n">
        <v>46303.3013888889</v>
      </c>
      <c r="C1030" s="27" t="s">
        <v>195</v>
      </c>
      <c r="D1030" s="27" t="n">
        <v>45.1</v>
      </c>
      <c r="E1030" s="27" t="n">
        <v>19</v>
      </c>
      <c r="F1030" s="27" t="n">
        <v>26.3</v>
      </c>
      <c r="G1030" s="27" t="n">
        <v>32</v>
      </c>
      <c r="H1030" s="27" t="s">
        <v>199</v>
      </c>
      <c r="I1030" s="42" t="n">
        <f aca="false">(D1030-INDEX('Cohort Summary'!$D$5:$D$14,MATCH($A1030,'Cohort Summary'!$A$5:$A$14,0)))/INDEX('Cohort Summary'!$E$5:$E$14,MATCH($A1030,'Cohort Summary'!$A$5:$A$14,0))</f>
        <v>0.986301369863015</v>
      </c>
      <c r="J1030" s="42" t="n">
        <f aca="false">(E1030-INDEX('Cohort Summary'!$F$5:$F$14,MATCH($A1030,'Cohort Summary'!$A$5:$A$14,0)))/INDEX('Cohort Summary'!$G$5:$G$14,MATCH($A1030,'Cohort Summary'!$A$5:$A$14,0))</f>
        <v>-1.32038834951456</v>
      </c>
      <c r="K1030" s="42" t="n">
        <f aca="false">(F1030-INDEX('Cohort Summary'!$H$5:$H$14,MATCH($A1030,'Cohort Summary'!$A$5:$A$14,0)))/INDEX('Cohort Summary'!$I$5:$I$14,MATCH($A1030,'Cohort Summary'!$A$5:$A$14,0))</f>
        <v>-0.996527777777778</v>
      </c>
      <c r="L1030" s="42" t="n">
        <f aca="false">(G1030-INDEX('Cohort Summary'!$J$5:$J$14,MATCH($A1030,'Cohort Summary'!$A$5:$A$14,0)))/INDEX('Cohort Summary'!$K$5:$K$14,MATCH($A1030,'Cohort Summary'!$A$5:$A$14,0))</f>
        <v>-1.64814814814815</v>
      </c>
      <c r="M1030" s="42" t="n">
        <f aca="false">MAX(I1030:K1030)</f>
        <v>0.986301369863015</v>
      </c>
      <c r="N1030" s="27" t="s">
        <v>197</v>
      </c>
      <c r="O1030" s="27"/>
      <c r="P1030" s="27" t="str">
        <f aca="false">A1030&amp;"|"&amp;N1030</f>
        <v>NURSE-06|normal</v>
      </c>
    </row>
    <row r="1031" customFormat="false" ht="15" hidden="false" customHeight="true" outlineLevel="0" collapsed="false">
      <c r="A1031" s="27" t="s">
        <v>91</v>
      </c>
      <c r="B1031" s="41" t="n">
        <v>46303.3017361111</v>
      </c>
      <c r="C1031" s="27" t="s">
        <v>195</v>
      </c>
      <c r="D1031" s="27" t="n">
        <v>38.2</v>
      </c>
      <c r="E1031" s="27" t="n">
        <v>24.8</v>
      </c>
      <c r="F1031" s="27" t="n">
        <v>33.1</v>
      </c>
      <c r="G1031" s="27" t="n">
        <v>32.1</v>
      </c>
      <c r="H1031" s="27" t="s">
        <v>198</v>
      </c>
      <c r="I1031" s="42" t="n">
        <f aca="false">(D1031-INDEX('Cohort Summary'!$D$5:$D$14,MATCH($A1031,'Cohort Summary'!$A$5:$A$14,0)))/INDEX('Cohort Summary'!$E$5:$E$14,MATCH($A1031,'Cohort Summary'!$A$5:$A$14,0))</f>
        <v>-1.37671232876712</v>
      </c>
      <c r="J1031" s="42" t="n">
        <f aca="false">(E1031-INDEX('Cohort Summary'!$F$5:$F$14,MATCH($A1031,'Cohort Summary'!$A$5:$A$14,0)))/INDEX('Cohort Summary'!$G$5:$G$14,MATCH($A1031,'Cohort Summary'!$A$5:$A$14,0))</f>
        <v>1.49514563106796</v>
      </c>
      <c r="K1031" s="42" t="n">
        <f aca="false">(F1031-INDEX('Cohort Summary'!$H$5:$H$14,MATCH($A1031,'Cohort Summary'!$A$5:$A$14,0)))/INDEX('Cohort Summary'!$I$5:$I$14,MATCH($A1031,'Cohort Summary'!$A$5:$A$14,0))</f>
        <v>1.36458333333333</v>
      </c>
      <c r="L1031" s="42" t="n">
        <f aca="false">(G1031-INDEX('Cohort Summary'!$J$5:$J$14,MATCH($A1031,'Cohort Summary'!$A$5:$A$14,0)))/INDEX('Cohort Summary'!$K$5:$K$14,MATCH($A1031,'Cohort Summary'!$A$5:$A$14,0))</f>
        <v>-1.46296296296296</v>
      </c>
      <c r="M1031" s="42" t="n">
        <f aca="false">MAX(I1031:K1031)</f>
        <v>1.49514563106796</v>
      </c>
      <c r="N1031" s="27" t="s">
        <v>197</v>
      </c>
      <c r="O1031" s="27"/>
      <c r="P1031" s="27" t="str">
        <f aca="false">A1031&amp;"|"&amp;N1031</f>
        <v>NURSE-06|normal</v>
      </c>
    </row>
    <row r="1032" customFormat="false" ht="15" hidden="false" customHeight="true" outlineLevel="0" collapsed="false">
      <c r="A1032" s="27" t="s">
        <v>91</v>
      </c>
      <c r="B1032" s="41" t="n">
        <v>46303.3020833333</v>
      </c>
      <c r="C1032" s="27" t="s">
        <v>195</v>
      </c>
      <c r="D1032" s="27" t="n">
        <v>42.5</v>
      </c>
      <c r="E1032" s="27" t="n">
        <v>24.5</v>
      </c>
      <c r="F1032" s="27" t="n">
        <v>24.9</v>
      </c>
      <c r="G1032" s="27" t="n">
        <v>33.8</v>
      </c>
      <c r="H1032" s="27" t="s">
        <v>199</v>
      </c>
      <c r="I1032" s="42" t="n">
        <f aca="false">(D1032-INDEX('Cohort Summary'!$D$5:$D$14,MATCH($A1032,'Cohort Summary'!$A$5:$A$14,0)))/INDEX('Cohort Summary'!$E$5:$E$14,MATCH($A1032,'Cohort Summary'!$A$5:$A$14,0))</f>
        <v>0.0958904109589045</v>
      </c>
      <c r="J1032" s="42" t="n">
        <f aca="false">(E1032-INDEX('Cohort Summary'!$F$5:$F$14,MATCH($A1032,'Cohort Summary'!$A$5:$A$14,0)))/INDEX('Cohort Summary'!$G$5:$G$14,MATCH($A1032,'Cohort Summary'!$A$5:$A$14,0))</f>
        <v>1.3495145631068</v>
      </c>
      <c r="K1032" s="42" t="n">
        <f aca="false">(F1032-INDEX('Cohort Summary'!$H$5:$H$14,MATCH($A1032,'Cohort Summary'!$A$5:$A$14,0)))/INDEX('Cohort Summary'!$I$5:$I$14,MATCH($A1032,'Cohort Summary'!$A$5:$A$14,0))</f>
        <v>-1.48263888888889</v>
      </c>
      <c r="L1032" s="42" t="n">
        <f aca="false">(G1032-INDEX('Cohort Summary'!$J$5:$J$14,MATCH($A1032,'Cohort Summary'!$A$5:$A$14,0)))/INDEX('Cohort Summary'!$K$5:$K$14,MATCH($A1032,'Cohort Summary'!$A$5:$A$14,0))</f>
        <v>1.68518518518518</v>
      </c>
      <c r="M1032" s="42" t="n">
        <f aca="false">MAX(I1032:K1032)</f>
        <v>1.3495145631068</v>
      </c>
      <c r="N1032" s="27" t="s">
        <v>197</v>
      </c>
      <c r="O1032" s="27"/>
      <c r="P1032" s="27" t="str">
        <f aca="false">A1032&amp;"|"&amp;N1032</f>
        <v>NURSE-06|normal</v>
      </c>
    </row>
    <row r="1033" customFormat="false" ht="15" hidden="false" customHeight="true" outlineLevel="0" collapsed="false">
      <c r="A1033" s="27" t="s">
        <v>91</v>
      </c>
      <c r="B1033" s="41" t="n">
        <v>46303.3024305556</v>
      </c>
      <c r="C1033" s="27" t="s">
        <v>195</v>
      </c>
      <c r="D1033" s="27" t="n">
        <v>45.4</v>
      </c>
      <c r="E1033" s="27" t="n">
        <v>18.3</v>
      </c>
      <c r="F1033" s="27" t="n">
        <v>29</v>
      </c>
      <c r="G1033" s="27" t="n">
        <v>33.4</v>
      </c>
      <c r="H1033" s="27" t="s">
        <v>199</v>
      </c>
      <c r="I1033" s="42" t="n">
        <f aca="false">(D1033-INDEX('Cohort Summary'!$D$5:$D$14,MATCH($A1033,'Cohort Summary'!$A$5:$A$14,0)))/INDEX('Cohort Summary'!$E$5:$E$14,MATCH($A1033,'Cohort Summary'!$A$5:$A$14,0))</f>
        <v>1.08904109589041</v>
      </c>
      <c r="J1033" s="42" t="n">
        <f aca="false">(E1033-INDEX('Cohort Summary'!$F$5:$F$14,MATCH($A1033,'Cohort Summary'!$A$5:$A$14,0)))/INDEX('Cohort Summary'!$G$5:$G$14,MATCH($A1033,'Cohort Summary'!$A$5:$A$14,0))</f>
        <v>-1.66019417475728</v>
      </c>
      <c r="K1033" s="42" t="n">
        <f aca="false">(F1033-INDEX('Cohort Summary'!$H$5:$H$14,MATCH($A1033,'Cohort Summary'!$A$5:$A$14,0)))/INDEX('Cohort Summary'!$I$5:$I$14,MATCH($A1033,'Cohort Summary'!$A$5:$A$14,0))</f>
        <v>-0.0590277777777784</v>
      </c>
      <c r="L1033" s="42" t="n">
        <f aca="false">(G1033-INDEX('Cohort Summary'!$J$5:$J$14,MATCH($A1033,'Cohort Summary'!$A$5:$A$14,0)))/INDEX('Cohort Summary'!$K$5:$K$14,MATCH($A1033,'Cohort Summary'!$A$5:$A$14,0))</f>
        <v>0.944444444444441</v>
      </c>
      <c r="M1033" s="42" t="n">
        <f aca="false">MAX(I1033:K1033)</f>
        <v>1.08904109589041</v>
      </c>
      <c r="N1033" s="27" t="s">
        <v>197</v>
      </c>
      <c r="O1033" s="27"/>
      <c r="P1033" s="27" t="str">
        <f aca="false">A1033&amp;"|"&amp;N1033</f>
        <v>NURSE-06|normal</v>
      </c>
    </row>
    <row r="1034" customFormat="false" ht="15" hidden="false" customHeight="true" outlineLevel="0" collapsed="false">
      <c r="A1034" s="27" t="s">
        <v>91</v>
      </c>
      <c r="B1034" s="41" t="n">
        <v>46303.3027777778</v>
      </c>
      <c r="C1034" s="27" t="s">
        <v>195</v>
      </c>
      <c r="D1034" s="27" t="n">
        <v>37.9</v>
      </c>
      <c r="E1034" s="27" t="n">
        <v>24.1</v>
      </c>
      <c r="F1034" s="27" t="n">
        <v>31.5</v>
      </c>
      <c r="G1034" s="27" t="n">
        <v>33.1</v>
      </c>
      <c r="H1034" s="27" t="s">
        <v>199</v>
      </c>
      <c r="I1034" s="42" t="n">
        <f aca="false">(D1034-INDEX('Cohort Summary'!$D$5:$D$14,MATCH($A1034,'Cohort Summary'!$A$5:$A$14,0)))/INDEX('Cohort Summary'!$E$5:$E$14,MATCH($A1034,'Cohort Summary'!$A$5:$A$14,0))</f>
        <v>-1.47945205479452</v>
      </c>
      <c r="J1034" s="42" t="n">
        <f aca="false">(E1034-INDEX('Cohort Summary'!$F$5:$F$14,MATCH($A1034,'Cohort Summary'!$A$5:$A$14,0)))/INDEX('Cohort Summary'!$G$5:$G$14,MATCH($A1034,'Cohort Summary'!$A$5:$A$14,0))</f>
        <v>1.15533980582524</v>
      </c>
      <c r="K1034" s="42" t="n">
        <f aca="false">(F1034-INDEX('Cohort Summary'!$H$5:$H$14,MATCH($A1034,'Cohort Summary'!$A$5:$A$14,0)))/INDEX('Cohort Summary'!$I$5:$I$14,MATCH($A1034,'Cohort Summary'!$A$5:$A$14,0))</f>
        <v>0.809027777777777</v>
      </c>
      <c r="L1034" s="42" t="n">
        <f aca="false">(G1034-INDEX('Cohort Summary'!$J$5:$J$14,MATCH($A1034,'Cohort Summary'!$A$5:$A$14,0)))/INDEX('Cohort Summary'!$K$5:$K$14,MATCH($A1034,'Cohort Summary'!$A$5:$A$14,0))</f>
        <v>0.38888888888889</v>
      </c>
      <c r="M1034" s="42" t="n">
        <f aca="false">MAX(I1034:K1034)</f>
        <v>1.15533980582524</v>
      </c>
      <c r="N1034" s="27" t="s">
        <v>197</v>
      </c>
      <c r="O1034" s="27"/>
      <c r="P1034" s="27" t="str">
        <f aca="false">A1034&amp;"|"&amp;N1034</f>
        <v>NURSE-06|normal</v>
      </c>
    </row>
    <row r="1035" customFormat="false" ht="15" hidden="false" customHeight="true" outlineLevel="0" collapsed="false">
      <c r="A1035" s="27" t="s">
        <v>91</v>
      </c>
      <c r="B1035" s="41" t="n">
        <v>46303.303125</v>
      </c>
      <c r="C1035" s="27" t="s">
        <v>195</v>
      </c>
      <c r="D1035" s="27" t="n">
        <v>37.4</v>
      </c>
      <c r="E1035" s="27" t="n">
        <v>18.4</v>
      </c>
      <c r="F1035" s="27" t="n">
        <v>25.2</v>
      </c>
      <c r="G1035" s="27" t="n">
        <v>31.9</v>
      </c>
      <c r="H1035" s="27" t="s">
        <v>196</v>
      </c>
      <c r="I1035" s="42" t="n">
        <f aca="false">(D1035-INDEX('Cohort Summary'!$D$5:$D$14,MATCH($A1035,'Cohort Summary'!$A$5:$A$14,0)))/INDEX('Cohort Summary'!$E$5:$E$14,MATCH($A1035,'Cohort Summary'!$A$5:$A$14,0))</f>
        <v>-1.65068493150685</v>
      </c>
      <c r="J1035" s="42" t="n">
        <f aca="false">(E1035-INDEX('Cohort Summary'!$F$5:$F$14,MATCH($A1035,'Cohort Summary'!$A$5:$A$14,0)))/INDEX('Cohort Summary'!$G$5:$G$14,MATCH($A1035,'Cohort Summary'!$A$5:$A$14,0))</f>
        <v>-1.61165048543689</v>
      </c>
      <c r="K1035" s="42" t="n">
        <f aca="false">(F1035-INDEX('Cohort Summary'!$H$5:$H$14,MATCH($A1035,'Cohort Summary'!$A$5:$A$14,0)))/INDEX('Cohort Summary'!$I$5:$I$14,MATCH($A1035,'Cohort Summary'!$A$5:$A$14,0))</f>
        <v>-1.37847222222222</v>
      </c>
      <c r="L1035" s="42" t="n">
        <f aca="false">(G1035-INDEX('Cohort Summary'!$J$5:$J$14,MATCH($A1035,'Cohort Summary'!$A$5:$A$14,0)))/INDEX('Cohort Summary'!$K$5:$K$14,MATCH($A1035,'Cohort Summary'!$A$5:$A$14,0))</f>
        <v>-1.83333333333334</v>
      </c>
      <c r="M1035" s="42" t="n">
        <f aca="false">MAX(I1035:K1035)</f>
        <v>-1.37847222222222</v>
      </c>
      <c r="N1035" s="27" t="s">
        <v>197</v>
      </c>
      <c r="O1035" s="27"/>
      <c r="P1035" s="27" t="str">
        <f aca="false">A1035&amp;"|"&amp;N1035</f>
        <v>NURSE-06|normal</v>
      </c>
    </row>
    <row r="1036" customFormat="false" ht="15" hidden="false" customHeight="true" outlineLevel="0" collapsed="false">
      <c r="A1036" s="27" t="s">
        <v>91</v>
      </c>
      <c r="B1036" s="41" t="n">
        <v>46303.3034722222</v>
      </c>
      <c r="C1036" s="27" t="s">
        <v>195</v>
      </c>
      <c r="D1036" s="27" t="n">
        <v>43.9</v>
      </c>
      <c r="E1036" s="27" t="n">
        <v>19.2</v>
      </c>
      <c r="F1036" s="27" t="n">
        <v>28.6</v>
      </c>
      <c r="G1036" s="27" t="n">
        <v>32.1</v>
      </c>
      <c r="H1036" s="27" t="s">
        <v>198</v>
      </c>
      <c r="I1036" s="42" t="n">
        <f aca="false">(D1036-INDEX('Cohort Summary'!$D$5:$D$14,MATCH($A1036,'Cohort Summary'!$A$5:$A$14,0)))/INDEX('Cohort Summary'!$E$5:$E$14,MATCH($A1036,'Cohort Summary'!$A$5:$A$14,0))</f>
        <v>0.575342465753425</v>
      </c>
      <c r="J1036" s="42" t="n">
        <f aca="false">(E1036-INDEX('Cohort Summary'!$F$5:$F$14,MATCH($A1036,'Cohort Summary'!$A$5:$A$14,0)))/INDEX('Cohort Summary'!$G$5:$G$14,MATCH($A1036,'Cohort Summary'!$A$5:$A$14,0))</f>
        <v>-1.22330097087379</v>
      </c>
      <c r="K1036" s="42" t="n">
        <f aca="false">(F1036-INDEX('Cohort Summary'!$H$5:$H$14,MATCH($A1036,'Cohort Summary'!$A$5:$A$14,0)))/INDEX('Cohort Summary'!$I$5:$I$14,MATCH($A1036,'Cohort Summary'!$A$5:$A$14,0))</f>
        <v>-0.197916666666667</v>
      </c>
      <c r="L1036" s="42" t="n">
        <f aca="false">(G1036-INDEX('Cohort Summary'!$J$5:$J$14,MATCH($A1036,'Cohort Summary'!$A$5:$A$14,0)))/INDEX('Cohort Summary'!$K$5:$K$14,MATCH($A1036,'Cohort Summary'!$A$5:$A$14,0))</f>
        <v>-1.46296296296296</v>
      </c>
      <c r="M1036" s="42" t="n">
        <f aca="false">MAX(I1036:K1036)</f>
        <v>0.575342465753425</v>
      </c>
      <c r="N1036" s="27" t="s">
        <v>197</v>
      </c>
      <c r="O1036" s="27"/>
      <c r="P1036" s="27" t="str">
        <f aca="false">A1036&amp;"|"&amp;N1036</f>
        <v>NURSE-06|normal</v>
      </c>
    </row>
    <row r="1037" customFormat="false" ht="15" hidden="false" customHeight="true" outlineLevel="0" collapsed="false">
      <c r="A1037" s="27" t="s">
        <v>91</v>
      </c>
      <c r="B1037" s="41" t="n">
        <v>46303.3038194445</v>
      </c>
      <c r="C1037" s="27" t="s">
        <v>195</v>
      </c>
      <c r="D1037" s="27" t="n">
        <v>43.1</v>
      </c>
      <c r="E1037" s="27" t="n">
        <v>22.7</v>
      </c>
      <c r="F1037" s="27" t="n">
        <v>33.7</v>
      </c>
      <c r="G1037" s="27" t="n">
        <v>32.6</v>
      </c>
      <c r="H1037" s="27" t="s">
        <v>199</v>
      </c>
      <c r="I1037" s="42" t="n">
        <f aca="false">(D1037-INDEX('Cohort Summary'!$D$5:$D$14,MATCH($A1037,'Cohort Summary'!$A$5:$A$14,0)))/INDEX('Cohort Summary'!$E$5:$E$14,MATCH($A1037,'Cohort Summary'!$A$5:$A$14,0))</f>
        <v>0.3013698630137</v>
      </c>
      <c r="J1037" s="42" t="n">
        <f aca="false">(E1037-INDEX('Cohort Summary'!$F$5:$F$14,MATCH($A1037,'Cohort Summary'!$A$5:$A$14,0)))/INDEX('Cohort Summary'!$G$5:$G$14,MATCH($A1037,'Cohort Summary'!$A$5:$A$14,0))</f>
        <v>0.475728155339806</v>
      </c>
      <c r="K1037" s="42" t="n">
        <f aca="false">(F1037-INDEX('Cohort Summary'!$H$5:$H$14,MATCH($A1037,'Cohort Summary'!$A$5:$A$14,0)))/INDEX('Cohort Summary'!$I$5:$I$14,MATCH($A1037,'Cohort Summary'!$A$5:$A$14,0))</f>
        <v>1.57291666666667</v>
      </c>
      <c r="L1037" s="42" t="n">
        <f aca="false">(G1037-INDEX('Cohort Summary'!$J$5:$J$14,MATCH($A1037,'Cohort Summary'!$A$5:$A$14,0)))/INDEX('Cohort Summary'!$K$5:$K$14,MATCH($A1037,'Cohort Summary'!$A$5:$A$14,0))</f>
        <v>-0.537037037037035</v>
      </c>
      <c r="M1037" s="42" t="n">
        <f aca="false">MAX(I1037:K1037)</f>
        <v>1.57291666666667</v>
      </c>
      <c r="N1037" s="27" t="s">
        <v>197</v>
      </c>
      <c r="O1037" s="27"/>
      <c r="P1037" s="27" t="str">
        <f aca="false">A1037&amp;"|"&amp;N1037</f>
        <v>NURSE-06|normal</v>
      </c>
    </row>
    <row r="1038" customFormat="false" ht="15" hidden="false" customHeight="true" outlineLevel="0" collapsed="false">
      <c r="A1038" s="27" t="s">
        <v>91</v>
      </c>
      <c r="B1038" s="41" t="n">
        <v>46303.3041666667</v>
      </c>
      <c r="C1038" s="27" t="s">
        <v>195</v>
      </c>
      <c r="D1038" s="27" t="n">
        <v>40.3</v>
      </c>
      <c r="E1038" s="27" t="n">
        <v>20.9</v>
      </c>
      <c r="F1038" s="27" t="n">
        <v>28.5</v>
      </c>
      <c r="G1038" s="27" t="n">
        <v>32.9</v>
      </c>
      <c r="H1038" s="27" t="s">
        <v>198</v>
      </c>
      <c r="I1038" s="42" t="n">
        <f aca="false">(D1038-INDEX('Cohort Summary'!$D$5:$D$14,MATCH($A1038,'Cohort Summary'!$A$5:$A$14,0)))/INDEX('Cohort Summary'!$E$5:$E$14,MATCH($A1038,'Cohort Summary'!$A$5:$A$14,0))</f>
        <v>-0.657534246575343</v>
      </c>
      <c r="J1038" s="42" t="n">
        <f aca="false">(E1038-INDEX('Cohort Summary'!$F$5:$F$14,MATCH($A1038,'Cohort Summary'!$A$5:$A$14,0)))/INDEX('Cohort Summary'!$G$5:$G$14,MATCH($A1038,'Cohort Summary'!$A$5:$A$14,0))</f>
        <v>-0.398058252427185</v>
      </c>
      <c r="K1038" s="42" t="n">
        <f aca="false">(F1038-INDEX('Cohort Summary'!$H$5:$H$14,MATCH($A1038,'Cohort Summary'!$A$5:$A$14,0)))/INDEX('Cohort Summary'!$I$5:$I$14,MATCH($A1038,'Cohort Summary'!$A$5:$A$14,0))</f>
        <v>-0.232638888888889</v>
      </c>
      <c r="L1038" s="42" t="n">
        <f aca="false">(G1038-INDEX('Cohort Summary'!$J$5:$J$14,MATCH($A1038,'Cohort Summary'!$A$5:$A$14,0)))/INDEX('Cohort Summary'!$K$5:$K$14,MATCH($A1038,'Cohort Summary'!$A$5:$A$14,0))</f>
        <v>0.0185185185185148</v>
      </c>
      <c r="M1038" s="42" t="n">
        <f aca="false">MAX(I1038:K1038)</f>
        <v>-0.232638888888889</v>
      </c>
      <c r="N1038" s="27" t="s">
        <v>197</v>
      </c>
      <c r="O1038" s="27"/>
      <c r="P1038" s="27" t="str">
        <f aca="false">A1038&amp;"|"&amp;N1038</f>
        <v>NURSE-06|normal</v>
      </c>
    </row>
    <row r="1039" customFormat="false" ht="15" hidden="false" customHeight="true" outlineLevel="0" collapsed="false">
      <c r="A1039" s="27" t="s">
        <v>91</v>
      </c>
      <c r="B1039" s="41" t="n">
        <v>46303.3045138889</v>
      </c>
      <c r="C1039" s="27" t="s">
        <v>195</v>
      </c>
      <c r="D1039" s="27" t="n">
        <v>46.9</v>
      </c>
      <c r="E1039" s="27" t="n">
        <v>22.9</v>
      </c>
      <c r="F1039" s="27" t="n">
        <v>25.8</v>
      </c>
      <c r="G1039" s="27" t="n">
        <v>32.3</v>
      </c>
      <c r="H1039" s="27" t="s">
        <v>198</v>
      </c>
      <c r="I1039" s="42" t="n">
        <f aca="false">(D1039-INDEX('Cohort Summary'!$D$5:$D$14,MATCH($A1039,'Cohort Summary'!$A$5:$A$14,0)))/INDEX('Cohort Summary'!$E$5:$E$14,MATCH($A1039,'Cohort Summary'!$A$5:$A$14,0))</f>
        <v>1.6027397260274</v>
      </c>
      <c r="J1039" s="42" t="n">
        <f aca="false">(E1039-INDEX('Cohort Summary'!$F$5:$F$14,MATCH($A1039,'Cohort Summary'!$A$5:$A$14,0)))/INDEX('Cohort Summary'!$G$5:$G$14,MATCH($A1039,'Cohort Summary'!$A$5:$A$14,0))</f>
        <v>0.572815533980582</v>
      </c>
      <c r="K1039" s="42" t="n">
        <f aca="false">(F1039-INDEX('Cohort Summary'!$H$5:$H$14,MATCH($A1039,'Cohort Summary'!$A$5:$A$14,0)))/INDEX('Cohort Summary'!$I$5:$I$14,MATCH($A1039,'Cohort Summary'!$A$5:$A$14,0))</f>
        <v>-1.17013888888889</v>
      </c>
      <c r="L1039" s="42" t="n">
        <f aca="false">(G1039-INDEX('Cohort Summary'!$J$5:$J$14,MATCH($A1039,'Cohort Summary'!$A$5:$A$14,0)))/INDEX('Cohort Summary'!$K$5:$K$14,MATCH($A1039,'Cohort Summary'!$A$5:$A$14,0))</f>
        <v>-1.0925925925926</v>
      </c>
      <c r="M1039" s="42" t="n">
        <f aca="false">MAX(I1039:K1039)</f>
        <v>1.6027397260274</v>
      </c>
      <c r="N1039" s="27" t="s">
        <v>197</v>
      </c>
      <c r="O1039" s="27"/>
      <c r="P1039" s="27" t="str">
        <f aca="false">A1039&amp;"|"&amp;N1039</f>
        <v>NURSE-06|normal</v>
      </c>
    </row>
    <row r="1040" customFormat="false" ht="15" hidden="false" customHeight="true" outlineLevel="0" collapsed="false">
      <c r="A1040" s="27" t="s">
        <v>91</v>
      </c>
      <c r="B1040" s="41" t="n">
        <v>46303.3048611111</v>
      </c>
      <c r="C1040" s="27" t="s">
        <v>195</v>
      </c>
      <c r="D1040" s="27" t="n">
        <v>44.9</v>
      </c>
      <c r="E1040" s="27" t="n">
        <v>22.4</v>
      </c>
      <c r="F1040" s="27" t="n">
        <v>30.6</v>
      </c>
      <c r="G1040" s="27" t="n">
        <v>32.8</v>
      </c>
      <c r="H1040" s="27" t="s">
        <v>196</v>
      </c>
      <c r="I1040" s="42" t="n">
        <f aca="false">(D1040-INDEX('Cohort Summary'!$D$5:$D$14,MATCH($A1040,'Cohort Summary'!$A$5:$A$14,0)))/INDEX('Cohort Summary'!$E$5:$E$14,MATCH($A1040,'Cohort Summary'!$A$5:$A$14,0))</f>
        <v>0.917808219178082</v>
      </c>
      <c r="J1040" s="42" t="n">
        <f aca="false">(E1040-INDEX('Cohort Summary'!$F$5:$F$14,MATCH($A1040,'Cohort Summary'!$A$5:$A$14,0)))/INDEX('Cohort Summary'!$G$5:$G$14,MATCH($A1040,'Cohort Summary'!$A$5:$A$14,0))</f>
        <v>0.330097087378641</v>
      </c>
      <c r="K1040" s="42" t="n">
        <f aca="false">(F1040-INDEX('Cohort Summary'!$H$5:$H$14,MATCH($A1040,'Cohort Summary'!$A$5:$A$14,0)))/INDEX('Cohort Summary'!$I$5:$I$14,MATCH($A1040,'Cohort Summary'!$A$5:$A$14,0))</f>
        <v>0.496527777777778</v>
      </c>
      <c r="L1040" s="42" t="n">
        <f aca="false">(G1040-INDEX('Cohort Summary'!$J$5:$J$14,MATCH($A1040,'Cohort Summary'!$A$5:$A$14,0)))/INDEX('Cohort Summary'!$K$5:$K$14,MATCH($A1040,'Cohort Summary'!$A$5:$A$14,0))</f>
        <v>-0.166666666666673</v>
      </c>
      <c r="M1040" s="42" t="n">
        <f aca="false">MAX(I1040:K1040)</f>
        <v>0.917808219178082</v>
      </c>
      <c r="N1040" s="27" t="s">
        <v>197</v>
      </c>
      <c r="O1040" s="27"/>
      <c r="P1040" s="27" t="str">
        <f aca="false">A1040&amp;"|"&amp;N1040</f>
        <v>NURSE-06|normal</v>
      </c>
    </row>
    <row r="1041" customFormat="false" ht="15" hidden="false" customHeight="true" outlineLevel="0" collapsed="false">
      <c r="A1041" s="27" t="s">
        <v>91</v>
      </c>
      <c r="B1041" s="41" t="n">
        <v>46303.3052083333</v>
      </c>
      <c r="C1041" s="27" t="s">
        <v>195</v>
      </c>
      <c r="D1041" s="27" t="n">
        <v>43.8</v>
      </c>
      <c r="E1041" s="27" t="n">
        <v>18.2</v>
      </c>
      <c r="F1041" s="27" t="n">
        <v>28.4</v>
      </c>
      <c r="G1041" s="27" t="n">
        <v>33.5</v>
      </c>
      <c r="H1041" s="27" t="s">
        <v>196</v>
      </c>
      <c r="I1041" s="42" t="n">
        <f aca="false">(D1041-INDEX('Cohort Summary'!$D$5:$D$14,MATCH($A1041,'Cohort Summary'!$A$5:$A$14,0)))/INDEX('Cohort Summary'!$E$5:$E$14,MATCH($A1041,'Cohort Summary'!$A$5:$A$14,0))</f>
        <v>0.541095890410958</v>
      </c>
      <c r="J1041" s="42" t="n">
        <f aca="false">(E1041-INDEX('Cohort Summary'!$F$5:$F$14,MATCH($A1041,'Cohort Summary'!$A$5:$A$14,0)))/INDEX('Cohort Summary'!$G$5:$G$14,MATCH($A1041,'Cohort Summary'!$A$5:$A$14,0))</f>
        <v>-1.70873786407767</v>
      </c>
      <c r="K1041" s="42" t="n">
        <f aca="false">(F1041-INDEX('Cohort Summary'!$H$5:$H$14,MATCH($A1041,'Cohort Summary'!$A$5:$A$14,0)))/INDEX('Cohort Summary'!$I$5:$I$14,MATCH($A1041,'Cohort Summary'!$A$5:$A$14,0))</f>
        <v>-0.267361111111112</v>
      </c>
      <c r="L1041" s="42" t="n">
        <f aca="false">(G1041-INDEX('Cohort Summary'!$J$5:$J$14,MATCH($A1041,'Cohort Summary'!$A$5:$A$14,0)))/INDEX('Cohort Summary'!$K$5:$K$14,MATCH($A1041,'Cohort Summary'!$A$5:$A$14,0))</f>
        <v>1.12962962962963</v>
      </c>
      <c r="M1041" s="42" t="n">
        <f aca="false">MAX(I1041:K1041)</f>
        <v>0.541095890410958</v>
      </c>
      <c r="N1041" s="27" t="s">
        <v>197</v>
      </c>
      <c r="O1041" s="27"/>
      <c r="P1041" s="27" t="str">
        <f aca="false">A1041&amp;"|"&amp;N1041</f>
        <v>NURSE-06|normal</v>
      </c>
    </row>
    <row r="1042" customFormat="false" ht="15" hidden="false" customHeight="true" outlineLevel="0" collapsed="false">
      <c r="A1042" s="27" t="s">
        <v>91</v>
      </c>
      <c r="B1042" s="41" t="n">
        <v>46303.3055555556</v>
      </c>
      <c r="C1042" s="27" t="s">
        <v>195</v>
      </c>
      <c r="D1042" s="27" t="n">
        <v>37.1</v>
      </c>
      <c r="E1042" s="27" t="n">
        <v>21.1</v>
      </c>
      <c r="F1042" s="27" t="n">
        <v>24.2</v>
      </c>
      <c r="G1042" s="27" t="n">
        <v>33.2</v>
      </c>
      <c r="H1042" s="27" t="s">
        <v>196</v>
      </c>
      <c r="I1042" s="42" t="n">
        <f aca="false">(D1042-INDEX('Cohort Summary'!$D$5:$D$14,MATCH($A1042,'Cohort Summary'!$A$5:$A$14,0)))/INDEX('Cohort Summary'!$E$5:$E$14,MATCH($A1042,'Cohort Summary'!$A$5:$A$14,0))</f>
        <v>-1.75342465753425</v>
      </c>
      <c r="J1042" s="42" t="n">
        <f aca="false">(E1042-INDEX('Cohort Summary'!$F$5:$F$14,MATCH($A1042,'Cohort Summary'!$A$5:$A$14,0)))/INDEX('Cohort Summary'!$G$5:$G$14,MATCH($A1042,'Cohort Summary'!$A$5:$A$14,0))</f>
        <v>-0.300970873786407</v>
      </c>
      <c r="K1042" s="42" t="n">
        <f aca="false">(F1042-INDEX('Cohort Summary'!$H$5:$H$14,MATCH($A1042,'Cohort Summary'!$A$5:$A$14,0)))/INDEX('Cohort Summary'!$I$5:$I$14,MATCH($A1042,'Cohort Summary'!$A$5:$A$14,0))</f>
        <v>-1.72569444444445</v>
      </c>
      <c r="L1042" s="42" t="n">
        <f aca="false">(G1042-INDEX('Cohort Summary'!$J$5:$J$14,MATCH($A1042,'Cohort Summary'!$A$5:$A$14,0)))/INDEX('Cohort Summary'!$K$5:$K$14,MATCH($A1042,'Cohort Summary'!$A$5:$A$14,0))</f>
        <v>0.574074074074078</v>
      </c>
      <c r="M1042" s="42" t="n">
        <f aca="false">MAX(I1042:K1042)</f>
        <v>-0.300970873786407</v>
      </c>
      <c r="N1042" s="27" t="s">
        <v>197</v>
      </c>
      <c r="O1042" s="27"/>
      <c r="P1042" s="27" t="str">
        <f aca="false">A1042&amp;"|"&amp;N1042</f>
        <v>NURSE-06|normal</v>
      </c>
    </row>
    <row r="1043" customFormat="false" ht="15" hidden="false" customHeight="true" outlineLevel="0" collapsed="false">
      <c r="A1043" s="27" t="s">
        <v>91</v>
      </c>
      <c r="B1043" s="41" t="n">
        <v>46303.3059027778</v>
      </c>
      <c r="C1043" s="27" t="s">
        <v>195</v>
      </c>
      <c r="D1043" s="27" t="n">
        <v>41</v>
      </c>
      <c r="E1043" s="27" t="n">
        <v>24.6</v>
      </c>
      <c r="F1043" s="27" t="n">
        <v>32.6</v>
      </c>
      <c r="G1043" s="27" t="n">
        <v>33.7</v>
      </c>
      <c r="H1043" s="27" t="s">
        <v>196</v>
      </c>
      <c r="I1043" s="42" t="n">
        <f aca="false">(D1043-INDEX('Cohort Summary'!$D$5:$D$14,MATCH($A1043,'Cohort Summary'!$A$5:$A$14,0)))/INDEX('Cohort Summary'!$E$5:$E$14,MATCH($A1043,'Cohort Summary'!$A$5:$A$14,0))</f>
        <v>-0.417808219178082</v>
      </c>
      <c r="J1043" s="42" t="n">
        <f aca="false">(E1043-INDEX('Cohort Summary'!$F$5:$F$14,MATCH($A1043,'Cohort Summary'!$A$5:$A$14,0)))/INDEX('Cohort Summary'!$G$5:$G$14,MATCH($A1043,'Cohort Summary'!$A$5:$A$14,0))</f>
        <v>1.39805825242719</v>
      </c>
      <c r="K1043" s="42" t="n">
        <f aca="false">(F1043-INDEX('Cohort Summary'!$H$5:$H$14,MATCH($A1043,'Cohort Summary'!$A$5:$A$14,0)))/INDEX('Cohort Summary'!$I$5:$I$14,MATCH($A1043,'Cohort Summary'!$A$5:$A$14,0))</f>
        <v>1.19097222222222</v>
      </c>
      <c r="L1043" s="42" t="n">
        <f aca="false">(G1043-INDEX('Cohort Summary'!$J$5:$J$14,MATCH($A1043,'Cohort Summary'!$A$5:$A$14,0)))/INDEX('Cohort Summary'!$K$5:$K$14,MATCH($A1043,'Cohort Summary'!$A$5:$A$14,0))</f>
        <v>1.5</v>
      </c>
      <c r="M1043" s="42" t="n">
        <f aca="false">MAX(I1043:K1043)</f>
        <v>1.39805825242719</v>
      </c>
      <c r="N1043" s="27" t="s">
        <v>197</v>
      </c>
      <c r="O1043" s="27"/>
      <c r="P1043" s="27" t="str">
        <f aca="false">A1043&amp;"|"&amp;N1043</f>
        <v>NURSE-06|normal</v>
      </c>
    </row>
    <row r="1044" customFormat="false" ht="15" hidden="false" customHeight="true" outlineLevel="0" collapsed="false">
      <c r="A1044" s="27" t="s">
        <v>91</v>
      </c>
      <c r="B1044" s="41" t="n">
        <v>46303.30625</v>
      </c>
      <c r="C1044" s="27" t="s">
        <v>195</v>
      </c>
      <c r="D1044" s="27" t="n">
        <v>42.2</v>
      </c>
      <c r="E1044" s="27" t="n">
        <v>21.5</v>
      </c>
      <c r="F1044" s="27" t="n">
        <v>30.9</v>
      </c>
      <c r="G1044" s="27" t="n">
        <v>32.2</v>
      </c>
      <c r="H1044" s="27" t="s">
        <v>196</v>
      </c>
      <c r="I1044" s="42" t="n">
        <f aca="false">(D1044-INDEX('Cohort Summary'!$D$5:$D$14,MATCH($A1044,'Cohort Summary'!$A$5:$A$14,0)))/INDEX('Cohort Summary'!$E$5:$E$14,MATCH($A1044,'Cohort Summary'!$A$5:$A$14,0))</f>
        <v>-0.00684931506849179</v>
      </c>
      <c r="J1044" s="42" t="n">
        <f aca="false">(E1044-INDEX('Cohort Summary'!$F$5:$F$14,MATCH($A1044,'Cohort Summary'!$A$5:$A$14,0)))/INDEX('Cohort Summary'!$G$5:$G$14,MATCH($A1044,'Cohort Summary'!$A$5:$A$14,0))</f>
        <v>-0.106796116504854</v>
      </c>
      <c r="K1044" s="42" t="n">
        <f aca="false">(F1044-INDEX('Cohort Summary'!$H$5:$H$14,MATCH($A1044,'Cohort Summary'!$A$5:$A$14,0)))/INDEX('Cohort Summary'!$I$5:$I$14,MATCH($A1044,'Cohort Summary'!$A$5:$A$14,0))</f>
        <v>0.600694444444443</v>
      </c>
      <c r="L1044" s="42" t="n">
        <f aca="false">(G1044-INDEX('Cohort Summary'!$J$5:$J$14,MATCH($A1044,'Cohort Summary'!$A$5:$A$14,0)))/INDEX('Cohort Summary'!$K$5:$K$14,MATCH($A1044,'Cohort Summary'!$A$5:$A$14,0))</f>
        <v>-1.27777777777777</v>
      </c>
      <c r="M1044" s="42" t="n">
        <f aca="false">MAX(I1044:K1044)</f>
        <v>0.600694444444443</v>
      </c>
      <c r="N1044" s="27" t="s">
        <v>197</v>
      </c>
      <c r="O1044" s="27"/>
      <c r="P1044" s="27" t="str">
        <f aca="false">A1044&amp;"|"&amp;N1044</f>
        <v>NURSE-06|normal</v>
      </c>
    </row>
    <row r="1045" customFormat="false" ht="15" hidden="false" customHeight="true" outlineLevel="0" collapsed="false">
      <c r="A1045" s="27" t="s">
        <v>91</v>
      </c>
      <c r="B1045" s="41" t="n">
        <v>46303.3065972222</v>
      </c>
      <c r="C1045" s="27" t="s">
        <v>195</v>
      </c>
      <c r="D1045" s="27" t="n">
        <v>37</v>
      </c>
      <c r="E1045" s="27" t="n">
        <v>23.6</v>
      </c>
      <c r="F1045" s="27" t="n">
        <v>31.9</v>
      </c>
      <c r="G1045" s="27" t="n">
        <v>32.9</v>
      </c>
      <c r="H1045" s="27" t="s">
        <v>198</v>
      </c>
      <c r="I1045" s="42" t="n">
        <f aca="false">(D1045-INDEX('Cohort Summary'!$D$5:$D$14,MATCH($A1045,'Cohort Summary'!$A$5:$A$14,0)))/INDEX('Cohort Summary'!$E$5:$E$14,MATCH($A1045,'Cohort Summary'!$A$5:$A$14,0))</f>
        <v>-1.78767123287671</v>
      </c>
      <c r="J1045" s="42" t="n">
        <f aca="false">(E1045-INDEX('Cohort Summary'!$F$5:$F$14,MATCH($A1045,'Cohort Summary'!$A$5:$A$14,0)))/INDEX('Cohort Summary'!$G$5:$G$14,MATCH($A1045,'Cohort Summary'!$A$5:$A$14,0))</f>
        <v>0.912621359223302</v>
      </c>
      <c r="K1045" s="42" t="n">
        <f aca="false">(F1045-INDEX('Cohort Summary'!$H$5:$H$14,MATCH($A1045,'Cohort Summary'!$A$5:$A$14,0)))/INDEX('Cohort Summary'!$I$5:$I$14,MATCH($A1045,'Cohort Summary'!$A$5:$A$14,0))</f>
        <v>0.947916666666666</v>
      </c>
      <c r="L1045" s="42" t="n">
        <f aca="false">(G1045-INDEX('Cohort Summary'!$J$5:$J$14,MATCH($A1045,'Cohort Summary'!$A$5:$A$14,0)))/INDEX('Cohort Summary'!$K$5:$K$14,MATCH($A1045,'Cohort Summary'!$A$5:$A$14,0))</f>
        <v>0.0185185185185148</v>
      </c>
      <c r="M1045" s="42" t="n">
        <f aca="false">MAX(I1045:K1045)</f>
        <v>0.947916666666666</v>
      </c>
      <c r="N1045" s="27" t="s">
        <v>197</v>
      </c>
      <c r="O1045" s="27"/>
      <c r="P1045" s="27" t="str">
        <f aca="false">A1045&amp;"|"&amp;N1045</f>
        <v>NURSE-06|normal</v>
      </c>
    </row>
    <row r="1046" customFormat="false" ht="15" hidden="false" customHeight="true" outlineLevel="0" collapsed="false">
      <c r="A1046" s="27" t="s">
        <v>91</v>
      </c>
      <c r="B1046" s="41" t="n">
        <v>46303.3069444444</v>
      </c>
      <c r="C1046" s="27" t="s">
        <v>195</v>
      </c>
      <c r="D1046" s="27" t="n">
        <v>45.4</v>
      </c>
      <c r="E1046" s="27" t="n">
        <v>20.5</v>
      </c>
      <c r="F1046" s="27" t="n">
        <v>31.1</v>
      </c>
      <c r="G1046" s="27" t="n">
        <v>32.3</v>
      </c>
      <c r="H1046" s="27" t="s">
        <v>199</v>
      </c>
      <c r="I1046" s="42" t="n">
        <f aca="false">(D1046-INDEX('Cohort Summary'!$D$5:$D$14,MATCH($A1046,'Cohort Summary'!$A$5:$A$14,0)))/INDEX('Cohort Summary'!$E$5:$E$14,MATCH($A1046,'Cohort Summary'!$A$5:$A$14,0))</f>
        <v>1.08904109589041</v>
      </c>
      <c r="J1046" s="42" t="n">
        <f aca="false">(E1046-INDEX('Cohort Summary'!$F$5:$F$14,MATCH($A1046,'Cohort Summary'!$A$5:$A$14,0)))/INDEX('Cohort Summary'!$G$5:$G$14,MATCH($A1046,'Cohort Summary'!$A$5:$A$14,0))</f>
        <v>-0.592233009708737</v>
      </c>
      <c r="K1046" s="42" t="n">
        <f aca="false">(F1046-INDEX('Cohort Summary'!$H$5:$H$14,MATCH($A1046,'Cohort Summary'!$A$5:$A$14,0)))/INDEX('Cohort Summary'!$I$5:$I$14,MATCH($A1046,'Cohort Summary'!$A$5:$A$14,0))</f>
        <v>0.670138888888889</v>
      </c>
      <c r="L1046" s="42" t="n">
        <f aca="false">(G1046-INDEX('Cohort Summary'!$J$5:$J$14,MATCH($A1046,'Cohort Summary'!$A$5:$A$14,0)))/INDEX('Cohort Summary'!$K$5:$K$14,MATCH($A1046,'Cohort Summary'!$A$5:$A$14,0))</f>
        <v>-1.0925925925926</v>
      </c>
      <c r="M1046" s="42" t="n">
        <f aca="false">MAX(I1046:K1046)</f>
        <v>1.08904109589041</v>
      </c>
      <c r="N1046" s="27" t="s">
        <v>197</v>
      </c>
      <c r="O1046" s="27"/>
      <c r="P1046" s="27" t="str">
        <f aca="false">A1046&amp;"|"&amp;N1046</f>
        <v>NURSE-06|normal</v>
      </c>
    </row>
    <row r="1047" customFormat="false" ht="15" hidden="false" customHeight="true" outlineLevel="0" collapsed="false">
      <c r="A1047" s="27" t="s">
        <v>91</v>
      </c>
      <c r="B1047" s="41" t="n">
        <v>46303.3072916667</v>
      </c>
      <c r="C1047" s="27" t="s">
        <v>195</v>
      </c>
      <c r="D1047" s="27" t="n">
        <v>44.3</v>
      </c>
      <c r="E1047" s="27" t="n">
        <v>20.9</v>
      </c>
      <c r="F1047" s="27" t="n">
        <v>33.6</v>
      </c>
      <c r="G1047" s="27" t="n">
        <v>33.8</v>
      </c>
      <c r="H1047" s="27" t="s">
        <v>196</v>
      </c>
      <c r="I1047" s="42" t="n">
        <f aca="false">(D1047-INDEX('Cohort Summary'!$D$5:$D$14,MATCH($A1047,'Cohort Summary'!$A$5:$A$14,0)))/INDEX('Cohort Summary'!$E$5:$E$14,MATCH($A1047,'Cohort Summary'!$A$5:$A$14,0))</f>
        <v>0.712328767123287</v>
      </c>
      <c r="J1047" s="42" t="n">
        <f aca="false">(E1047-INDEX('Cohort Summary'!$F$5:$F$14,MATCH($A1047,'Cohort Summary'!$A$5:$A$14,0)))/INDEX('Cohort Summary'!$G$5:$G$14,MATCH($A1047,'Cohort Summary'!$A$5:$A$14,0))</f>
        <v>-0.398058252427185</v>
      </c>
      <c r="K1047" s="42" t="n">
        <f aca="false">(F1047-INDEX('Cohort Summary'!$H$5:$H$14,MATCH($A1047,'Cohort Summary'!$A$5:$A$14,0)))/INDEX('Cohort Summary'!$I$5:$I$14,MATCH($A1047,'Cohort Summary'!$A$5:$A$14,0))</f>
        <v>1.53819444444444</v>
      </c>
      <c r="L1047" s="42" t="n">
        <f aca="false">(G1047-INDEX('Cohort Summary'!$J$5:$J$14,MATCH($A1047,'Cohort Summary'!$A$5:$A$14,0)))/INDEX('Cohort Summary'!$K$5:$K$14,MATCH($A1047,'Cohort Summary'!$A$5:$A$14,0))</f>
        <v>1.68518518518518</v>
      </c>
      <c r="M1047" s="42" t="n">
        <f aca="false">MAX(I1047:K1047)</f>
        <v>1.53819444444444</v>
      </c>
      <c r="N1047" s="27" t="s">
        <v>197</v>
      </c>
      <c r="O1047" s="27"/>
      <c r="P1047" s="27" t="str">
        <f aca="false">A1047&amp;"|"&amp;N1047</f>
        <v>NURSE-06|normal</v>
      </c>
    </row>
    <row r="1048" customFormat="false" ht="15" hidden="false" customHeight="true" outlineLevel="0" collapsed="false">
      <c r="A1048" s="27" t="s">
        <v>91</v>
      </c>
      <c r="B1048" s="41" t="n">
        <v>46303.3076388889</v>
      </c>
      <c r="C1048" s="27" t="s">
        <v>195</v>
      </c>
      <c r="D1048" s="27" t="n">
        <v>38.6</v>
      </c>
      <c r="E1048" s="27" t="n">
        <v>24.3</v>
      </c>
      <c r="F1048" s="27" t="n">
        <v>25.9</v>
      </c>
      <c r="G1048" s="27" t="n">
        <v>33.9</v>
      </c>
      <c r="H1048" s="27" t="s">
        <v>198</v>
      </c>
      <c r="I1048" s="42" t="n">
        <f aca="false">(D1048-INDEX('Cohort Summary'!$D$5:$D$14,MATCH($A1048,'Cohort Summary'!$A$5:$A$14,0)))/INDEX('Cohort Summary'!$E$5:$E$14,MATCH($A1048,'Cohort Summary'!$A$5:$A$14,0))</f>
        <v>-1.23972602739726</v>
      </c>
      <c r="J1048" s="42" t="n">
        <f aca="false">(E1048-INDEX('Cohort Summary'!$F$5:$F$14,MATCH($A1048,'Cohort Summary'!$A$5:$A$14,0)))/INDEX('Cohort Summary'!$G$5:$G$14,MATCH($A1048,'Cohort Summary'!$A$5:$A$14,0))</f>
        <v>1.25242718446602</v>
      </c>
      <c r="K1048" s="42" t="n">
        <f aca="false">(F1048-INDEX('Cohort Summary'!$H$5:$H$14,MATCH($A1048,'Cohort Summary'!$A$5:$A$14,0)))/INDEX('Cohort Summary'!$I$5:$I$14,MATCH($A1048,'Cohort Summary'!$A$5:$A$14,0))</f>
        <v>-1.13541666666667</v>
      </c>
      <c r="L1048" s="42" t="n">
        <f aca="false">(G1048-INDEX('Cohort Summary'!$J$5:$J$14,MATCH($A1048,'Cohort Summary'!$A$5:$A$14,0)))/INDEX('Cohort Summary'!$K$5:$K$14,MATCH($A1048,'Cohort Summary'!$A$5:$A$14,0))</f>
        <v>1.87037037037037</v>
      </c>
      <c r="M1048" s="42" t="n">
        <f aca="false">MAX(I1048:K1048)</f>
        <v>1.25242718446602</v>
      </c>
      <c r="N1048" s="27" t="s">
        <v>197</v>
      </c>
      <c r="O1048" s="27"/>
      <c r="P1048" s="27" t="str">
        <f aca="false">A1048&amp;"|"&amp;N1048</f>
        <v>NURSE-06|normal</v>
      </c>
    </row>
    <row r="1049" customFormat="false" ht="15" hidden="false" customHeight="true" outlineLevel="0" collapsed="false">
      <c r="A1049" s="27" t="s">
        <v>91</v>
      </c>
      <c r="B1049" s="41" t="n">
        <v>46303.3079861111</v>
      </c>
      <c r="C1049" s="27" t="s">
        <v>195</v>
      </c>
      <c r="D1049" s="27" t="n">
        <v>44.9</v>
      </c>
      <c r="E1049" s="27" t="n">
        <v>23.5</v>
      </c>
      <c r="F1049" s="27" t="n">
        <v>32.2</v>
      </c>
      <c r="G1049" s="27" t="n">
        <v>33.9</v>
      </c>
      <c r="H1049" s="27" t="s">
        <v>196</v>
      </c>
      <c r="I1049" s="42" t="n">
        <f aca="false">(D1049-INDEX('Cohort Summary'!$D$5:$D$14,MATCH($A1049,'Cohort Summary'!$A$5:$A$14,0)))/INDEX('Cohort Summary'!$E$5:$E$14,MATCH($A1049,'Cohort Summary'!$A$5:$A$14,0))</f>
        <v>0.917808219178082</v>
      </c>
      <c r="J1049" s="42" t="n">
        <f aca="false">(E1049-INDEX('Cohort Summary'!$F$5:$F$14,MATCH($A1049,'Cohort Summary'!$A$5:$A$14,0)))/INDEX('Cohort Summary'!$G$5:$G$14,MATCH($A1049,'Cohort Summary'!$A$5:$A$14,0))</f>
        <v>0.864077669902913</v>
      </c>
      <c r="K1049" s="42" t="n">
        <f aca="false">(F1049-INDEX('Cohort Summary'!$H$5:$H$14,MATCH($A1049,'Cohort Summary'!$A$5:$A$14,0)))/INDEX('Cohort Summary'!$I$5:$I$14,MATCH($A1049,'Cohort Summary'!$A$5:$A$14,0))</f>
        <v>1.05208333333333</v>
      </c>
      <c r="L1049" s="42" t="n">
        <f aca="false">(G1049-INDEX('Cohort Summary'!$J$5:$J$14,MATCH($A1049,'Cohort Summary'!$A$5:$A$14,0)))/INDEX('Cohort Summary'!$K$5:$K$14,MATCH($A1049,'Cohort Summary'!$A$5:$A$14,0))</f>
        <v>1.87037037037037</v>
      </c>
      <c r="M1049" s="42" t="n">
        <f aca="false">MAX(I1049:K1049)</f>
        <v>1.05208333333333</v>
      </c>
      <c r="N1049" s="27" t="s">
        <v>197</v>
      </c>
      <c r="O1049" s="27"/>
      <c r="P1049" s="27" t="str">
        <f aca="false">A1049&amp;"|"&amp;N1049</f>
        <v>NURSE-06|normal</v>
      </c>
    </row>
    <row r="1050" customFormat="false" ht="15" hidden="false" customHeight="true" outlineLevel="0" collapsed="false">
      <c r="A1050" s="27" t="s">
        <v>91</v>
      </c>
      <c r="B1050" s="41" t="n">
        <v>46303.3083333333</v>
      </c>
      <c r="C1050" s="27" t="s">
        <v>195</v>
      </c>
      <c r="D1050" s="27" t="n">
        <v>40.3</v>
      </c>
      <c r="E1050" s="27" t="n">
        <v>22.5</v>
      </c>
      <c r="F1050" s="27" t="n">
        <v>29.6</v>
      </c>
      <c r="G1050" s="27" t="n">
        <v>33.5</v>
      </c>
      <c r="H1050" s="27" t="s">
        <v>199</v>
      </c>
      <c r="I1050" s="42" t="n">
        <f aca="false">(D1050-INDEX('Cohort Summary'!$D$5:$D$14,MATCH($A1050,'Cohort Summary'!$A$5:$A$14,0)))/INDEX('Cohort Summary'!$E$5:$E$14,MATCH($A1050,'Cohort Summary'!$A$5:$A$14,0))</f>
        <v>-0.657534246575343</v>
      </c>
      <c r="J1050" s="42" t="n">
        <f aca="false">(E1050-INDEX('Cohort Summary'!$F$5:$F$14,MATCH($A1050,'Cohort Summary'!$A$5:$A$14,0)))/INDEX('Cohort Summary'!$G$5:$G$14,MATCH($A1050,'Cohort Summary'!$A$5:$A$14,0))</f>
        <v>0.37864077669903</v>
      </c>
      <c r="K1050" s="42" t="n">
        <f aca="false">(F1050-INDEX('Cohort Summary'!$H$5:$H$14,MATCH($A1050,'Cohort Summary'!$A$5:$A$14,0)))/INDEX('Cohort Summary'!$I$5:$I$14,MATCH($A1050,'Cohort Summary'!$A$5:$A$14,0))</f>
        <v>0.149305555555555</v>
      </c>
      <c r="L1050" s="42" t="n">
        <f aca="false">(G1050-INDEX('Cohort Summary'!$J$5:$J$14,MATCH($A1050,'Cohort Summary'!$A$5:$A$14,0)))/INDEX('Cohort Summary'!$K$5:$K$14,MATCH($A1050,'Cohort Summary'!$A$5:$A$14,0))</f>
        <v>1.12962962962963</v>
      </c>
      <c r="M1050" s="42" t="n">
        <f aca="false">MAX(I1050:K1050)</f>
        <v>0.37864077669903</v>
      </c>
      <c r="N1050" s="27" t="s">
        <v>197</v>
      </c>
      <c r="O1050" s="27"/>
      <c r="P1050" s="27" t="str">
        <f aca="false">A1050&amp;"|"&amp;N1050</f>
        <v>NURSE-06|normal</v>
      </c>
    </row>
    <row r="1051" customFormat="false" ht="15" hidden="false" customHeight="true" outlineLevel="0" collapsed="false">
      <c r="A1051" s="27" t="s">
        <v>91</v>
      </c>
      <c r="B1051" s="41" t="n">
        <v>46303.3086805556</v>
      </c>
      <c r="C1051" s="27" t="s">
        <v>195</v>
      </c>
      <c r="D1051" s="27" t="n">
        <v>38.6</v>
      </c>
      <c r="E1051" s="27" t="n">
        <v>24</v>
      </c>
      <c r="F1051" s="27" t="n">
        <v>28.9</v>
      </c>
      <c r="G1051" s="27" t="n">
        <v>32.5</v>
      </c>
      <c r="H1051" s="27" t="s">
        <v>198</v>
      </c>
      <c r="I1051" s="42" t="n">
        <f aca="false">(D1051-INDEX('Cohort Summary'!$D$5:$D$14,MATCH($A1051,'Cohort Summary'!$A$5:$A$14,0)))/INDEX('Cohort Summary'!$E$5:$E$14,MATCH($A1051,'Cohort Summary'!$A$5:$A$14,0))</f>
        <v>-1.23972602739726</v>
      </c>
      <c r="J1051" s="42" t="n">
        <f aca="false">(E1051-INDEX('Cohort Summary'!$F$5:$F$14,MATCH($A1051,'Cohort Summary'!$A$5:$A$14,0)))/INDEX('Cohort Summary'!$G$5:$G$14,MATCH($A1051,'Cohort Summary'!$A$5:$A$14,0))</f>
        <v>1.10679611650486</v>
      </c>
      <c r="K1051" s="42" t="n">
        <f aca="false">(F1051-INDEX('Cohort Summary'!$H$5:$H$14,MATCH($A1051,'Cohort Summary'!$A$5:$A$14,0)))/INDEX('Cohort Summary'!$I$5:$I$14,MATCH($A1051,'Cohort Summary'!$A$5:$A$14,0))</f>
        <v>-0.0937500000000011</v>
      </c>
      <c r="L1051" s="42" t="n">
        <f aca="false">(G1051-INDEX('Cohort Summary'!$J$5:$J$14,MATCH($A1051,'Cohort Summary'!$A$5:$A$14,0)))/INDEX('Cohort Summary'!$K$5:$K$14,MATCH($A1051,'Cohort Summary'!$A$5:$A$14,0))</f>
        <v>-0.722222222222223</v>
      </c>
      <c r="M1051" s="42" t="n">
        <f aca="false">MAX(I1051:K1051)</f>
        <v>1.10679611650486</v>
      </c>
      <c r="N1051" s="27" t="s">
        <v>197</v>
      </c>
      <c r="O1051" s="27"/>
      <c r="P1051" s="27" t="str">
        <f aca="false">A1051&amp;"|"&amp;N1051</f>
        <v>NURSE-06|normal</v>
      </c>
    </row>
    <row r="1052" customFormat="false" ht="15" hidden="false" customHeight="true" outlineLevel="0" collapsed="false">
      <c r="A1052" s="27" t="s">
        <v>91</v>
      </c>
      <c r="B1052" s="41" t="n">
        <v>46303.3090277778</v>
      </c>
      <c r="C1052" s="27" t="s">
        <v>195</v>
      </c>
      <c r="D1052" s="27" t="n">
        <v>41.9</v>
      </c>
      <c r="E1052" s="27" t="n">
        <v>23.8</v>
      </c>
      <c r="F1052" s="27" t="n">
        <v>24.5</v>
      </c>
      <c r="G1052" s="27" t="n">
        <v>32.8</v>
      </c>
      <c r="H1052" s="27" t="s">
        <v>198</v>
      </c>
      <c r="I1052" s="42" t="n">
        <f aca="false">(D1052-INDEX('Cohort Summary'!$D$5:$D$14,MATCH($A1052,'Cohort Summary'!$A$5:$A$14,0)))/INDEX('Cohort Summary'!$E$5:$E$14,MATCH($A1052,'Cohort Summary'!$A$5:$A$14,0))</f>
        <v>-0.109589041095891</v>
      </c>
      <c r="J1052" s="42" t="n">
        <f aca="false">(E1052-INDEX('Cohort Summary'!$F$5:$F$14,MATCH($A1052,'Cohort Summary'!$A$5:$A$14,0)))/INDEX('Cohort Summary'!$G$5:$G$14,MATCH($A1052,'Cohort Summary'!$A$5:$A$14,0))</f>
        <v>1.00970873786408</v>
      </c>
      <c r="K1052" s="42" t="n">
        <f aca="false">(F1052-INDEX('Cohort Summary'!$H$5:$H$14,MATCH($A1052,'Cohort Summary'!$A$5:$A$14,0)))/INDEX('Cohort Summary'!$I$5:$I$14,MATCH($A1052,'Cohort Summary'!$A$5:$A$14,0))</f>
        <v>-1.62152777777778</v>
      </c>
      <c r="L1052" s="42" t="n">
        <f aca="false">(G1052-INDEX('Cohort Summary'!$J$5:$J$14,MATCH($A1052,'Cohort Summary'!$A$5:$A$14,0)))/INDEX('Cohort Summary'!$K$5:$K$14,MATCH($A1052,'Cohort Summary'!$A$5:$A$14,0))</f>
        <v>-0.166666666666673</v>
      </c>
      <c r="M1052" s="42" t="n">
        <f aca="false">MAX(I1052:K1052)</f>
        <v>1.00970873786408</v>
      </c>
      <c r="N1052" s="27" t="s">
        <v>197</v>
      </c>
      <c r="O1052" s="27"/>
      <c r="P1052" s="27" t="str">
        <f aca="false">A1052&amp;"|"&amp;N1052</f>
        <v>NURSE-06|normal</v>
      </c>
    </row>
    <row r="1053" customFormat="false" ht="15" hidden="false" customHeight="true" outlineLevel="0" collapsed="false">
      <c r="A1053" s="27" t="s">
        <v>91</v>
      </c>
      <c r="B1053" s="41" t="n">
        <v>46303.309375</v>
      </c>
      <c r="C1053" s="27" t="s">
        <v>195</v>
      </c>
      <c r="D1053" s="27" t="n">
        <v>42.7</v>
      </c>
      <c r="E1053" s="27" t="n">
        <v>24.4</v>
      </c>
      <c r="F1053" s="27" t="n">
        <v>29.9</v>
      </c>
      <c r="G1053" s="27" t="n">
        <v>32.8</v>
      </c>
      <c r="H1053" s="27" t="s">
        <v>198</v>
      </c>
      <c r="I1053" s="42" t="n">
        <f aca="false">(D1053-INDEX('Cohort Summary'!$D$5:$D$14,MATCH($A1053,'Cohort Summary'!$A$5:$A$14,0)))/INDEX('Cohort Summary'!$E$5:$E$14,MATCH($A1053,'Cohort Summary'!$A$5:$A$14,0))</f>
        <v>0.164383561643837</v>
      </c>
      <c r="J1053" s="42" t="n">
        <f aca="false">(E1053-INDEX('Cohort Summary'!$F$5:$F$14,MATCH($A1053,'Cohort Summary'!$A$5:$A$14,0)))/INDEX('Cohort Summary'!$G$5:$G$14,MATCH($A1053,'Cohort Summary'!$A$5:$A$14,0))</f>
        <v>1.30097087378641</v>
      </c>
      <c r="K1053" s="42" t="n">
        <f aca="false">(F1053-INDEX('Cohort Summary'!$H$5:$H$14,MATCH($A1053,'Cohort Summary'!$A$5:$A$14,0)))/INDEX('Cohort Summary'!$I$5:$I$14,MATCH($A1053,'Cohort Summary'!$A$5:$A$14,0))</f>
        <v>0.253472222222221</v>
      </c>
      <c r="L1053" s="42" t="n">
        <f aca="false">(G1053-INDEX('Cohort Summary'!$J$5:$J$14,MATCH($A1053,'Cohort Summary'!$A$5:$A$14,0)))/INDEX('Cohort Summary'!$K$5:$K$14,MATCH($A1053,'Cohort Summary'!$A$5:$A$14,0))</f>
        <v>-0.166666666666673</v>
      </c>
      <c r="M1053" s="42" t="n">
        <f aca="false">MAX(I1053:K1053)</f>
        <v>1.30097087378641</v>
      </c>
      <c r="N1053" s="27" t="s">
        <v>197</v>
      </c>
      <c r="O1053" s="27"/>
      <c r="P1053" s="27" t="str">
        <f aca="false">A1053&amp;"|"&amp;N1053</f>
        <v>NURSE-06|normal</v>
      </c>
    </row>
    <row r="1054" customFormat="false" ht="15" hidden="false" customHeight="true" outlineLevel="0" collapsed="false">
      <c r="A1054" s="27" t="s">
        <v>91</v>
      </c>
      <c r="B1054" s="41" t="n">
        <v>46303.3097222222</v>
      </c>
      <c r="C1054" s="27" t="s">
        <v>195</v>
      </c>
      <c r="D1054" s="27" t="n">
        <v>37.9</v>
      </c>
      <c r="E1054" s="27" t="n">
        <v>23.4</v>
      </c>
      <c r="F1054" s="27" t="n">
        <v>25</v>
      </c>
      <c r="G1054" s="27" t="n">
        <v>32.5</v>
      </c>
      <c r="H1054" s="27" t="s">
        <v>198</v>
      </c>
      <c r="I1054" s="42" t="n">
        <f aca="false">(D1054-INDEX('Cohort Summary'!$D$5:$D$14,MATCH($A1054,'Cohort Summary'!$A$5:$A$14,0)))/INDEX('Cohort Summary'!$E$5:$E$14,MATCH($A1054,'Cohort Summary'!$A$5:$A$14,0))</f>
        <v>-1.47945205479452</v>
      </c>
      <c r="J1054" s="42" t="n">
        <f aca="false">(E1054-INDEX('Cohort Summary'!$F$5:$F$14,MATCH($A1054,'Cohort Summary'!$A$5:$A$14,0)))/INDEX('Cohort Summary'!$G$5:$G$14,MATCH($A1054,'Cohort Summary'!$A$5:$A$14,0))</f>
        <v>0.815533980582524</v>
      </c>
      <c r="K1054" s="42" t="n">
        <f aca="false">(F1054-INDEX('Cohort Summary'!$H$5:$H$14,MATCH($A1054,'Cohort Summary'!$A$5:$A$14,0)))/INDEX('Cohort Summary'!$I$5:$I$14,MATCH($A1054,'Cohort Summary'!$A$5:$A$14,0))</f>
        <v>-1.44791666666667</v>
      </c>
      <c r="L1054" s="42" t="n">
        <f aca="false">(G1054-INDEX('Cohort Summary'!$J$5:$J$14,MATCH($A1054,'Cohort Summary'!$A$5:$A$14,0)))/INDEX('Cohort Summary'!$K$5:$K$14,MATCH($A1054,'Cohort Summary'!$A$5:$A$14,0))</f>
        <v>-0.722222222222223</v>
      </c>
      <c r="M1054" s="42" t="n">
        <f aca="false">MAX(I1054:K1054)</f>
        <v>0.815533980582524</v>
      </c>
      <c r="N1054" s="27" t="s">
        <v>197</v>
      </c>
      <c r="O1054" s="27"/>
      <c r="P1054" s="27" t="str">
        <f aca="false">A1054&amp;"|"&amp;N1054</f>
        <v>NURSE-06|normal</v>
      </c>
    </row>
    <row r="1055" customFormat="false" ht="15" hidden="false" customHeight="true" outlineLevel="0" collapsed="false">
      <c r="A1055" s="27" t="s">
        <v>91</v>
      </c>
      <c r="B1055" s="41" t="n">
        <v>46303.3100694444</v>
      </c>
      <c r="C1055" s="27" t="s">
        <v>195</v>
      </c>
      <c r="D1055" s="27" t="n">
        <v>43.1</v>
      </c>
      <c r="E1055" s="27" t="n">
        <v>21</v>
      </c>
      <c r="F1055" s="27" t="n">
        <v>32.8</v>
      </c>
      <c r="G1055" s="27" t="n">
        <v>33.5</v>
      </c>
      <c r="H1055" s="27" t="s">
        <v>198</v>
      </c>
      <c r="I1055" s="42" t="n">
        <f aca="false">(D1055-INDEX('Cohort Summary'!$D$5:$D$14,MATCH($A1055,'Cohort Summary'!$A$5:$A$14,0)))/INDEX('Cohort Summary'!$E$5:$E$14,MATCH($A1055,'Cohort Summary'!$A$5:$A$14,0))</f>
        <v>0.3013698630137</v>
      </c>
      <c r="J1055" s="42" t="n">
        <f aca="false">(E1055-INDEX('Cohort Summary'!$F$5:$F$14,MATCH($A1055,'Cohort Summary'!$A$5:$A$14,0)))/INDEX('Cohort Summary'!$G$5:$G$14,MATCH($A1055,'Cohort Summary'!$A$5:$A$14,0))</f>
        <v>-0.349514563106796</v>
      </c>
      <c r="K1055" s="42" t="n">
        <f aca="false">(F1055-INDEX('Cohort Summary'!$H$5:$H$14,MATCH($A1055,'Cohort Summary'!$A$5:$A$14,0)))/INDEX('Cohort Summary'!$I$5:$I$14,MATCH($A1055,'Cohort Summary'!$A$5:$A$14,0))</f>
        <v>1.26041666666667</v>
      </c>
      <c r="L1055" s="42" t="n">
        <f aca="false">(G1055-INDEX('Cohort Summary'!$J$5:$J$14,MATCH($A1055,'Cohort Summary'!$A$5:$A$14,0)))/INDEX('Cohort Summary'!$K$5:$K$14,MATCH($A1055,'Cohort Summary'!$A$5:$A$14,0))</f>
        <v>1.12962962962963</v>
      </c>
      <c r="M1055" s="42" t="n">
        <f aca="false">MAX(I1055:K1055)</f>
        <v>1.26041666666667</v>
      </c>
      <c r="N1055" s="27" t="s">
        <v>197</v>
      </c>
      <c r="O1055" s="27"/>
      <c r="P1055" s="27" t="str">
        <f aca="false">A1055&amp;"|"&amp;N1055</f>
        <v>NURSE-06|normal</v>
      </c>
    </row>
    <row r="1056" customFormat="false" ht="15" hidden="false" customHeight="true" outlineLevel="0" collapsed="false">
      <c r="A1056" s="27" t="s">
        <v>91</v>
      </c>
      <c r="B1056" s="41" t="n">
        <v>46303.3104166667</v>
      </c>
      <c r="C1056" s="27" t="s">
        <v>195</v>
      </c>
      <c r="D1056" s="27" t="n">
        <v>44.3</v>
      </c>
      <c r="E1056" s="27" t="n">
        <v>22.5</v>
      </c>
      <c r="F1056" s="27" t="n">
        <v>25</v>
      </c>
      <c r="G1056" s="27" t="n">
        <v>32.9</v>
      </c>
      <c r="H1056" s="27" t="s">
        <v>196</v>
      </c>
      <c r="I1056" s="42" t="n">
        <f aca="false">(D1056-INDEX('Cohort Summary'!$D$5:$D$14,MATCH($A1056,'Cohort Summary'!$A$5:$A$14,0)))/INDEX('Cohort Summary'!$E$5:$E$14,MATCH($A1056,'Cohort Summary'!$A$5:$A$14,0))</f>
        <v>0.712328767123287</v>
      </c>
      <c r="J1056" s="42" t="n">
        <f aca="false">(E1056-INDEX('Cohort Summary'!$F$5:$F$14,MATCH($A1056,'Cohort Summary'!$A$5:$A$14,0)))/INDEX('Cohort Summary'!$G$5:$G$14,MATCH($A1056,'Cohort Summary'!$A$5:$A$14,0))</f>
        <v>0.37864077669903</v>
      </c>
      <c r="K1056" s="42" t="n">
        <f aca="false">(F1056-INDEX('Cohort Summary'!$H$5:$H$14,MATCH($A1056,'Cohort Summary'!$A$5:$A$14,0)))/INDEX('Cohort Summary'!$I$5:$I$14,MATCH($A1056,'Cohort Summary'!$A$5:$A$14,0))</f>
        <v>-1.44791666666667</v>
      </c>
      <c r="L1056" s="42" t="n">
        <f aca="false">(G1056-INDEX('Cohort Summary'!$J$5:$J$14,MATCH($A1056,'Cohort Summary'!$A$5:$A$14,0)))/INDEX('Cohort Summary'!$K$5:$K$14,MATCH($A1056,'Cohort Summary'!$A$5:$A$14,0))</f>
        <v>0.0185185185185148</v>
      </c>
      <c r="M1056" s="42" t="n">
        <f aca="false">MAX(I1056:K1056)</f>
        <v>0.712328767123287</v>
      </c>
      <c r="N1056" s="27" t="s">
        <v>197</v>
      </c>
      <c r="O1056" s="27"/>
      <c r="P1056" s="27" t="str">
        <f aca="false">A1056&amp;"|"&amp;N1056</f>
        <v>NURSE-06|normal</v>
      </c>
    </row>
    <row r="1057" customFormat="false" ht="15" hidden="false" customHeight="true" outlineLevel="0" collapsed="false">
      <c r="A1057" s="27" t="s">
        <v>91</v>
      </c>
      <c r="B1057" s="41" t="n">
        <v>46303.3107638889</v>
      </c>
      <c r="C1057" s="27" t="s">
        <v>195</v>
      </c>
      <c r="D1057" s="27" t="n">
        <v>40</v>
      </c>
      <c r="E1057" s="27" t="n">
        <v>18.5</v>
      </c>
      <c r="F1057" s="27" t="n">
        <v>26.6</v>
      </c>
      <c r="G1057" s="27" t="n">
        <v>33.5</v>
      </c>
      <c r="H1057" s="27" t="s">
        <v>198</v>
      </c>
      <c r="I1057" s="42" t="n">
        <f aca="false">(D1057-INDEX('Cohort Summary'!$D$5:$D$14,MATCH($A1057,'Cohort Summary'!$A$5:$A$14,0)))/INDEX('Cohort Summary'!$E$5:$E$14,MATCH($A1057,'Cohort Summary'!$A$5:$A$14,0))</f>
        <v>-0.760273972602739</v>
      </c>
      <c r="J1057" s="42" t="n">
        <f aca="false">(E1057-INDEX('Cohort Summary'!$F$5:$F$14,MATCH($A1057,'Cohort Summary'!$A$5:$A$14,0)))/INDEX('Cohort Summary'!$G$5:$G$14,MATCH($A1057,'Cohort Summary'!$A$5:$A$14,0))</f>
        <v>-1.5631067961165</v>
      </c>
      <c r="K1057" s="42" t="n">
        <f aca="false">(F1057-INDEX('Cohort Summary'!$H$5:$H$14,MATCH($A1057,'Cohort Summary'!$A$5:$A$14,0)))/INDEX('Cohort Summary'!$I$5:$I$14,MATCH($A1057,'Cohort Summary'!$A$5:$A$14,0))</f>
        <v>-0.892361111111111</v>
      </c>
      <c r="L1057" s="42" t="n">
        <f aca="false">(G1057-INDEX('Cohort Summary'!$J$5:$J$14,MATCH($A1057,'Cohort Summary'!$A$5:$A$14,0)))/INDEX('Cohort Summary'!$K$5:$K$14,MATCH($A1057,'Cohort Summary'!$A$5:$A$14,0))</f>
        <v>1.12962962962963</v>
      </c>
      <c r="M1057" s="42" t="n">
        <f aca="false">MAX(I1057:K1057)</f>
        <v>-0.760273972602739</v>
      </c>
      <c r="N1057" s="27" t="s">
        <v>197</v>
      </c>
      <c r="O1057" s="27"/>
      <c r="P1057" s="27" t="str">
        <f aca="false">A1057&amp;"|"&amp;N1057</f>
        <v>NURSE-06|normal</v>
      </c>
    </row>
    <row r="1058" customFormat="false" ht="15" hidden="false" customHeight="true" outlineLevel="0" collapsed="false">
      <c r="A1058" s="27" t="s">
        <v>91</v>
      </c>
      <c r="B1058" s="41" t="n">
        <v>46303.3111111111</v>
      </c>
      <c r="C1058" s="27" t="s">
        <v>195</v>
      </c>
      <c r="D1058" s="27" t="n">
        <v>46.2</v>
      </c>
      <c r="E1058" s="27" t="n">
        <v>24.6</v>
      </c>
      <c r="F1058" s="27" t="n">
        <v>34</v>
      </c>
      <c r="G1058" s="27" t="n">
        <v>32.8</v>
      </c>
      <c r="H1058" s="27" t="s">
        <v>196</v>
      </c>
      <c r="I1058" s="42" t="n">
        <f aca="false">(D1058-INDEX('Cohort Summary'!$D$5:$D$14,MATCH($A1058,'Cohort Summary'!$A$5:$A$14,0)))/INDEX('Cohort Summary'!$E$5:$E$14,MATCH($A1058,'Cohort Summary'!$A$5:$A$14,0))</f>
        <v>1.36301369863014</v>
      </c>
      <c r="J1058" s="42" t="n">
        <f aca="false">(E1058-INDEX('Cohort Summary'!$F$5:$F$14,MATCH($A1058,'Cohort Summary'!$A$5:$A$14,0)))/INDEX('Cohort Summary'!$G$5:$G$14,MATCH($A1058,'Cohort Summary'!$A$5:$A$14,0))</f>
        <v>1.39805825242719</v>
      </c>
      <c r="K1058" s="42" t="n">
        <f aca="false">(F1058-INDEX('Cohort Summary'!$H$5:$H$14,MATCH($A1058,'Cohort Summary'!$A$5:$A$14,0)))/INDEX('Cohort Summary'!$I$5:$I$14,MATCH($A1058,'Cohort Summary'!$A$5:$A$14,0))</f>
        <v>1.67708333333333</v>
      </c>
      <c r="L1058" s="42" t="n">
        <f aca="false">(G1058-INDEX('Cohort Summary'!$J$5:$J$14,MATCH($A1058,'Cohort Summary'!$A$5:$A$14,0)))/INDEX('Cohort Summary'!$K$5:$K$14,MATCH($A1058,'Cohort Summary'!$A$5:$A$14,0))</f>
        <v>-0.166666666666673</v>
      </c>
      <c r="M1058" s="42" t="n">
        <f aca="false">MAX(I1058:K1058)</f>
        <v>1.67708333333333</v>
      </c>
      <c r="N1058" s="27" t="s">
        <v>197</v>
      </c>
      <c r="O1058" s="27"/>
      <c r="P1058" s="27" t="str">
        <f aca="false">A1058&amp;"|"&amp;N1058</f>
        <v>NURSE-06|normal</v>
      </c>
    </row>
    <row r="1059" customFormat="false" ht="15" hidden="false" customHeight="true" outlineLevel="0" collapsed="false">
      <c r="A1059" s="27" t="s">
        <v>91</v>
      </c>
      <c r="B1059" s="41" t="n">
        <v>46303.3114583333</v>
      </c>
      <c r="C1059" s="27" t="s">
        <v>195</v>
      </c>
      <c r="D1059" s="27" t="n">
        <v>43.9</v>
      </c>
      <c r="E1059" s="27" t="n">
        <v>22.5</v>
      </c>
      <c r="F1059" s="27" t="n">
        <v>26.8</v>
      </c>
      <c r="G1059" s="27" t="n">
        <v>33.2</v>
      </c>
      <c r="H1059" s="27" t="s">
        <v>199</v>
      </c>
      <c r="I1059" s="42" t="n">
        <f aca="false">(D1059-INDEX('Cohort Summary'!$D$5:$D$14,MATCH($A1059,'Cohort Summary'!$A$5:$A$14,0)))/INDEX('Cohort Summary'!$E$5:$E$14,MATCH($A1059,'Cohort Summary'!$A$5:$A$14,0))</f>
        <v>0.575342465753425</v>
      </c>
      <c r="J1059" s="42" t="n">
        <f aca="false">(E1059-INDEX('Cohort Summary'!$F$5:$F$14,MATCH($A1059,'Cohort Summary'!$A$5:$A$14,0)))/INDEX('Cohort Summary'!$G$5:$G$14,MATCH($A1059,'Cohort Summary'!$A$5:$A$14,0))</f>
        <v>0.37864077669903</v>
      </c>
      <c r="K1059" s="42" t="n">
        <f aca="false">(F1059-INDEX('Cohort Summary'!$H$5:$H$14,MATCH($A1059,'Cohort Summary'!$A$5:$A$14,0)))/INDEX('Cohort Summary'!$I$5:$I$14,MATCH($A1059,'Cohort Summary'!$A$5:$A$14,0))</f>
        <v>-0.822916666666667</v>
      </c>
      <c r="L1059" s="42" t="n">
        <f aca="false">(G1059-INDEX('Cohort Summary'!$J$5:$J$14,MATCH($A1059,'Cohort Summary'!$A$5:$A$14,0)))/INDEX('Cohort Summary'!$K$5:$K$14,MATCH($A1059,'Cohort Summary'!$A$5:$A$14,0))</f>
        <v>0.574074074074078</v>
      </c>
      <c r="M1059" s="42" t="n">
        <f aca="false">MAX(I1059:K1059)</f>
        <v>0.575342465753425</v>
      </c>
      <c r="N1059" s="27" t="s">
        <v>197</v>
      </c>
      <c r="O1059" s="27"/>
      <c r="P1059" s="27" t="str">
        <f aca="false">A1059&amp;"|"&amp;N1059</f>
        <v>NURSE-06|normal</v>
      </c>
    </row>
    <row r="1060" customFormat="false" ht="15" hidden="false" customHeight="true" outlineLevel="0" collapsed="false">
      <c r="A1060" s="27" t="s">
        <v>91</v>
      </c>
      <c r="B1060" s="41" t="n">
        <v>46303.3118055556</v>
      </c>
      <c r="C1060" s="27" t="s">
        <v>195</v>
      </c>
      <c r="D1060" s="27" t="n">
        <v>41</v>
      </c>
      <c r="E1060" s="27" t="n">
        <v>24.7</v>
      </c>
      <c r="F1060" s="27" t="n">
        <v>28.7</v>
      </c>
      <c r="G1060" s="27" t="n">
        <v>32.1</v>
      </c>
      <c r="H1060" s="27" t="s">
        <v>196</v>
      </c>
      <c r="I1060" s="42" t="n">
        <f aca="false">(D1060-INDEX('Cohort Summary'!$D$5:$D$14,MATCH($A1060,'Cohort Summary'!$A$5:$A$14,0)))/INDEX('Cohort Summary'!$E$5:$E$14,MATCH($A1060,'Cohort Summary'!$A$5:$A$14,0))</f>
        <v>-0.417808219178082</v>
      </c>
      <c r="J1060" s="42" t="n">
        <f aca="false">(E1060-INDEX('Cohort Summary'!$F$5:$F$14,MATCH($A1060,'Cohort Summary'!$A$5:$A$14,0)))/INDEX('Cohort Summary'!$G$5:$G$14,MATCH($A1060,'Cohort Summary'!$A$5:$A$14,0))</f>
        <v>1.44660194174757</v>
      </c>
      <c r="K1060" s="42" t="n">
        <f aca="false">(F1060-INDEX('Cohort Summary'!$H$5:$H$14,MATCH($A1060,'Cohort Summary'!$A$5:$A$14,0)))/INDEX('Cohort Summary'!$I$5:$I$14,MATCH($A1060,'Cohort Summary'!$A$5:$A$14,0))</f>
        <v>-0.163194444444445</v>
      </c>
      <c r="L1060" s="42" t="n">
        <f aca="false">(G1060-INDEX('Cohort Summary'!$J$5:$J$14,MATCH($A1060,'Cohort Summary'!$A$5:$A$14,0)))/INDEX('Cohort Summary'!$K$5:$K$14,MATCH($A1060,'Cohort Summary'!$A$5:$A$14,0))</f>
        <v>-1.46296296296296</v>
      </c>
      <c r="M1060" s="42" t="n">
        <f aca="false">MAX(I1060:K1060)</f>
        <v>1.44660194174757</v>
      </c>
      <c r="N1060" s="27" t="s">
        <v>197</v>
      </c>
      <c r="O1060" s="27"/>
      <c r="P1060" s="27" t="str">
        <f aca="false">A1060&amp;"|"&amp;N1060</f>
        <v>NURSE-06|normal</v>
      </c>
    </row>
    <row r="1061" customFormat="false" ht="15" hidden="false" customHeight="true" outlineLevel="0" collapsed="false">
      <c r="A1061" s="27" t="s">
        <v>91</v>
      </c>
      <c r="B1061" s="41" t="n">
        <v>46303.3121527778</v>
      </c>
      <c r="C1061" s="27" t="s">
        <v>195</v>
      </c>
      <c r="D1061" s="27" t="n">
        <v>45.4</v>
      </c>
      <c r="E1061" s="27" t="n">
        <v>23.7</v>
      </c>
      <c r="F1061" s="27" t="n">
        <v>27</v>
      </c>
      <c r="G1061" s="27" t="n">
        <v>33.1</v>
      </c>
      <c r="H1061" s="27" t="s">
        <v>196</v>
      </c>
      <c r="I1061" s="42" t="n">
        <f aca="false">(D1061-INDEX('Cohort Summary'!$D$5:$D$14,MATCH($A1061,'Cohort Summary'!$A$5:$A$14,0)))/INDEX('Cohort Summary'!$E$5:$E$14,MATCH($A1061,'Cohort Summary'!$A$5:$A$14,0))</f>
        <v>1.08904109589041</v>
      </c>
      <c r="J1061" s="42" t="n">
        <f aca="false">(E1061-INDEX('Cohort Summary'!$F$5:$F$14,MATCH($A1061,'Cohort Summary'!$A$5:$A$14,0)))/INDEX('Cohort Summary'!$G$5:$G$14,MATCH($A1061,'Cohort Summary'!$A$5:$A$14,0))</f>
        <v>0.961165048543689</v>
      </c>
      <c r="K1061" s="42" t="n">
        <f aca="false">(F1061-INDEX('Cohort Summary'!$H$5:$H$14,MATCH($A1061,'Cohort Summary'!$A$5:$A$14,0)))/INDEX('Cohort Summary'!$I$5:$I$14,MATCH($A1061,'Cohort Summary'!$A$5:$A$14,0))</f>
        <v>-0.753472222222223</v>
      </c>
      <c r="L1061" s="42" t="n">
        <f aca="false">(G1061-INDEX('Cohort Summary'!$J$5:$J$14,MATCH($A1061,'Cohort Summary'!$A$5:$A$14,0)))/INDEX('Cohort Summary'!$K$5:$K$14,MATCH($A1061,'Cohort Summary'!$A$5:$A$14,0))</f>
        <v>0.38888888888889</v>
      </c>
      <c r="M1061" s="42" t="n">
        <f aca="false">MAX(I1061:K1061)</f>
        <v>1.08904109589041</v>
      </c>
      <c r="N1061" s="27" t="s">
        <v>197</v>
      </c>
      <c r="O1061" s="27"/>
      <c r="P1061" s="27" t="str">
        <f aca="false">A1061&amp;"|"&amp;N1061</f>
        <v>NURSE-06|normal</v>
      </c>
    </row>
    <row r="1062" customFormat="false" ht="15" hidden="false" customHeight="true" outlineLevel="0" collapsed="false">
      <c r="A1062" s="27" t="s">
        <v>91</v>
      </c>
      <c r="B1062" s="41" t="n">
        <v>46303.3125</v>
      </c>
      <c r="C1062" s="27" t="s">
        <v>200</v>
      </c>
      <c r="D1062" s="27" t="n">
        <v>44.4</v>
      </c>
      <c r="E1062" s="27" t="n">
        <v>24.6</v>
      </c>
      <c r="F1062" s="27" t="n">
        <v>27.5</v>
      </c>
      <c r="G1062" s="27" t="n">
        <v>33.6</v>
      </c>
      <c r="H1062" s="27" t="s">
        <v>198</v>
      </c>
      <c r="I1062" s="42" t="n">
        <f aca="false">(D1062-INDEX('Cohort Summary'!$D$5:$D$14,MATCH($A1062,'Cohort Summary'!$A$5:$A$14,0)))/INDEX('Cohort Summary'!$E$5:$E$14,MATCH($A1062,'Cohort Summary'!$A$5:$A$14,0))</f>
        <v>0.746575342465753</v>
      </c>
      <c r="J1062" s="42" t="n">
        <f aca="false">(E1062-INDEX('Cohort Summary'!$F$5:$F$14,MATCH($A1062,'Cohort Summary'!$A$5:$A$14,0)))/INDEX('Cohort Summary'!$G$5:$G$14,MATCH($A1062,'Cohort Summary'!$A$5:$A$14,0))</f>
        <v>1.39805825242719</v>
      </c>
      <c r="K1062" s="42" t="n">
        <f aca="false">(F1062-INDEX('Cohort Summary'!$H$5:$H$14,MATCH($A1062,'Cohort Summary'!$A$5:$A$14,0)))/INDEX('Cohort Summary'!$I$5:$I$14,MATCH($A1062,'Cohort Summary'!$A$5:$A$14,0))</f>
        <v>-0.579861111111112</v>
      </c>
      <c r="L1062" s="42" t="n">
        <f aca="false">(G1062-INDEX('Cohort Summary'!$J$5:$J$14,MATCH($A1062,'Cohort Summary'!$A$5:$A$14,0)))/INDEX('Cohort Summary'!$K$5:$K$14,MATCH($A1062,'Cohort Summary'!$A$5:$A$14,0))</f>
        <v>1.31481481481482</v>
      </c>
      <c r="M1062" s="42" t="n">
        <f aca="false">MAX(I1062:K1062)</f>
        <v>1.39805825242719</v>
      </c>
      <c r="N1062" s="27" t="s">
        <v>197</v>
      </c>
      <c r="O1062" s="27"/>
      <c r="P1062" s="27" t="str">
        <f aca="false">A1062&amp;"|"&amp;N1062</f>
        <v>NURSE-06|normal</v>
      </c>
    </row>
    <row r="1063" customFormat="false" ht="15" hidden="false" customHeight="true" outlineLevel="0" collapsed="false">
      <c r="A1063" s="27" t="s">
        <v>91</v>
      </c>
      <c r="B1063" s="41" t="n">
        <v>46303.3128472222</v>
      </c>
      <c r="C1063" s="27" t="s">
        <v>200</v>
      </c>
      <c r="D1063" s="27" t="n">
        <v>39.6</v>
      </c>
      <c r="E1063" s="27" t="n">
        <v>21.5</v>
      </c>
      <c r="F1063" s="27" t="n">
        <v>28.4</v>
      </c>
      <c r="G1063" s="27" t="n">
        <v>32</v>
      </c>
      <c r="H1063" s="27" t="s">
        <v>198</v>
      </c>
      <c r="I1063" s="42" t="n">
        <f aca="false">(D1063-INDEX('Cohort Summary'!$D$5:$D$14,MATCH($A1063,'Cohort Summary'!$A$5:$A$14,0)))/INDEX('Cohort Summary'!$E$5:$E$14,MATCH($A1063,'Cohort Summary'!$A$5:$A$14,0))</f>
        <v>-0.897260273972602</v>
      </c>
      <c r="J1063" s="42" t="n">
        <f aca="false">(E1063-INDEX('Cohort Summary'!$F$5:$F$14,MATCH($A1063,'Cohort Summary'!$A$5:$A$14,0)))/INDEX('Cohort Summary'!$G$5:$G$14,MATCH($A1063,'Cohort Summary'!$A$5:$A$14,0))</f>
        <v>-0.106796116504854</v>
      </c>
      <c r="K1063" s="42" t="n">
        <f aca="false">(F1063-INDEX('Cohort Summary'!$H$5:$H$14,MATCH($A1063,'Cohort Summary'!$A$5:$A$14,0)))/INDEX('Cohort Summary'!$I$5:$I$14,MATCH($A1063,'Cohort Summary'!$A$5:$A$14,0))</f>
        <v>-0.267361111111112</v>
      </c>
      <c r="L1063" s="42" t="n">
        <f aca="false">(G1063-INDEX('Cohort Summary'!$J$5:$J$14,MATCH($A1063,'Cohort Summary'!$A$5:$A$14,0)))/INDEX('Cohort Summary'!$K$5:$K$14,MATCH($A1063,'Cohort Summary'!$A$5:$A$14,0))</f>
        <v>-1.64814814814815</v>
      </c>
      <c r="M1063" s="42" t="n">
        <f aca="false">MAX(I1063:K1063)</f>
        <v>-0.106796116504854</v>
      </c>
      <c r="N1063" s="27" t="s">
        <v>197</v>
      </c>
      <c r="O1063" s="27"/>
      <c r="P1063" s="27" t="str">
        <f aca="false">A1063&amp;"|"&amp;N1063</f>
        <v>NURSE-06|normal</v>
      </c>
    </row>
    <row r="1064" customFormat="false" ht="15" hidden="false" customHeight="true" outlineLevel="0" collapsed="false">
      <c r="A1064" s="27" t="s">
        <v>91</v>
      </c>
      <c r="B1064" s="41" t="n">
        <v>46303.3131944445</v>
      </c>
      <c r="C1064" s="27" t="s">
        <v>200</v>
      </c>
      <c r="D1064" s="27" t="n">
        <v>45.5</v>
      </c>
      <c r="E1064" s="27" t="n">
        <v>24.3</v>
      </c>
      <c r="F1064" s="27" t="n">
        <v>24.3</v>
      </c>
      <c r="G1064" s="27" t="n">
        <v>32.8</v>
      </c>
      <c r="H1064" s="27" t="s">
        <v>199</v>
      </c>
      <c r="I1064" s="42" t="n">
        <f aca="false">(D1064-INDEX('Cohort Summary'!$D$5:$D$14,MATCH($A1064,'Cohort Summary'!$A$5:$A$14,0)))/INDEX('Cohort Summary'!$E$5:$E$14,MATCH($A1064,'Cohort Summary'!$A$5:$A$14,0))</f>
        <v>1.12328767123288</v>
      </c>
      <c r="J1064" s="42" t="n">
        <f aca="false">(E1064-INDEX('Cohort Summary'!$F$5:$F$14,MATCH($A1064,'Cohort Summary'!$A$5:$A$14,0)))/INDEX('Cohort Summary'!$G$5:$G$14,MATCH($A1064,'Cohort Summary'!$A$5:$A$14,0))</f>
        <v>1.25242718446602</v>
      </c>
      <c r="K1064" s="42" t="n">
        <f aca="false">(F1064-INDEX('Cohort Summary'!$H$5:$H$14,MATCH($A1064,'Cohort Summary'!$A$5:$A$14,0)))/INDEX('Cohort Summary'!$I$5:$I$14,MATCH($A1064,'Cohort Summary'!$A$5:$A$14,0))</f>
        <v>-1.69097222222222</v>
      </c>
      <c r="L1064" s="42" t="n">
        <f aca="false">(G1064-INDEX('Cohort Summary'!$J$5:$J$14,MATCH($A1064,'Cohort Summary'!$A$5:$A$14,0)))/INDEX('Cohort Summary'!$K$5:$K$14,MATCH($A1064,'Cohort Summary'!$A$5:$A$14,0))</f>
        <v>-0.166666666666673</v>
      </c>
      <c r="M1064" s="42" t="n">
        <f aca="false">MAX(I1064:K1064)</f>
        <v>1.25242718446602</v>
      </c>
      <c r="N1064" s="27" t="s">
        <v>197</v>
      </c>
      <c r="O1064" s="27"/>
      <c r="P1064" s="27" t="str">
        <f aca="false">A1064&amp;"|"&amp;N1064</f>
        <v>NURSE-06|normal</v>
      </c>
    </row>
    <row r="1065" customFormat="false" ht="15" hidden="false" customHeight="true" outlineLevel="0" collapsed="false">
      <c r="A1065" s="27" t="s">
        <v>91</v>
      </c>
      <c r="B1065" s="41" t="n">
        <v>46303.3135416667</v>
      </c>
      <c r="C1065" s="27" t="s">
        <v>200</v>
      </c>
      <c r="D1065" s="27" t="n">
        <v>45.8</v>
      </c>
      <c r="E1065" s="27" t="n">
        <v>18.6</v>
      </c>
      <c r="F1065" s="27" t="n">
        <v>26.9</v>
      </c>
      <c r="G1065" s="27" t="n">
        <v>33.6</v>
      </c>
      <c r="H1065" s="27" t="s">
        <v>196</v>
      </c>
      <c r="I1065" s="42" t="n">
        <f aca="false">(D1065-INDEX('Cohort Summary'!$D$5:$D$14,MATCH($A1065,'Cohort Summary'!$A$5:$A$14,0)))/INDEX('Cohort Summary'!$E$5:$E$14,MATCH($A1065,'Cohort Summary'!$A$5:$A$14,0))</f>
        <v>1.22602739726027</v>
      </c>
      <c r="J1065" s="42" t="n">
        <f aca="false">(E1065-INDEX('Cohort Summary'!$F$5:$F$14,MATCH($A1065,'Cohort Summary'!$A$5:$A$14,0)))/INDEX('Cohort Summary'!$G$5:$G$14,MATCH($A1065,'Cohort Summary'!$A$5:$A$14,0))</f>
        <v>-1.51456310679612</v>
      </c>
      <c r="K1065" s="42" t="n">
        <f aca="false">(F1065-INDEX('Cohort Summary'!$H$5:$H$14,MATCH($A1065,'Cohort Summary'!$A$5:$A$14,0)))/INDEX('Cohort Summary'!$I$5:$I$14,MATCH($A1065,'Cohort Summary'!$A$5:$A$14,0))</f>
        <v>-0.788194444444446</v>
      </c>
      <c r="L1065" s="42" t="n">
        <f aca="false">(G1065-INDEX('Cohort Summary'!$J$5:$J$14,MATCH($A1065,'Cohort Summary'!$A$5:$A$14,0)))/INDEX('Cohort Summary'!$K$5:$K$14,MATCH($A1065,'Cohort Summary'!$A$5:$A$14,0))</f>
        <v>1.31481481481482</v>
      </c>
      <c r="M1065" s="42" t="n">
        <f aca="false">MAX(I1065:K1065)</f>
        <v>1.22602739726027</v>
      </c>
      <c r="N1065" s="27" t="s">
        <v>197</v>
      </c>
      <c r="O1065" s="27"/>
      <c r="P1065" s="27" t="str">
        <f aca="false">A1065&amp;"|"&amp;N1065</f>
        <v>NURSE-06|normal</v>
      </c>
    </row>
    <row r="1066" customFormat="false" ht="15" hidden="false" customHeight="true" outlineLevel="0" collapsed="false">
      <c r="A1066" s="27" t="s">
        <v>91</v>
      </c>
      <c r="B1066" s="41" t="n">
        <v>46303.3138888889</v>
      </c>
      <c r="C1066" s="27" t="s">
        <v>200</v>
      </c>
      <c r="D1066" s="27" t="n">
        <v>38.9</v>
      </c>
      <c r="E1066" s="27" t="n">
        <v>19</v>
      </c>
      <c r="F1066" s="27" t="n">
        <v>32.1</v>
      </c>
      <c r="G1066" s="27" t="n">
        <v>32.1</v>
      </c>
      <c r="H1066" s="27" t="s">
        <v>198</v>
      </c>
      <c r="I1066" s="42" t="n">
        <f aca="false">(D1066-INDEX('Cohort Summary'!$D$5:$D$14,MATCH($A1066,'Cohort Summary'!$A$5:$A$14,0)))/INDEX('Cohort Summary'!$E$5:$E$14,MATCH($A1066,'Cohort Summary'!$A$5:$A$14,0))</f>
        <v>-1.13698630136986</v>
      </c>
      <c r="J1066" s="42" t="n">
        <f aca="false">(E1066-INDEX('Cohort Summary'!$F$5:$F$14,MATCH($A1066,'Cohort Summary'!$A$5:$A$14,0)))/INDEX('Cohort Summary'!$G$5:$G$14,MATCH($A1066,'Cohort Summary'!$A$5:$A$14,0))</f>
        <v>-1.32038834951456</v>
      </c>
      <c r="K1066" s="42" t="n">
        <f aca="false">(F1066-INDEX('Cohort Summary'!$H$5:$H$14,MATCH($A1066,'Cohort Summary'!$A$5:$A$14,0)))/INDEX('Cohort Summary'!$I$5:$I$14,MATCH($A1066,'Cohort Summary'!$A$5:$A$14,0))</f>
        <v>1.01736111111111</v>
      </c>
      <c r="L1066" s="42" t="n">
        <f aca="false">(G1066-INDEX('Cohort Summary'!$J$5:$J$14,MATCH($A1066,'Cohort Summary'!$A$5:$A$14,0)))/INDEX('Cohort Summary'!$K$5:$K$14,MATCH($A1066,'Cohort Summary'!$A$5:$A$14,0))</f>
        <v>-1.46296296296296</v>
      </c>
      <c r="M1066" s="42" t="n">
        <f aca="false">MAX(I1066:K1066)</f>
        <v>1.01736111111111</v>
      </c>
      <c r="N1066" s="27" t="s">
        <v>197</v>
      </c>
      <c r="O1066" s="27"/>
      <c r="P1066" s="27" t="str">
        <f aca="false">A1066&amp;"|"&amp;N1066</f>
        <v>NURSE-06|normal</v>
      </c>
    </row>
    <row r="1067" customFormat="false" ht="15" hidden="false" customHeight="true" outlineLevel="0" collapsed="false">
      <c r="A1067" s="27" t="s">
        <v>91</v>
      </c>
      <c r="B1067" s="41" t="n">
        <v>46303.3142361111</v>
      </c>
      <c r="C1067" s="27" t="s">
        <v>200</v>
      </c>
      <c r="D1067" s="27" t="n">
        <v>45.4</v>
      </c>
      <c r="E1067" s="27" t="n">
        <v>19.8</v>
      </c>
      <c r="F1067" s="27" t="n">
        <v>25.6</v>
      </c>
      <c r="G1067" s="27" t="n">
        <v>33.7</v>
      </c>
      <c r="H1067" s="27" t="s">
        <v>198</v>
      </c>
      <c r="I1067" s="42" t="n">
        <f aca="false">(D1067-INDEX('Cohort Summary'!$D$5:$D$14,MATCH($A1067,'Cohort Summary'!$A$5:$A$14,0)))/INDEX('Cohort Summary'!$E$5:$E$14,MATCH($A1067,'Cohort Summary'!$A$5:$A$14,0))</f>
        <v>1.08904109589041</v>
      </c>
      <c r="J1067" s="42" t="n">
        <f aca="false">(E1067-INDEX('Cohort Summary'!$F$5:$F$14,MATCH($A1067,'Cohort Summary'!$A$5:$A$14,0)))/INDEX('Cohort Summary'!$G$5:$G$14,MATCH($A1067,'Cohort Summary'!$A$5:$A$14,0))</f>
        <v>-0.932038834951455</v>
      </c>
      <c r="K1067" s="42" t="n">
        <f aca="false">(F1067-INDEX('Cohort Summary'!$H$5:$H$14,MATCH($A1067,'Cohort Summary'!$A$5:$A$14,0)))/INDEX('Cohort Summary'!$I$5:$I$14,MATCH($A1067,'Cohort Summary'!$A$5:$A$14,0))</f>
        <v>-1.23958333333333</v>
      </c>
      <c r="L1067" s="42" t="n">
        <f aca="false">(G1067-INDEX('Cohort Summary'!$J$5:$J$14,MATCH($A1067,'Cohort Summary'!$A$5:$A$14,0)))/INDEX('Cohort Summary'!$K$5:$K$14,MATCH($A1067,'Cohort Summary'!$A$5:$A$14,0))</f>
        <v>1.5</v>
      </c>
      <c r="M1067" s="42" t="n">
        <f aca="false">MAX(I1067:K1067)</f>
        <v>1.08904109589041</v>
      </c>
      <c r="N1067" s="27" t="s">
        <v>197</v>
      </c>
      <c r="O1067" s="27"/>
      <c r="P1067" s="27" t="str">
        <f aca="false">A1067&amp;"|"&amp;N1067</f>
        <v>NURSE-06|normal</v>
      </c>
    </row>
    <row r="1068" customFormat="false" ht="15" hidden="false" customHeight="true" outlineLevel="0" collapsed="false">
      <c r="A1068" s="27" t="s">
        <v>91</v>
      </c>
      <c r="B1068" s="41" t="n">
        <v>46303.3145833333</v>
      </c>
      <c r="C1068" s="27" t="s">
        <v>200</v>
      </c>
      <c r="D1068" s="27" t="n">
        <v>41.7</v>
      </c>
      <c r="E1068" s="27" t="n">
        <v>23.5</v>
      </c>
      <c r="F1068" s="27" t="n">
        <v>26.5</v>
      </c>
      <c r="G1068" s="27" t="n">
        <v>33.7</v>
      </c>
      <c r="H1068" s="27" t="s">
        <v>198</v>
      </c>
      <c r="I1068" s="42" t="n">
        <f aca="false">(D1068-INDEX('Cohort Summary'!$D$5:$D$14,MATCH($A1068,'Cohort Summary'!$A$5:$A$14,0)))/INDEX('Cohort Summary'!$E$5:$E$14,MATCH($A1068,'Cohort Summary'!$A$5:$A$14,0))</f>
        <v>-0.178082191780821</v>
      </c>
      <c r="J1068" s="42" t="n">
        <f aca="false">(E1068-INDEX('Cohort Summary'!$F$5:$F$14,MATCH($A1068,'Cohort Summary'!$A$5:$A$14,0)))/INDEX('Cohort Summary'!$G$5:$G$14,MATCH($A1068,'Cohort Summary'!$A$5:$A$14,0))</f>
        <v>0.864077669902913</v>
      </c>
      <c r="K1068" s="42" t="n">
        <f aca="false">(F1068-INDEX('Cohort Summary'!$H$5:$H$14,MATCH($A1068,'Cohort Summary'!$A$5:$A$14,0)))/INDEX('Cohort Summary'!$I$5:$I$14,MATCH($A1068,'Cohort Summary'!$A$5:$A$14,0))</f>
        <v>-0.927083333333334</v>
      </c>
      <c r="L1068" s="42" t="n">
        <f aca="false">(G1068-INDEX('Cohort Summary'!$J$5:$J$14,MATCH($A1068,'Cohort Summary'!$A$5:$A$14,0)))/INDEX('Cohort Summary'!$K$5:$K$14,MATCH($A1068,'Cohort Summary'!$A$5:$A$14,0))</f>
        <v>1.5</v>
      </c>
      <c r="M1068" s="42" t="n">
        <f aca="false">MAX(I1068:K1068)</f>
        <v>0.864077669902913</v>
      </c>
      <c r="N1068" s="27" t="s">
        <v>197</v>
      </c>
      <c r="O1068" s="27"/>
      <c r="P1068" s="27" t="str">
        <f aca="false">A1068&amp;"|"&amp;N1068</f>
        <v>NURSE-06|normal</v>
      </c>
    </row>
    <row r="1069" customFormat="false" ht="15" hidden="false" customHeight="true" outlineLevel="0" collapsed="false">
      <c r="A1069" s="27" t="s">
        <v>91</v>
      </c>
      <c r="B1069" s="41" t="n">
        <v>46303.3149305556</v>
      </c>
      <c r="C1069" s="27" t="s">
        <v>200</v>
      </c>
      <c r="D1069" s="27" t="n">
        <v>38.6</v>
      </c>
      <c r="E1069" s="27" t="n">
        <v>25</v>
      </c>
      <c r="F1069" s="27" t="n">
        <v>27</v>
      </c>
      <c r="G1069" s="27" t="n">
        <v>33.9</v>
      </c>
      <c r="H1069" s="27" t="s">
        <v>198</v>
      </c>
      <c r="I1069" s="42" t="n">
        <f aca="false">(D1069-INDEX('Cohort Summary'!$D$5:$D$14,MATCH($A1069,'Cohort Summary'!$A$5:$A$14,0)))/INDEX('Cohort Summary'!$E$5:$E$14,MATCH($A1069,'Cohort Summary'!$A$5:$A$14,0))</f>
        <v>-1.23972602739726</v>
      </c>
      <c r="J1069" s="42" t="n">
        <f aca="false">(E1069-INDEX('Cohort Summary'!$F$5:$F$14,MATCH($A1069,'Cohort Summary'!$A$5:$A$14,0)))/INDEX('Cohort Summary'!$G$5:$G$14,MATCH($A1069,'Cohort Summary'!$A$5:$A$14,0))</f>
        <v>1.59223300970874</v>
      </c>
      <c r="K1069" s="42" t="n">
        <f aca="false">(F1069-INDEX('Cohort Summary'!$H$5:$H$14,MATCH($A1069,'Cohort Summary'!$A$5:$A$14,0)))/INDEX('Cohort Summary'!$I$5:$I$14,MATCH($A1069,'Cohort Summary'!$A$5:$A$14,0))</f>
        <v>-0.753472222222223</v>
      </c>
      <c r="L1069" s="42" t="n">
        <f aca="false">(G1069-INDEX('Cohort Summary'!$J$5:$J$14,MATCH($A1069,'Cohort Summary'!$A$5:$A$14,0)))/INDEX('Cohort Summary'!$K$5:$K$14,MATCH($A1069,'Cohort Summary'!$A$5:$A$14,0))</f>
        <v>1.87037037037037</v>
      </c>
      <c r="M1069" s="42" t="n">
        <f aca="false">MAX(I1069:K1069)</f>
        <v>1.59223300970874</v>
      </c>
      <c r="N1069" s="27" t="s">
        <v>197</v>
      </c>
      <c r="O1069" s="27"/>
      <c r="P1069" s="27" t="str">
        <f aca="false">A1069&amp;"|"&amp;N1069</f>
        <v>NURSE-06|normal</v>
      </c>
    </row>
    <row r="1070" customFormat="false" ht="15" hidden="false" customHeight="true" outlineLevel="0" collapsed="false">
      <c r="A1070" s="27" t="s">
        <v>91</v>
      </c>
      <c r="B1070" s="41" t="n">
        <v>46303.3152777778</v>
      </c>
      <c r="C1070" s="27" t="s">
        <v>200</v>
      </c>
      <c r="D1070" s="27" t="n">
        <v>43.3</v>
      </c>
      <c r="E1070" s="27" t="n">
        <v>21.7</v>
      </c>
      <c r="F1070" s="27" t="n">
        <v>32.5</v>
      </c>
      <c r="G1070" s="27" t="n">
        <v>32.8</v>
      </c>
      <c r="H1070" s="27" t="s">
        <v>198</v>
      </c>
      <c r="I1070" s="42" t="n">
        <f aca="false">(D1070-INDEX('Cohort Summary'!$D$5:$D$14,MATCH($A1070,'Cohort Summary'!$A$5:$A$14,0)))/INDEX('Cohort Summary'!$E$5:$E$14,MATCH($A1070,'Cohort Summary'!$A$5:$A$14,0))</f>
        <v>0.36986301369863</v>
      </c>
      <c r="J1070" s="42" t="n">
        <f aca="false">(E1070-INDEX('Cohort Summary'!$F$5:$F$14,MATCH($A1070,'Cohort Summary'!$A$5:$A$14,0)))/INDEX('Cohort Summary'!$G$5:$G$14,MATCH($A1070,'Cohort Summary'!$A$5:$A$14,0))</f>
        <v>-0.00970873786407746</v>
      </c>
      <c r="K1070" s="42" t="n">
        <f aca="false">(F1070-INDEX('Cohort Summary'!$H$5:$H$14,MATCH($A1070,'Cohort Summary'!$A$5:$A$14,0)))/INDEX('Cohort Summary'!$I$5:$I$14,MATCH($A1070,'Cohort Summary'!$A$5:$A$14,0))</f>
        <v>1.15625</v>
      </c>
      <c r="L1070" s="42" t="n">
        <f aca="false">(G1070-INDEX('Cohort Summary'!$J$5:$J$14,MATCH($A1070,'Cohort Summary'!$A$5:$A$14,0)))/INDEX('Cohort Summary'!$K$5:$K$14,MATCH($A1070,'Cohort Summary'!$A$5:$A$14,0))</f>
        <v>-0.166666666666673</v>
      </c>
      <c r="M1070" s="42" t="n">
        <f aca="false">MAX(I1070:K1070)</f>
        <v>1.15625</v>
      </c>
      <c r="N1070" s="27" t="s">
        <v>197</v>
      </c>
      <c r="O1070" s="27"/>
      <c r="P1070" s="27" t="str">
        <f aca="false">A1070&amp;"|"&amp;N1070</f>
        <v>NURSE-06|normal</v>
      </c>
    </row>
    <row r="1071" customFormat="false" ht="15" hidden="false" customHeight="true" outlineLevel="0" collapsed="false">
      <c r="A1071" s="27" t="s">
        <v>91</v>
      </c>
      <c r="B1071" s="41" t="n">
        <v>46303.315625</v>
      </c>
      <c r="C1071" s="27" t="s">
        <v>200</v>
      </c>
      <c r="D1071" s="27" t="n">
        <v>41.2</v>
      </c>
      <c r="E1071" s="27" t="n">
        <v>21.3</v>
      </c>
      <c r="F1071" s="27" t="n">
        <v>27.1</v>
      </c>
      <c r="G1071" s="27" t="n">
        <v>32</v>
      </c>
      <c r="H1071" s="27" t="s">
        <v>199</v>
      </c>
      <c r="I1071" s="42" t="n">
        <f aca="false">(D1071-INDEX('Cohort Summary'!$D$5:$D$14,MATCH($A1071,'Cohort Summary'!$A$5:$A$14,0)))/INDEX('Cohort Summary'!$E$5:$E$14,MATCH($A1071,'Cohort Summary'!$A$5:$A$14,0))</f>
        <v>-0.349315068493149</v>
      </c>
      <c r="J1071" s="42" t="n">
        <f aca="false">(E1071-INDEX('Cohort Summary'!$F$5:$F$14,MATCH($A1071,'Cohort Summary'!$A$5:$A$14,0)))/INDEX('Cohort Summary'!$G$5:$G$14,MATCH($A1071,'Cohort Summary'!$A$5:$A$14,0))</f>
        <v>-0.20388349514563</v>
      </c>
      <c r="K1071" s="42" t="n">
        <f aca="false">(F1071-INDEX('Cohort Summary'!$H$5:$H$14,MATCH($A1071,'Cohort Summary'!$A$5:$A$14,0)))/INDEX('Cohort Summary'!$I$5:$I$14,MATCH($A1071,'Cohort Summary'!$A$5:$A$14,0))</f>
        <v>-0.71875</v>
      </c>
      <c r="L1071" s="42" t="n">
        <f aca="false">(G1071-INDEX('Cohort Summary'!$J$5:$J$14,MATCH($A1071,'Cohort Summary'!$A$5:$A$14,0)))/INDEX('Cohort Summary'!$K$5:$K$14,MATCH($A1071,'Cohort Summary'!$A$5:$A$14,0))</f>
        <v>-1.64814814814815</v>
      </c>
      <c r="M1071" s="42" t="n">
        <f aca="false">MAX(I1071:K1071)</f>
        <v>-0.20388349514563</v>
      </c>
      <c r="N1071" s="27" t="s">
        <v>197</v>
      </c>
      <c r="O1071" s="27"/>
      <c r="P1071" s="27" t="str">
        <f aca="false">A1071&amp;"|"&amp;N1071</f>
        <v>NURSE-06|normal</v>
      </c>
    </row>
    <row r="1072" customFormat="false" ht="15" hidden="false" customHeight="true" outlineLevel="0" collapsed="false">
      <c r="A1072" s="27" t="s">
        <v>91</v>
      </c>
      <c r="B1072" s="41" t="n">
        <v>46303.3159722222</v>
      </c>
      <c r="C1072" s="27" t="s">
        <v>200</v>
      </c>
      <c r="D1072" s="27" t="n">
        <v>39.3</v>
      </c>
      <c r="E1072" s="27" t="n">
        <v>21.2</v>
      </c>
      <c r="F1072" s="27" t="n">
        <v>32.2</v>
      </c>
      <c r="G1072" s="27" t="n">
        <v>33.8</v>
      </c>
      <c r="H1072" s="27" t="s">
        <v>199</v>
      </c>
      <c r="I1072" s="42" t="n">
        <f aca="false">(D1072-INDEX('Cohort Summary'!$D$5:$D$14,MATCH($A1072,'Cohort Summary'!$A$5:$A$14,0)))/INDEX('Cohort Summary'!$E$5:$E$14,MATCH($A1072,'Cohort Summary'!$A$5:$A$14,0))</f>
        <v>-1</v>
      </c>
      <c r="J1072" s="42" t="n">
        <f aca="false">(E1072-INDEX('Cohort Summary'!$F$5:$F$14,MATCH($A1072,'Cohort Summary'!$A$5:$A$14,0)))/INDEX('Cohort Summary'!$G$5:$G$14,MATCH($A1072,'Cohort Summary'!$A$5:$A$14,0))</f>
        <v>-0.252427184466019</v>
      </c>
      <c r="K1072" s="42" t="n">
        <f aca="false">(F1072-INDEX('Cohort Summary'!$H$5:$H$14,MATCH($A1072,'Cohort Summary'!$A$5:$A$14,0)))/INDEX('Cohort Summary'!$I$5:$I$14,MATCH($A1072,'Cohort Summary'!$A$5:$A$14,0))</f>
        <v>1.05208333333333</v>
      </c>
      <c r="L1072" s="42" t="n">
        <f aca="false">(G1072-INDEX('Cohort Summary'!$J$5:$J$14,MATCH($A1072,'Cohort Summary'!$A$5:$A$14,0)))/INDEX('Cohort Summary'!$K$5:$K$14,MATCH($A1072,'Cohort Summary'!$A$5:$A$14,0))</f>
        <v>1.68518518518518</v>
      </c>
      <c r="M1072" s="42" t="n">
        <f aca="false">MAX(I1072:K1072)</f>
        <v>1.05208333333333</v>
      </c>
      <c r="N1072" s="27" t="s">
        <v>197</v>
      </c>
      <c r="O1072" s="27"/>
      <c r="P1072" s="27" t="str">
        <f aca="false">A1072&amp;"|"&amp;N1072</f>
        <v>NURSE-06|normal</v>
      </c>
    </row>
    <row r="1073" customFormat="false" ht="15" hidden="false" customHeight="true" outlineLevel="0" collapsed="false">
      <c r="A1073" s="27" t="s">
        <v>91</v>
      </c>
      <c r="B1073" s="41" t="n">
        <v>46303.3163194444</v>
      </c>
      <c r="C1073" s="27" t="s">
        <v>200</v>
      </c>
      <c r="D1073" s="27" t="n">
        <v>38.6</v>
      </c>
      <c r="E1073" s="27" t="n">
        <v>22.8</v>
      </c>
      <c r="F1073" s="27" t="n">
        <v>29.5</v>
      </c>
      <c r="G1073" s="27" t="n">
        <v>32.7</v>
      </c>
      <c r="H1073" s="27" t="s">
        <v>198</v>
      </c>
      <c r="I1073" s="42" t="n">
        <f aca="false">(D1073-INDEX('Cohort Summary'!$D$5:$D$14,MATCH($A1073,'Cohort Summary'!$A$5:$A$14,0)))/INDEX('Cohort Summary'!$E$5:$E$14,MATCH($A1073,'Cohort Summary'!$A$5:$A$14,0))</f>
        <v>-1.23972602739726</v>
      </c>
      <c r="J1073" s="42" t="n">
        <f aca="false">(E1073-INDEX('Cohort Summary'!$F$5:$F$14,MATCH($A1073,'Cohort Summary'!$A$5:$A$14,0)))/INDEX('Cohort Summary'!$G$5:$G$14,MATCH($A1073,'Cohort Summary'!$A$5:$A$14,0))</f>
        <v>0.524271844660195</v>
      </c>
      <c r="K1073" s="42" t="n">
        <f aca="false">(F1073-INDEX('Cohort Summary'!$H$5:$H$14,MATCH($A1073,'Cohort Summary'!$A$5:$A$14,0)))/INDEX('Cohort Summary'!$I$5:$I$14,MATCH($A1073,'Cohort Summary'!$A$5:$A$14,0))</f>
        <v>0.114583333333333</v>
      </c>
      <c r="L1073" s="42" t="n">
        <f aca="false">(G1073-INDEX('Cohort Summary'!$J$5:$J$14,MATCH($A1073,'Cohort Summary'!$A$5:$A$14,0)))/INDEX('Cohort Summary'!$K$5:$K$14,MATCH($A1073,'Cohort Summary'!$A$5:$A$14,0))</f>
        <v>-0.351851851851848</v>
      </c>
      <c r="M1073" s="42" t="n">
        <f aca="false">MAX(I1073:K1073)</f>
        <v>0.524271844660195</v>
      </c>
      <c r="N1073" s="27" t="s">
        <v>197</v>
      </c>
      <c r="O1073" s="27"/>
      <c r="P1073" s="27" t="str">
        <f aca="false">A1073&amp;"|"&amp;N1073</f>
        <v>NURSE-06|normal</v>
      </c>
    </row>
    <row r="1074" customFormat="false" ht="15" hidden="false" customHeight="true" outlineLevel="0" collapsed="false">
      <c r="A1074" s="27" t="s">
        <v>91</v>
      </c>
      <c r="B1074" s="41" t="n">
        <v>46303.3166666667</v>
      </c>
      <c r="C1074" s="27" t="s">
        <v>200</v>
      </c>
      <c r="D1074" s="27" t="n">
        <v>46.1</v>
      </c>
      <c r="E1074" s="27" t="n">
        <v>24.3</v>
      </c>
      <c r="F1074" s="27" t="n">
        <v>28.7</v>
      </c>
      <c r="G1074" s="27" t="n">
        <v>33.8</v>
      </c>
      <c r="H1074" s="27" t="s">
        <v>196</v>
      </c>
      <c r="I1074" s="42" t="n">
        <f aca="false">(D1074-INDEX('Cohort Summary'!$D$5:$D$14,MATCH($A1074,'Cohort Summary'!$A$5:$A$14,0)))/INDEX('Cohort Summary'!$E$5:$E$14,MATCH($A1074,'Cohort Summary'!$A$5:$A$14,0))</f>
        <v>1.32876712328767</v>
      </c>
      <c r="J1074" s="42" t="n">
        <f aca="false">(E1074-INDEX('Cohort Summary'!$F$5:$F$14,MATCH($A1074,'Cohort Summary'!$A$5:$A$14,0)))/INDEX('Cohort Summary'!$G$5:$G$14,MATCH($A1074,'Cohort Summary'!$A$5:$A$14,0))</f>
        <v>1.25242718446602</v>
      </c>
      <c r="K1074" s="42" t="n">
        <f aca="false">(F1074-INDEX('Cohort Summary'!$H$5:$H$14,MATCH($A1074,'Cohort Summary'!$A$5:$A$14,0)))/INDEX('Cohort Summary'!$I$5:$I$14,MATCH($A1074,'Cohort Summary'!$A$5:$A$14,0))</f>
        <v>-0.163194444444445</v>
      </c>
      <c r="L1074" s="42" t="n">
        <f aca="false">(G1074-INDEX('Cohort Summary'!$J$5:$J$14,MATCH($A1074,'Cohort Summary'!$A$5:$A$14,0)))/INDEX('Cohort Summary'!$K$5:$K$14,MATCH($A1074,'Cohort Summary'!$A$5:$A$14,0))</f>
        <v>1.68518518518518</v>
      </c>
      <c r="M1074" s="42" t="n">
        <f aca="false">MAX(I1074:K1074)</f>
        <v>1.32876712328767</v>
      </c>
      <c r="N1074" s="27" t="s">
        <v>197</v>
      </c>
      <c r="O1074" s="27"/>
      <c r="P1074" s="27" t="str">
        <f aca="false">A1074&amp;"|"&amp;N1074</f>
        <v>NURSE-06|normal</v>
      </c>
    </row>
    <row r="1075" customFormat="false" ht="15" hidden="false" customHeight="true" outlineLevel="0" collapsed="false">
      <c r="A1075" s="27" t="s">
        <v>91</v>
      </c>
      <c r="B1075" s="41" t="n">
        <v>46303.3170138889</v>
      </c>
      <c r="C1075" s="27" t="s">
        <v>200</v>
      </c>
      <c r="D1075" s="27" t="n">
        <v>40.7</v>
      </c>
      <c r="E1075" s="27" t="n">
        <v>21.9</v>
      </c>
      <c r="F1075" s="27" t="n">
        <v>31.6</v>
      </c>
      <c r="G1075" s="27" t="n">
        <v>33.1</v>
      </c>
      <c r="H1075" s="27" t="s">
        <v>198</v>
      </c>
      <c r="I1075" s="42" t="n">
        <f aca="false">(D1075-INDEX('Cohort Summary'!$D$5:$D$14,MATCH($A1075,'Cohort Summary'!$A$5:$A$14,0)))/INDEX('Cohort Summary'!$E$5:$E$14,MATCH($A1075,'Cohort Summary'!$A$5:$A$14,0))</f>
        <v>-0.520547945205478</v>
      </c>
      <c r="J1075" s="42" t="n">
        <f aca="false">(E1075-INDEX('Cohort Summary'!$F$5:$F$14,MATCH($A1075,'Cohort Summary'!$A$5:$A$14,0)))/INDEX('Cohort Summary'!$G$5:$G$14,MATCH($A1075,'Cohort Summary'!$A$5:$A$14,0))</f>
        <v>0.0873786407766989</v>
      </c>
      <c r="K1075" s="42" t="n">
        <f aca="false">(F1075-INDEX('Cohort Summary'!$H$5:$H$14,MATCH($A1075,'Cohort Summary'!$A$5:$A$14,0)))/INDEX('Cohort Summary'!$I$5:$I$14,MATCH($A1075,'Cohort Summary'!$A$5:$A$14,0))</f>
        <v>0.84375</v>
      </c>
      <c r="L1075" s="42" t="n">
        <f aca="false">(G1075-INDEX('Cohort Summary'!$J$5:$J$14,MATCH($A1075,'Cohort Summary'!$A$5:$A$14,0)))/INDEX('Cohort Summary'!$K$5:$K$14,MATCH($A1075,'Cohort Summary'!$A$5:$A$14,0))</f>
        <v>0.38888888888889</v>
      </c>
      <c r="M1075" s="42" t="n">
        <f aca="false">MAX(I1075:K1075)</f>
        <v>0.84375</v>
      </c>
      <c r="N1075" s="27" t="s">
        <v>197</v>
      </c>
      <c r="O1075" s="27"/>
      <c r="P1075" s="27" t="str">
        <f aca="false">A1075&amp;"|"&amp;N1075</f>
        <v>NURSE-06|normal</v>
      </c>
    </row>
    <row r="1076" customFormat="false" ht="15" hidden="false" customHeight="true" outlineLevel="0" collapsed="false">
      <c r="A1076" s="27" t="s">
        <v>91</v>
      </c>
      <c r="B1076" s="41" t="n">
        <v>46303.3173611111</v>
      </c>
      <c r="C1076" s="27" t="s">
        <v>200</v>
      </c>
      <c r="D1076" s="27" t="n">
        <v>40.4</v>
      </c>
      <c r="E1076" s="27" t="n">
        <v>18.7</v>
      </c>
      <c r="F1076" s="27" t="n">
        <v>27.8</v>
      </c>
      <c r="G1076" s="27" t="n">
        <v>32.1</v>
      </c>
      <c r="H1076" s="27" t="s">
        <v>198</v>
      </c>
      <c r="I1076" s="42" t="n">
        <f aca="false">(D1076-INDEX('Cohort Summary'!$D$5:$D$14,MATCH($A1076,'Cohort Summary'!$A$5:$A$14,0)))/INDEX('Cohort Summary'!$E$5:$E$14,MATCH($A1076,'Cohort Summary'!$A$5:$A$14,0))</f>
        <v>-0.623287671232877</v>
      </c>
      <c r="J1076" s="42" t="n">
        <f aca="false">(E1076-INDEX('Cohort Summary'!$F$5:$F$14,MATCH($A1076,'Cohort Summary'!$A$5:$A$14,0)))/INDEX('Cohort Summary'!$G$5:$G$14,MATCH($A1076,'Cohort Summary'!$A$5:$A$14,0))</f>
        <v>-1.46601941747573</v>
      </c>
      <c r="K1076" s="42" t="n">
        <f aca="false">(F1076-INDEX('Cohort Summary'!$H$5:$H$14,MATCH($A1076,'Cohort Summary'!$A$5:$A$14,0)))/INDEX('Cohort Summary'!$I$5:$I$14,MATCH($A1076,'Cohort Summary'!$A$5:$A$14,0))</f>
        <v>-0.475694444444445</v>
      </c>
      <c r="L1076" s="42" t="n">
        <f aca="false">(G1076-INDEX('Cohort Summary'!$J$5:$J$14,MATCH($A1076,'Cohort Summary'!$A$5:$A$14,0)))/INDEX('Cohort Summary'!$K$5:$K$14,MATCH($A1076,'Cohort Summary'!$A$5:$A$14,0))</f>
        <v>-1.46296296296296</v>
      </c>
      <c r="M1076" s="42" t="n">
        <f aca="false">MAX(I1076:K1076)</f>
        <v>-0.475694444444445</v>
      </c>
      <c r="N1076" s="27" t="s">
        <v>197</v>
      </c>
      <c r="O1076" s="27"/>
      <c r="P1076" s="27" t="str">
        <f aca="false">A1076&amp;"|"&amp;N1076</f>
        <v>NURSE-06|normal</v>
      </c>
    </row>
    <row r="1077" customFormat="false" ht="15" hidden="false" customHeight="true" outlineLevel="0" collapsed="false">
      <c r="A1077" s="27" t="s">
        <v>91</v>
      </c>
      <c r="B1077" s="41" t="n">
        <v>46303.3177083333</v>
      </c>
      <c r="C1077" s="27" t="s">
        <v>200</v>
      </c>
      <c r="D1077" s="27" t="n">
        <v>42</v>
      </c>
      <c r="E1077" s="27" t="n">
        <v>20</v>
      </c>
      <c r="F1077" s="27" t="n">
        <v>27.3</v>
      </c>
      <c r="G1077" s="27" t="n">
        <v>33.1</v>
      </c>
      <c r="H1077" s="27" t="s">
        <v>198</v>
      </c>
      <c r="I1077" s="42" t="n">
        <f aca="false">(D1077-INDEX('Cohort Summary'!$D$5:$D$14,MATCH($A1077,'Cohort Summary'!$A$5:$A$14,0)))/INDEX('Cohort Summary'!$E$5:$E$14,MATCH($A1077,'Cohort Summary'!$A$5:$A$14,0))</f>
        <v>-0.0753424657534243</v>
      </c>
      <c r="J1077" s="42" t="n">
        <f aca="false">(E1077-INDEX('Cohort Summary'!$F$5:$F$14,MATCH($A1077,'Cohort Summary'!$A$5:$A$14,0)))/INDEX('Cohort Summary'!$G$5:$G$14,MATCH($A1077,'Cohort Summary'!$A$5:$A$14,0))</f>
        <v>-0.834951456310679</v>
      </c>
      <c r="K1077" s="42" t="n">
        <f aca="false">(F1077-INDEX('Cohort Summary'!$H$5:$H$14,MATCH($A1077,'Cohort Summary'!$A$5:$A$14,0)))/INDEX('Cohort Summary'!$I$5:$I$14,MATCH($A1077,'Cohort Summary'!$A$5:$A$14,0))</f>
        <v>-0.649305555555556</v>
      </c>
      <c r="L1077" s="42" t="n">
        <f aca="false">(G1077-INDEX('Cohort Summary'!$J$5:$J$14,MATCH($A1077,'Cohort Summary'!$A$5:$A$14,0)))/INDEX('Cohort Summary'!$K$5:$K$14,MATCH($A1077,'Cohort Summary'!$A$5:$A$14,0))</f>
        <v>0.38888888888889</v>
      </c>
      <c r="M1077" s="42" t="n">
        <f aca="false">MAX(I1077:K1077)</f>
        <v>-0.0753424657534243</v>
      </c>
      <c r="N1077" s="27" t="s">
        <v>197</v>
      </c>
      <c r="O1077" s="27"/>
      <c r="P1077" s="27" t="str">
        <f aca="false">A1077&amp;"|"&amp;N1077</f>
        <v>NURSE-06|normal</v>
      </c>
    </row>
    <row r="1078" customFormat="false" ht="15" hidden="false" customHeight="true" outlineLevel="0" collapsed="false">
      <c r="A1078" s="27" t="s">
        <v>91</v>
      </c>
      <c r="B1078" s="41" t="n">
        <v>46303.3180555556</v>
      </c>
      <c r="C1078" s="27" t="s">
        <v>200</v>
      </c>
      <c r="D1078" s="27" t="n">
        <v>40.1</v>
      </c>
      <c r="E1078" s="27" t="n">
        <v>18.2</v>
      </c>
      <c r="F1078" s="27" t="n">
        <v>26</v>
      </c>
      <c r="G1078" s="27" t="n">
        <v>32.1</v>
      </c>
      <c r="H1078" s="27" t="s">
        <v>199</v>
      </c>
      <c r="I1078" s="42" t="n">
        <f aca="false">(D1078-INDEX('Cohort Summary'!$D$5:$D$14,MATCH($A1078,'Cohort Summary'!$A$5:$A$14,0)))/INDEX('Cohort Summary'!$E$5:$E$14,MATCH($A1078,'Cohort Summary'!$A$5:$A$14,0))</f>
        <v>-0.726027397260273</v>
      </c>
      <c r="J1078" s="42" t="n">
        <f aca="false">(E1078-INDEX('Cohort Summary'!$F$5:$F$14,MATCH($A1078,'Cohort Summary'!$A$5:$A$14,0)))/INDEX('Cohort Summary'!$G$5:$G$14,MATCH($A1078,'Cohort Summary'!$A$5:$A$14,0))</f>
        <v>-1.70873786407767</v>
      </c>
      <c r="K1078" s="42" t="n">
        <f aca="false">(F1078-INDEX('Cohort Summary'!$H$5:$H$14,MATCH($A1078,'Cohort Summary'!$A$5:$A$14,0)))/INDEX('Cohort Summary'!$I$5:$I$14,MATCH($A1078,'Cohort Summary'!$A$5:$A$14,0))</f>
        <v>-1.10069444444445</v>
      </c>
      <c r="L1078" s="42" t="n">
        <f aca="false">(G1078-INDEX('Cohort Summary'!$J$5:$J$14,MATCH($A1078,'Cohort Summary'!$A$5:$A$14,0)))/INDEX('Cohort Summary'!$K$5:$K$14,MATCH($A1078,'Cohort Summary'!$A$5:$A$14,0))</f>
        <v>-1.46296296296296</v>
      </c>
      <c r="M1078" s="42" t="n">
        <f aca="false">MAX(I1078:K1078)</f>
        <v>-0.726027397260273</v>
      </c>
      <c r="N1078" s="27" t="s">
        <v>197</v>
      </c>
      <c r="O1078" s="27"/>
      <c r="P1078" s="27" t="str">
        <f aca="false">A1078&amp;"|"&amp;N1078</f>
        <v>NURSE-06|normal</v>
      </c>
    </row>
    <row r="1079" customFormat="false" ht="15" hidden="false" customHeight="true" outlineLevel="0" collapsed="false">
      <c r="A1079" s="27" t="s">
        <v>91</v>
      </c>
      <c r="B1079" s="41" t="n">
        <v>46303.3184027778</v>
      </c>
      <c r="C1079" s="27" t="s">
        <v>200</v>
      </c>
      <c r="D1079" s="27" t="n">
        <v>41.6</v>
      </c>
      <c r="E1079" s="27" t="n">
        <v>20.6</v>
      </c>
      <c r="F1079" s="27" t="n">
        <v>31.8</v>
      </c>
      <c r="G1079" s="27" t="n">
        <v>33.8</v>
      </c>
      <c r="H1079" s="27" t="s">
        <v>196</v>
      </c>
      <c r="I1079" s="42" t="n">
        <f aca="false">(D1079-INDEX('Cohort Summary'!$D$5:$D$14,MATCH($A1079,'Cohort Summary'!$A$5:$A$14,0)))/INDEX('Cohort Summary'!$E$5:$E$14,MATCH($A1079,'Cohort Summary'!$A$5:$A$14,0))</f>
        <v>-0.212328767123287</v>
      </c>
      <c r="J1079" s="42" t="n">
        <f aca="false">(E1079-INDEX('Cohort Summary'!$F$5:$F$14,MATCH($A1079,'Cohort Summary'!$A$5:$A$14,0)))/INDEX('Cohort Summary'!$G$5:$G$14,MATCH($A1079,'Cohort Summary'!$A$5:$A$14,0))</f>
        <v>-0.543689320388348</v>
      </c>
      <c r="K1079" s="42" t="n">
        <f aca="false">(F1079-INDEX('Cohort Summary'!$H$5:$H$14,MATCH($A1079,'Cohort Summary'!$A$5:$A$14,0)))/INDEX('Cohort Summary'!$I$5:$I$14,MATCH($A1079,'Cohort Summary'!$A$5:$A$14,0))</f>
        <v>0.913194444444444</v>
      </c>
      <c r="L1079" s="42" t="n">
        <f aca="false">(G1079-INDEX('Cohort Summary'!$J$5:$J$14,MATCH($A1079,'Cohort Summary'!$A$5:$A$14,0)))/INDEX('Cohort Summary'!$K$5:$K$14,MATCH($A1079,'Cohort Summary'!$A$5:$A$14,0))</f>
        <v>1.68518518518518</v>
      </c>
      <c r="M1079" s="42" t="n">
        <f aca="false">MAX(I1079:K1079)</f>
        <v>0.913194444444444</v>
      </c>
      <c r="N1079" s="27" t="s">
        <v>197</v>
      </c>
      <c r="O1079" s="27"/>
      <c r="P1079" s="27" t="str">
        <f aca="false">A1079&amp;"|"&amp;N1079</f>
        <v>NURSE-06|normal</v>
      </c>
    </row>
    <row r="1080" customFormat="false" ht="15" hidden="false" customHeight="true" outlineLevel="0" collapsed="false">
      <c r="A1080" s="27" t="s">
        <v>91</v>
      </c>
      <c r="B1080" s="41" t="n">
        <v>46303.31875</v>
      </c>
      <c r="C1080" s="27" t="s">
        <v>200</v>
      </c>
      <c r="D1080" s="27" t="n">
        <v>40.6</v>
      </c>
      <c r="E1080" s="27" t="n">
        <v>24.6</v>
      </c>
      <c r="F1080" s="27" t="n">
        <v>30.3</v>
      </c>
      <c r="G1080" s="27" t="n">
        <v>33</v>
      </c>
      <c r="H1080" s="27" t="s">
        <v>196</v>
      </c>
      <c r="I1080" s="42" t="n">
        <f aca="false">(D1080-INDEX('Cohort Summary'!$D$5:$D$14,MATCH($A1080,'Cohort Summary'!$A$5:$A$14,0)))/INDEX('Cohort Summary'!$E$5:$E$14,MATCH($A1080,'Cohort Summary'!$A$5:$A$14,0))</f>
        <v>-0.554794520547944</v>
      </c>
      <c r="J1080" s="42" t="n">
        <f aca="false">(E1080-INDEX('Cohort Summary'!$F$5:$F$14,MATCH($A1080,'Cohort Summary'!$A$5:$A$14,0)))/INDEX('Cohort Summary'!$G$5:$G$14,MATCH($A1080,'Cohort Summary'!$A$5:$A$14,0))</f>
        <v>1.39805825242719</v>
      </c>
      <c r="K1080" s="42" t="n">
        <f aca="false">(F1080-INDEX('Cohort Summary'!$H$5:$H$14,MATCH($A1080,'Cohort Summary'!$A$5:$A$14,0)))/INDEX('Cohort Summary'!$I$5:$I$14,MATCH($A1080,'Cohort Summary'!$A$5:$A$14,0))</f>
        <v>0.392361111111111</v>
      </c>
      <c r="L1080" s="42" t="n">
        <f aca="false">(G1080-INDEX('Cohort Summary'!$J$5:$J$14,MATCH($A1080,'Cohort Summary'!$A$5:$A$14,0)))/INDEX('Cohort Summary'!$K$5:$K$14,MATCH($A1080,'Cohort Summary'!$A$5:$A$14,0))</f>
        <v>0.203703703703703</v>
      </c>
      <c r="M1080" s="42" t="n">
        <f aca="false">MAX(I1080:K1080)</f>
        <v>1.39805825242719</v>
      </c>
      <c r="N1080" s="27" t="s">
        <v>197</v>
      </c>
      <c r="O1080" s="27"/>
      <c r="P1080" s="27" t="str">
        <f aca="false">A1080&amp;"|"&amp;N1080</f>
        <v>NURSE-06|normal</v>
      </c>
    </row>
    <row r="1081" customFormat="false" ht="15" hidden="false" customHeight="true" outlineLevel="0" collapsed="false">
      <c r="A1081" s="27" t="s">
        <v>91</v>
      </c>
      <c r="B1081" s="41" t="n">
        <v>46303.3190972222</v>
      </c>
      <c r="C1081" s="27" t="s">
        <v>200</v>
      </c>
      <c r="D1081" s="27" t="n">
        <v>43.7</v>
      </c>
      <c r="E1081" s="27" t="n">
        <v>20.5</v>
      </c>
      <c r="F1081" s="27" t="n">
        <v>30</v>
      </c>
      <c r="G1081" s="27" t="n">
        <v>32.5</v>
      </c>
      <c r="H1081" s="27" t="s">
        <v>196</v>
      </c>
      <c r="I1081" s="42" t="n">
        <f aca="false">(D1081-INDEX('Cohort Summary'!$D$5:$D$14,MATCH($A1081,'Cohort Summary'!$A$5:$A$14,0)))/INDEX('Cohort Summary'!$E$5:$E$14,MATCH($A1081,'Cohort Summary'!$A$5:$A$14,0))</f>
        <v>0.506849315068495</v>
      </c>
      <c r="J1081" s="42" t="n">
        <f aca="false">(E1081-INDEX('Cohort Summary'!$F$5:$F$14,MATCH($A1081,'Cohort Summary'!$A$5:$A$14,0)))/INDEX('Cohort Summary'!$G$5:$G$14,MATCH($A1081,'Cohort Summary'!$A$5:$A$14,0))</f>
        <v>-0.592233009708737</v>
      </c>
      <c r="K1081" s="42" t="n">
        <f aca="false">(F1081-INDEX('Cohort Summary'!$H$5:$H$14,MATCH($A1081,'Cohort Summary'!$A$5:$A$14,0)))/INDEX('Cohort Summary'!$I$5:$I$14,MATCH($A1081,'Cohort Summary'!$A$5:$A$14,0))</f>
        <v>0.288194444444444</v>
      </c>
      <c r="L1081" s="42" t="n">
        <f aca="false">(G1081-INDEX('Cohort Summary'!$J$5:$J$14,MATCH($A1081,'Cohort Summary'!$A$5:$A$14,0)))/INDEX('Cohort Summary'!$K$5:$K$14,MATCH($A1081,'Cohort Summary'!$A$5:$A$14,0))</f>
        <v>-0.722222222222223</v>
      </c>
      <c r="M1081" s="42" t="n">
        <f aca="false">MAX(I1081:K1081)</f>
        <v>0.506849315068495</v>
      </c>
      <c r="N1081" s="27" t="s">
        <v>197</v>
      </c>
      <c r="O1081" s="27"/>
      <c r="P1081" s="27" t="str">
        <f aca="false">A1081&amp;"|"&amp;N1081</f>
        <v>NURSE-06|normal</v>
      </c>
    </row>
    <row r="1082" customFormat="false" ht="15" hidden="false" customHeight="true" outlineLevel="0" collapsed="false">
      <c r="A1082" s="27" t="s">
        <v>91</v>
      </c>
      <c r="B1082" s="41" t="n">
        <v>46303.3194444445</v>
      </c>
      <c r="C1082" s="27" t="s">
        <v>200</v>
      </c>
      <c r="D1082" s="27" t="n">
        <v>39.4</v>
      </c>
      <c r="E1082" s="27" t="n">
        <v>24.8</v>
      </c>
      <c r="F1082" s="27" t="n">
        <v>33.6</v>
      </c>
      <c r="G1082" s="27" t="n">
        <v>31.9</v>
      </c>
      <c r="H1082" s="27" t="s">
        <v>196</v>
      </c>
      <c r="I1082" s="42" t="n">
        <f aca="false">(D1082-INDEX('Cohort Summary'!$D$5:$D$14,MATCH($A1082,'Cohort Summary'!$A$5:$A$14,0)))/INDEX('Cohort Summary'!$E$5:$E$14,MATCH($A1082,'Cohort Summary'!$A$5:$A$14,0))</f>
        <v>-0.965753424657534</v>
      </c>
      <c r="J1082" s="42" t="n">
        <f aca="false">(E1082-INDEX('Cohort Summary'!$F$5:$F$14,MATCH($A1082,'Cohort Summary'!$A$5:$A$14,0)))/INDEX('Cohort Summary'!$G$5:$G$14,MATCH($A1082,'Cohort Summary'!$A$5:$A$14,0))</f>
        <v>1.49514563106796</v>
      </c>
      <c r="K1082" s="42" t="n">
        <f aca="false">(F1082-INDEX('Cohort Summary'!$H$5:$H$14,MATCH($A1082,'Cohort Summary'!$A$5:$A$14,0)))/INDEX('Cohort Summary'!$I$5:$I$14,MATCH($A1082,'Cohort Summary'!$A$5:$A$14,0))</f>
        <v>1.53819444444444</v>
      </c>
      <c r="L1082" s="42" t="n">
        <f aca="false">(G1082-INDEX('Cohort Summary'!$J$5:$J$14,MATCH($A1082,'Cohort Summary'!$A$5:$A$14,0)))/INDEX('Cohort Summary'!$K$5:$K$14,MATCH($A1082,'Cohort Summary'!$A$5:$A$14,0))</f>
        <v>-1.83333333333334</v>
      </c>
      <c r="M1082" s="42" t="n">
        <f aca="false">MAX(I1082:K1082)</f>
        <v>1.53819444444444</v>
      </c>
      <c r="N1082" s="27" t="s">
        <v>197</v>
      </c>
      <c r="O1082" s="27"/>
      <c r="P1082" s="27" t="str">
        <f aca="false">A1082&amp;"|"&amp;N1082</f>
        <v>NURSE-06|normal</v>
      </c>
    </row>
    <row r="1083" customFormat="false" ht="15" hidden="false" customHeight="true" outlineLevel="0" collapsed="false">
      <c r="A1083" s="27" t="s">
        <v>91</v>
      </c>
      <c r="B1083" s="41" t="n">
        <v>46303.3197916667</v>
      </c>
      <c r="C1083" s="27" t="s">
        <v>200</v>
      </c>
      <c r="D1083" s="27" t="n">
        <v>37.7</v>
      </c>
      <c r="E1083" s="27" t="n">
        <v>21.6</v>
      </c>
      <c r="F1083" s="27" t="n">
        <v>39.6</v>
      </c>
      <c r="G1083" s="27" t="n">
        <v>33.4</v>
      </c>
      <c r="H1083" s="27" t="s">
        <v>198</v>
      </c>
      <c r="I1083" s="42" t="n">
        <f aca="false">(D1083-INDEX('Cohort Summary'!$D$5:$D$14,MATCH($A1083,'Cohort Summary'!$A$5:$A$14,0)))/INDEX('Cohort Summary'!$E$5:$E$14,MATCH($A1083,'Cohort Summary'!$A$5:$A$14,0))</f>
        <v>-1.54794520547945</v>
      </c>
      <c r="J1083" s="42" t="n">
        <f aca="false">(E1083-INDEX('Cohort Summary'!$F$5:$F$14,MATCH($A1083,'Cohort Summary'!$A$5:$A$14,0)))/INDEX('Cohort Summary'!$G$5:$G$14,MATCH($A1083,'Cohort Summary'!$A$5:$A$14,0))</f>
        <v>-0.0582524271844648</v>
      </c>
      <c r="K1083" s="42" t="n">
        <f aca="false">(F1083-INDEX('Cohort Summary'!$H$5:$H$14,MATCH($A1083,'Cohort Summary'!$A$5:$A$14,0)))/INDEX('Cohort Summary'!$I$5:$I$14,MATCH($A1083,'Cohort Summary'!$A$5:$A$14,0))</f>
        <v>3.62152777777778</v>
      </c>
      <c r="L1083" s="42" t="n">
        <f aca="false">(G1083-INDEX('Cohort Summary'!$J$5:$J$14,MATCH($A1083,'Cohort Summary'!$A$5:$A$14,0)))/INDEX('Cohort Summary'!$K$5:$K$14,MATCH($A1083,'Cohort Summary'!$A$5:$A$14,0))</f>
        <v>0.944444444444441</v>
      </c>
      <c r="M1083" s="42" t="n">
        <f aca="false">MAX(I1083:K1083)</f>
        <v>3.62152777777778</v>
      </c>
      <c r="N1083" s="27" t="s">
        <v>201</v>
      </c>
      <c r="O1083" s="27" t="s">
        <v>254</v>
      </c>
      <c r="P1083" s="27" t="str">
        <f aca="false">A1083&amp;"|"&amp;N1083</f>
        <v>NURSE-06|caution</v>
      </c>
    </row>
    <row r="1084" customFormat="false" ht="15" hidden="false" customHeight="true" outlineLevel="0" collapsed="false">
      <c r="A1084" s="27" t="s">
        <v>91</v>
      </c>
      <c r="B1084" s="41" t="n">
        <v>46303.3201388889</v>
      </c>
      <c r="C1084" s="27" t="s">
        <v>200</v>
      </c>
      <c r="D1084" s="27" t="n">
        <v>43.7</v>
      </c>
      <c r="E1084" s="27" t="n">
        <v>22.8</v>
      </c>
      <c r="F1084" s="27" t="n">
        <v>42.3</v>
      </c>
      <c r="G1084" s="27" t="n">
        <v>33.9</v>
      </c>
      <c r="H1084" s="27" t="s">
        <v>196</v>
      </c>
      <c r="I1084" s="42" t="n">
        <f aca="false">(D1084-INDEX('Cohort Summary'!$D$5:$D$14,MATCH($A1084,'Cohort Summary'!$A$5:$A$14,0)))/INDEX('Cohort Summary'!$E$5:$E$14,MATCH($A1084,'Cohort Summary'!$A$5:$A$14,0))</f>
        <v>0.506849315068495</v>
      </c>
      <c r="J1084" s="42" t="n">
        <f aca="false">(E1084-INDEX('Cohort Summary'!$F$5:$F$14,MATCH($A1084,'Cohort Summary'!$A$5:$A$14,0)))/INDEX('Cohort Summary'!$G$5:$G$14,MATCH($A1084,'Cohort Summary'!$A$5:$A$14,0))</f>
        <v>0.524271844660195</v>
      </c>
      <c r="K1084" s="42" t="n">
        <f aca="false">(F1084-INDEX('Cohort Summary'!$H$5:$H$14,MATCH($A1084,'Cohort Summary'!$A$5:$A$14,0)))/INDEX('Cohort Summary'!$I$5:$I$14,MATCH($A1084,'Cohort Summary'!$A$5:$A$14,0))</f>
        <v>4.55902777777778</v>
      </c>
      <c r="L1084" s="42" t="n">
        <f aca="false">(G1084-INDEX('Cohort Summary'!$J$5:$J$14,MATCH($A1084,'Cohort Summary'!$A$5:$A$14,0)))/INDEX('Cohort Summary'!$K$5:$K$14,MATCH($A1084,'Cohort Summary'!$A$5:$A$14,0))</f>
        <v>1.87037037037037</v>
      </c>
      <c r="M1084" s="42" t="n">
        <f aca="false">MAX(I1084:K1084)</f>
        <v>4.55902777777778</v>
      </c>
      <c r="N1084" s="27" t="s">
        <v>201</v>
      </c>
      <c r="O1084" s="27" t="s">
        <v>255</v>
      </c>
      <c r="P1084" s="27" t="str">
        <f aca="false">A1084&amp;"|"&amp;N1084</f>
        <v>NURSE-06|caution</v>
      </c>
    </row>
    <row r="1085" customFormat="false" ht="15" hidden="false" customHeight="true" outlineLevel="0" collapsed="false">
      <c r="A1085" s="27" t="s">
        <v>91</v>
      </c>
      <c r="B1085" s="41" t="n">
        <v>46303.3204861111</v>
      </c>
      <c r="C1085" s="27" t="s">
        <v>200</v>
      </c>
      <c r="D1085" s="27" t="n">
        <v>42.8</v>
      </c>
      <c r="E1085" s="27" t="n">
        <v>22.7</v>
      </c>
      <c r="F1085" s="27" t="n">
        <v>35.7</v>
      </c>
      <c r="G1085" s="27" t="n">
        <v>33.8</v>
      </c>
      <c r="H1085" s="27" t="s">
        <v>198</v>
      </c>
      <c r="I1085" s="42" t="n">
        <f aca="false">(D1085-INDEX('Cohort Summary'!$D$5:$D$14,MATCH($A1085,'Cohort Summary'!$A$5:$A$14,0)))/INDEX('Cohort Summary'!$E$5:$E$14,MATCH($A1085,'Cohort Summary'!$A$5:$A$14,0))</f>
        <v>0.198630136986301</v>
      </c>
      <c r="J1085" s="42" t="n">
        <f aca="false">(E1085-INDEX('Cohort Summary'!$F$5:$F$14,MATCH($A1085,'Cohort Summary'!$A$5:$A$14,0)))/INDEX('Cohort Summary'!$G$5:$G$14,MATCH($A1085,'Cohort Summary'!$A$5:$A$14,0))</f>
        <v>0.475728155339806</v>
      </c>
      <c r="K1085" s="42" t="n">
        <f aca="false">(F1085-INDEX('Cohort Summary'!$H$5:$H$14,MATCH($A1085,'Cohort Summary'!$A$5:$A$14,0)))/INDEX('Cohort Summary'!$I$5:$I$14,MATCH($A1085,'Cohort Summary'!$A$5:$A$14,0))</f>
        <v>2.26736111111111</v>
      </c>
      <c r="L1085" s="42" t="n">
        <f aca="false">(G1085-INDEX('Cohort Summary'!$J$5:$J$14,MATCH($A1085,'Cohort Summary'!$A$5:$A$14,0)))/INDEX('Cohort Summary'!$K$5:$K$14,MATCH($A1085,'Cohort Summary'!$A$5:$A$14,0))</f>
        <v>1.68518518518518</v>
      </c>
      <c r="M1085" s="42" t="n">
        <f aca="false">MAX(I1085:K1085)</f>
        <v>2.26736111111111</v>
      </c>
      <c r="N1085" s="27" t="s">
        <v>201</v>
      </c>
      <c r="O1085" s="27" t="s">
        <v>256</v>
      </c>
      <c r="P1085" s="27" t="str">
        <f aca="false">A1085&amp;"|"&amp;N1085</f>
        <v>NURSE-06|caution</v>
      </c>
    </row>
    <row r="1086" customFormat="false" ht="15" hidden="false" customHeight="true" outlineLevel="0" collapsed="false">
      <c r="A1086" s="27" t="s">
        <v>91</v>
      </c>
      <c r="B1086" s="41" t="n">
        <v>46303.3208333333</v>
      </c>
      <c r="C1086" s="27" t="s">
        <v>200</v>
      </c>
      <c r="D1086" s="27" t="n">
        <v>46.7</v>
      </c>
      <c r="E1086" s="27" t="n">
        <v>20.2</v>
      </c>
      <c r="F1086" s="27" t="n">
        <v>38.7</v>
      </c>
      <c r="G1086" s="27" t="n">
        <v>31.9</v>
      </c>
      <c r="H1086" s="27" t="s">
        <v>199</v>
      </c>
      <c r="I1086" s="42" t="n">
        <f aca="false">(D1086-INDEX('Cohort Summary'!$D$5:$D$14,MATCH($A1086,'Cohort Summary'!$A$5:$A$14,0)))/INDEX('Cohort Summary'!$E$5:$E$14,MATCH($A1086,'Cohort Summary'!$A$5:$A$14,0))</f>
        <v>1.53424657534247</v>
      </c>
      <c r="J1086" s="42" t="n">
        <f aca="false">(E1086-INDEX('Cohort Summary'!$F$5:$F$14,MATCH($A1086,'Cohort Summary'!$A$5:$A$14,0)))/INDEX('Cohort Summary'!$G$5:$G$14,MATCH($A1086,'Cohort Summary'!$A$5:$A$14,0))</f>
        <v>-0.737864077669903</v>
      </c>
      <c r="K1086" s="42" t="n">
        <f aca="false">(F1086-INDEX('Cohort Summary'!$H$5:$H$14,MATCH($A1086,'Cohort Summary'!$A$5:$A$14,0)))/INDEX('Cohort Summary'!$I$5:$I$14,MATCH($A1086,'Cohort Summary'!$A$5:$A$14,0))</f>
        <v>3.30902777777778</v>
      </c>
      <c r="L1086" s="42" t="n">
        <f aca="false">(G1086-INDEX('Cohort Summary'!$J$5:$J$14,MATCH($A1086,'Cohort Summary'!$A$5:$A$14,0)))/INDEX('Cohort Summary'!$K$5:$K$14,MATCH($A1086,'Cohort Summary'!$A$5:$A$14,0))</f>
        <v>-1.83333333333334</v>
      </c>
      <c r="M1086" s="42" t="n">
        <f aca="false">MAX(I1086:K1086)</f>
        <v>3.30902777777778</v>
      </c>
      <c r="N1086" s="27" t="s">
        <v>201</v>
      </c>
      <c r="O1086" s="27" t="s">
        <v>257</v>
      </c>
      <c r="P1086" s="27" t="str">
        <f aca="false">A1086&amp;"|"&amp;N1086</f>
        <v>NURSE-06|caution</v>
      </c>
    </row>
    <row r="1087" customFormat="false" ht="15" hidden="false" customHeight="true" outlineLevel="0" collapsed="false">
      <c r="A1087" s="27" t="s">
        <v>91</v>
      </c>
      <c r="B1087" s="41" t="n">
        <v>46303.3211805556</v>
      </c>
      <c r="C1087" s="27" t="s">
        <v>200</v>
      </c>
      <c r="D1087" s="27" t="n">
        <v>40.5</v>
      </c>
      <c r="E1087" s="27" t="n">
        <v>23</v>
      </c>
      <c r="F1087" s="27" t="n">
        <v>29.3</v>
      </c>
      <c r="G1087" s="27" t="n">
        <v>32.3</v>
      </c>
      <c r="H1087" s="27" t="s">
        <v>196</v>
      </c>
      <c r="I1087" s="42" t="n">
        <f aca="false">(D1087-INDEX('Cohort Summary'!$D$5:$D$14,MATCH($A1087,'Cohort Summary'!$A$5:$A$14,0)))/INDEX('Cohort Summary'!$E$5:$E$14,MATCH($A1087,'Cohort Summary'!$A$5:$A$14,0))</f>
        <v>-0.589041095890411</v>
      </c>
      <c r="J1087" s="42" t="n">
        <f aca="false">(E1087-INDEX('Cohort Summary'!$F$5:$F$14,MATCH($A1087,'Cohort Summary'!$A$5:$A$14,0)))/INDEX('Cohort Summary'!$G$5:$G$14,MATCH($A1087,'Cohort Summary'!$A$5:$A$14,0))</f>
        <v>0.621359223300971</v>
      </c>
      <c r="K1087" s="42" t="n">
        <f aca="false">(F1087-INDEX('Cohort Summary'!$H$5:$H$14,MATCH($A1087,'Cohort Summary'!$A$5:$A$14,0)))/INDEX('Cohort Summary'!$I$5:$I$14,MATCH($A1087,'Cohort Summary'!$A$5:$A$14,0))</f>
        <v>0.0451388888888886</v>
      </c>
      <c r="L1087" s="42" t="n">
        <f aca="false">(G1087-INDEX('Cohort Summary'!$J$5:$J$14,MATCH($A1087,'Cohort Summary'!$A$5:$A$14,0)))/INDEX('Cohort Summary'!$K$5:$K$14,MATCH($A1087,'Cohort Summary'!$A$5:$A$14,0))</f>
        <v>-1.0925925925926</v>
      </c>
      <c r="M1087" s="42" t="n">
        <f aca="false">MAX(I1087:K1087)</f>
        <v>0.621359223300971</v>
      </c>
      <c r="N1087" s="27" t="s">
        <v>197</v>
      </c>
      <c r="O1087" s="27"/>
      <c r="P1087" s="27" t="str">
        <f aca="false">A1087&amp;"|"&amp;N1087</f>
        <v>NURSE-06|normal</v>
      </c>
    </row>
    <row r="1088" customFormat="false" ht="15" hidden="false" customHeight="true" outlineLevel="0" collapsed="false">
      <c r="A1088" s="27" t="s">
        <v>91</v>
      </c>
      <c r="B1088" s="41" t="n">
        <v>46303.3215277778</v>
      </c>
      <c r="C1088" s="27" t="s">
        <v>200</v>
      </c>
      <c r="D1088" s="27" t="n">
        <v>39</v>
      </c>
      <c r="E1088" s="27" t="n">
        <v>19.3</v>
      </c>
      <c r="F1088" s="27" t="n">
        <v>32.3</v>
      </c>
      <c r="G1088" s="27" t="n">
        <v>32.1</v>
      </c>
      <c r="H1088" s="27" t="s">
        <v>198</v>
      </c>
      <c r="I1088" s="42" t="n">
        <f aca="false">(D1088-INDEX('Cohort Summary'!$D$5:$D$14,MATCH($A1088,'Cohort Summary'!$A$5:$A$14,0)))/INDEX('Cohort Summary'!$E$5:$E$14,MATCH($A1088,'Cohort Summary'!$A$5:$A$14,0))</f>
        <v>-1.1027397260274</v>
      </c>
      <c r="J1088" s="42" t="n">
        <f aca="false">(E1088-INDEX('Cohort Summary'!$F$5:$F$14,MATCH($A1088,'Cohort Summary'!$A$5:$A$14,0)))/INDEX('Cohort Summary'!$G$5:$G$14,MATCH($A1088,'Cohort Summary'!$A$5:$A$14,0))</f>
        <v>-1.1747572815534</v>
      </c>
      <c r="K1088" s="42" t="n">
        <f aca="false">(F1088-INDEX('Cohort Summary'!$H$5:$H$14,MATCH($A1088,'Cohort Summary'!$A$5:$A$14,0)))/INDEX('Cohort Summary'!$I$5:$I$14,MATCH($A1088,'Cohort Summary'!$A$5:$A$14,0))</f>
        <v>1.08680555555555</v>
      </c>
      <c r="L1088" s="42" t="n">
        <f aca="false">(G1088-INDEX('Cohort Summary'!$J$5:$J$14,MATCH($A1088,'Cohort Summary'!$A$5:$A$14,0)))/INDEX('Cohort Summary'!$K$5:$K$14,MATCH($A1088,'Cohort Summary'!$A$5:$A$14,0))</f>
        <v>-1.46296296296296</v>
      </c>
      <c r="M1088" s="42" t="n">
        <f aca="false">MAX(I1088:K1088)</f>
        <v>1.08680555555555</v>
      </c>
      <c r="N1088" s="27" t="s">
        <v>197</v>
      </c>
      <c r="O1088" s="27"/>
      <c r="P1088" s="27" t="str">
        <f aca="false">A1088&amp;"|"&amp;N1088</f>
        <v>NURSE-06|normal</v>
      </c>
    </row>
    <row r="1089" customFormat="false" ht="15" hidden="false" customHeight="true" outlineLevel="0" collapsed="false">
      <c r="A1089" s="27" t="s">
        <v>91</v>
      </c>
      <c r="B1089" s="41" t="n">
        <v>46303.321875</v>
      </c>
      <c r="C1089" s="27" t="s">
        <v>200</v>
      </c>
      <c r="D1089" s="27" t="n">
        <v>39.7</v>
      </c>
      <c r="E1089" s="27" t="n">
        <v>24.2</v>
      </c>
      <c r="F1089" s="27" t="n">
        <v>29.2</v>
      </c>
      <c r="G1089" s="27" t="n">
        <v>32.5</v>
      </c>
      <c r="H1089" s="27" t="s">
        <v>199</v>
      </c>
      <c r="I1089" s="42" t="n">
        <f aca="false">(D1089-INDEX('Cohort Summary'!$D$5:$D$14,MATCH($A1089,'Cohort Summary'!$A$5:$A$14,0)))/INDEX('Cohort Summary'!$E$5:$E$14,MATCH($A1089,'Cohort Summary'!$A$5:$A$14,0))</f>
        <v>-0.863013698630136</v>
      </c>
      <c r="J1089" s="42" t="n">
        <f aca="false">(E1089-INDEX('Cohort Summary'!$F$5:$F$14,MATCH($A1089,'Cohort Summary'!$A$5:$A$14,0)))/INDEX('Cohort Summary'!$G$5:$G$14,MATCH($A1089,'Cohort Summary'!$A$5:$A$14,0))</f>
        <v>1.20388349514563</v>
      </c>
      <c r="K1089" s="42" t="n">
        <f aca="false">(F1089-INDEX('Cohort Summary'!$H$5:$H$14,MATCH($A1089,'Cohort Summary'!$A$5:$A$14,0)))/INDEX('Cohort Summary'!$I$5:$I$14,MATCH($A1089,'Cohort Summary'!$A$5:$A$14,0))</f>
        <v>0.0104166666666658</v>
      </c>
      <c r="L1089" s="42" t="n">
        <f aca="false">(G1089-INDEX('Cohort Summary'!$J$5:$J$14,MATCH($A1089,'Cohort Summary'!$A$5:$A$14,0)))/INDEX('Cohort Summary'!$K$5:$K$14,MATCH($A1089,'Cohort Summary'!$A$5:$A$14,0))</f>
        <v>-0.722222222222223</v>
      </c>
      <c r="M1089" s="42" t="n">
        <f aca="false">MAX(I1089:K1089)</f>
        <v>1.20388349514563</v>
      </c>
      <c r="N1089" s="27" t="s">
        <v>197</v>
      </c>
      <c r="O1089" s="27"/>
      <c r="P1089" s="27" t="str">
        <f aca="false">A1089&amp;"|"&amp;N1089</f>
        <v>NURSE-06|normal</v>
      </c>
    </row>
    <row r="1090" customFormat="false" ht="15" hidden="false" customHeight="true" outlineLevel="0" collapsed="false">
      <c r="A1090" s="27" t="s">
        <v>91</v>
      </c>
      <c r="B1090" s="41" t="n">
        <v>46303.3222222222</v>
      </c>
      <c r="C1090" s="27" t="s">
        <v>200</v>
      </c>
      <c r="D1090" s="27" t="n">
        <v>41.1</v>
      </c>
      <c r="E1090" s="27" t="n">
        <v>22.9</v>
      </c>
      <c r="F1090" s="27" t="n">
        <v>24.7</v>
      </c>
      <c r="G1090" s="27" t="n">
        <v>33.6</v>
      </c>
      <c r="H1090" s="27" t="s">
        <v>199</v>
      </c>
      <c r="I1090" s="42" t="n">
        <f aca="false">(D1090-INDEX('Cohort Summary'!$D$5:$D$14,MATCH($A1090,'Cohort Summary'!$A$5:$A$14,0)))/INDEX('Cohort Summary'!$E$5:$E$14,MATCH($A1090,'Cohort Summary'!$A$5:$A$14,0))</f>
        <v>-0.383561643835616</v>
      </c>
      <c r="J1090" s="42" t="n">
        <f aca="false">(E1090-INDEX('Cohort Summary'!$F$5:$F$14,MATCH($A1090,'Cohort Summary'!$A$5:$A$14,0)))/INDEX('Cohort Summary'!$G$5:$G$14,MATCH($A1090,'Cohort Summary'!$A$5:$A$14,0))</f>
        <v>0.572815533980582</v>
      </c>
      <c r="K1090" s="42" t="n">
        <f aca="false">(F1090-INDEX('Cohort Summary'!$H$5:$H$14,MATCH($A1090,'Cohort Summary'!$A$5:$A$14,0)))/INDEX('Cohort Summary'!$I$5:$I$14,MATCH($A1090,'Cohort Summary'!$A$5:$A$14,0))</f>
        <v>-1.55208333333333</v>
      </c>
      <c r="L1090" s="42" t="n">
        <f aca="false">(G1090-INDEX('Cohort Summary'!$J$5:$J$14,MATCH($A1090,'Cohort Summary'!$A$5:$A$14,0)))/INDEX('Cohort Summary'!$K$5:$K$14,MATCH($A1090,'Cohort Summary'!$A$5:$A$14,0))</f>
        <v>1.31481481481482</v>
      </c>
      <c r="M1090" s="42" t="n">
        <f aca="false">MAX(I1090:K1090)</f>
        <v>0.572815533980582</v>
      </c>
      <c r="N1090" s="27" t="s">
        <v>197</v>
      </c>
      <c r="O1090" s="27"/>
      <c r="P1090" s="27" t="str">
        <f aca="false">A1090&amp;"|"&amp;N1090</f>
        <v>NURSE-06|normal</v>
      </c>
    </row>
    <row r="1091" customFormat="false" ht="15" hidden="false" customHeight="true" outlineLevel="0" collapsed="false">
      <c r="A1091" s="27" t="s">
        <v>91</v>
      </c>
      <c r="B1091" s="41" t="n">
        <v>46303.3225694444</v>
      </c>
      <c r="C1091" s="27" t="s">
        <v>200</v>
      </c>
      <c r="D1091" s="27" t="n">
        <v>38.1</v>
      </c>
      <c r="E1091" s="27" t="n">
        <v>23.2</v>
      </c>
      <c r="F1091" s="27" t="n">
        <v>26.7</v>
      </c>
      <c r="G1091" s="27" t="n">
        <v>32.2</v>
      </c>
      <c r="H1091" s="27" t="s">
        <v>199</v>
      </c>
      <c r="I1091" s="42" t="n">
        <f aca="false">(D1091-INDEX('Cohort Summary'!$D$5:$D$14,MATCH($A1091,'Cohort Summary'!$A$5:$A$14,0)))/INDEX('Cohort Summary'!$E$5:$E$14,MATCH($A1091,'Cohort Summary'!$A$5:$A$14,0))</f>
        <v>-1.41095890410959</v>
      </c>
      <c r="J1091" s="42" t="n">
        <f aca="false">(E1091-INDEX('Cohort Summary'!$F$5:$F$14,MATCH($A1091,'Cohort Summary'!$A$5:$A$14,0)))/INDEX('Cohort Summary'!$G$5:$G$14,MATCH($A1091,'Cohort Summary'!$A$5:$A$14,0))</f>
        <v>0.718446601941748</v>
      </c>
      <c r="K1091" s="42" t="n">
        <f aca="false">(F1091-INDEX('Cohort Summary'!$H$5:$H$14,MATCH($A1091,'Cohort Summary'!$A$5:$A$14,0)))/INDEX('Cohort Summary'!$I$5:$I$14,MATCH($A1091,'Cohort Summary'!$A$5:$A$14,0))</f>
        <v>-0.85763888888889</v>
      </c>
      <c r="L1091" s="42" t="n">
        <f aca="false">(G1091-INDEX('Cohort Summary'!$J$5:$J$14,MATCH($A1091,'Cohort Summary'!$A$5:$A$14,0)))/INDEX('Cohort Summary'!$K$5:$K$14,MATCH($A1091,'Cohort Summary'!$A$5:$A$14,0))</f>
        <v>-1.27777777777777</v>
      </c>
      <c r="M1091" s="42" t="n">
        <f aca="false">MAX(I1091:K1091)</f>
        <v>0.718446601941748</v>
      </c>
      <c r="N1091" s="27" t="s">
        <v>197</v>
      </c>
      <c r="O1091" s="27"/>
      <c r="P1091" s="27" t="str">
        <f aca="false">A1091&amp;"|"&amp;N1091</f>
        <v>NURSE-06|normal</v>
      </c>
    </row>
    <row r="1092" customFormat="false" ht="15" hidden="false" customHeight="true" outlineLevel="0" collapsed="false">
      <c r="A1092" s="27" t="s">
        <v>91</v>
      </c>
      <c r="B1092" s="41" t="n">
        <v>46303.3229166667</v>
      </c>
      <c r="C1092" s="27" t="s">
        <v>200</v>
      </c>
      <c r="D1092" s="27" t="n">
        <v>45.7</v>
      </c>
      <c r="E1092" s="27" t="n">
        <v>18.2</v>
      </c>
      <c r="F1092" s="27" t="n">
        <v>24.3</v>
      </c>
      <c r="G1092" s="27" t="n">
        <v>32</v>
      </c>
      <c r="H1092" s="27" t="s">
        <v>199</v>
      </c>
      <c r="I1092" s="42" t="n">
        <f aca="false">(D1092-INDEX('Cohort Summary'!$D$5:$D$14,MATCH($A1092,'Cohort Summary'!$A$5:$A$14,0)))/INDEX('Cohort Summary'!$E$5:$E$14,MATCH($A1092,'Cohort Summary'!$A$5:$A$14,0))</f>
        <v>1.19178082191781</v>
      </c>
      <c r="J1092" s="42" t="n">
        <f aca="false">(E1092-INDEX('Cohort Summary'!$F$5:$F$14,MATCH($A1092,'Cohort Summary'!$A$5:$A$14,0)))/INDEX('Cohort Summary'!$G$5:$G$14,MATCH($A1092,'Cohort Summary'!$A$5:$A$14,0))</f>
        <v>-1.70873786407767</v>
      </c>
      <c r="K1092" s="42" t="n">
        <f aca="false">(F1092-INDEX('Cohort Summary'!$H$5:$H$14,MATCH($A1092,'Cohort Summary'!$A$5:$A$14,0)))/INDEX('Cohort Summary'!$I$5:$I$14,MATCH($A1092,'Cohort Summary'!$A$5:$A$14,0))</f>
        <v>-1.69097222222222</v>
      </c>
      <c r="L1092" s="42" t="n">
        <f aca="false">(G1092-INDEX('Cohort Summary'!$J$5:$J$14,MATCH($A1092,'Cohort Summary'!$A$5:$A$14,0)))/INDEX('Cohort Summary'!$K$5:$K$14,MATCH($A1092,'Cohort Summary'!$A$5:$A$14,0))</f>
        <v>-1.64814814814815</v>
      </c>
      <c r="M1092" s="42" t="n">
        <f aca="false">MAX(I1092:K1092)</f>
        <v>1.19178082191781</v>
      </c>
      <c r="N1092" s="27" t="s">
        <v>197</v>
      </c>
      <c r="O1092" s="27"/>
      <c r="P1092" s="27" t="str">
        <f aca="false">A1092&amp;"|"&amp;N1092</f>
        <v>NURSE-06|normal</v>
      </c>
    </row>
    <row r="1093" customFormat="false" ht="15" hidden="false" customHeight="true" outlineLevel="0" collapsed="false">
      <c r="A1093" s="27" t="s">
        <v>91</v>
      </c>
      <c r="B1093" s="41" t="n">
        <v>46303.3232638889</v>
      </c>
      <c r="C1093" s="27" t="s">
        <v>200</v>
      </c>
      <c r="D1093" s="27" t="n">
        <v>43.2</v>
      </c>
      <c r="E1093" s="27" t="n">
        <v>22.6</v>
      </c>
      <c r="F1093" s="27" t="n">
        <v>25.6</v>
      </c>
      <c r="G1093" s="27" t="n">
        <v>33.4</v>
      </c>
      <c r="H1093" s="27" t="s">
        <v>196</v>
      </c>
      <c r="I1093" s="42" t="n">
        <f aca="false">(D1093-INDEX('Cohort Summary'!$D$5:$D$14,MATCH($A1093,'Cohort Summary'!$A$5:$A$14,0)))/INDEX('Cohort Summary'!$E$5:$E$14,MATCH($A1093,'Cohort Summary'!$A$5:$A$14,0))</f>
        <v>0.335616438356166</v>
      </c>
      <c r="J1093" s="42" t="n">
        <f aca="false">(E1093-INDEX('Cohort Summary'!$F$5:$F$14,MATCH($A1093,'Cohort Summary'!$A$5:$A$14,0)))/INDEX('Cohort Summary'!$G$5:$G$14,MATCH($A1093,'Cohort Summary'!$A$5:$A$14,0))</f>
        <v>0.427184466019419</v>
      </c>
      <c r="K1093" s="42" t="n">
        <f aca="false">(F1093-INDEX('Cohort Summary'!$H$5:$H$14,MATCH($A1093,'Cohort Summary'!$A$5:$A$14,0)))/INDEX('Cohort Summary'!$I$5:$I$14,MATCH($A1093,'Cohort Summary'!$A$5:$A$14,0))</f>
        <v>-1.23958333333333</v>
      </c>
      <c r="L1093" s="42" t="n">
        <f aca="false">(G1093-INDEX('Cohort Summary'!$J$5:$J$14,MATCH($A1093,'Cohort Summary'!$A$5:$A$14,0)))/INDEX('Cohort Summary'!$K$5:$K$14,MATCH($A1093,'Cohort Summary'!$A$5:$A$14,0))</f>
        <v>0.944444444444441</v>
      </c>
      <c r="M1093" s="42" t="n">
        <f aca="false">MAX(I1093:K1093)</f>
        <v>0.427184466019419</v>
      </c>
      <c r="N1093" s="27" t="s">
        <v>197</v>
      </c>
      <c r="O1093" s="27"/>
      <c r="P1093" s="27" t="str">
        <f aca="false">A1093&amp;"|"&amp;N1093</f>
        <v>NURSE-06|normal</v>
      </c>
    </row>
    <row r="1094" customFormat="false" ht="15" hidden="false" customHeight="true" outlineLevel="0" collapsed="false">
      <c r="A1094" s="27" t="s">
        <v>91</v>
      </c>
      <c r="B1094" s="41" t="n">
        <v>46303.3236111111</v>
      </c>
      <c r="C1094" s="27" t="s">
        <v>200</v>
      </c>
      <c r="D1094" s="27" t="n">
        <v>38.3</v>
      </c>
      <c r="E1094" s="27" t="n">
        <v>24.4</v>
      </c>
      <c r="F1094" s="27" t="n">
        <v>27.7</v>
      </c>
      <c r="G1094" s="27" t="n">
        <v>33</v>
      </c>
      <c r="H1094" s="27" t="s">
        <v>198</v>
      </c>
      <c r="I1094" s="42" t="n">
        <f aca="false">(D1094-INDEX('Cohort Summary'!$D$5:$D$14,MATCH($A1094,'Cohort Summary'!$A$5:$A$14,0)))/INDEX('Cohort Summary'!$E$5:$E$14,MATCH($A1094,'Cohort Summary'!$A$5:$A$14,0))</f>
        <v>-1.34246575342466</v>
      </c>
      <c r="J1094" s="42" t="n">
        <f aca="false">(E1094-INDEX('Cohort Summary'!$F$5:$F$14,MATCH($A1094,'Cohort Summary'!$A$5:$A$14,0)))/INDEX('Cohort Summary'!$G$5:$G$14,MATCH($A1094,'Cohort Summary'!$A$5:$A$14,0))</f>
        <v>1.30097087378641</v>
      </c>
      <c r="K1094" s="42" t="n">
        <f aca="false">(F1094-INDEX('Cohort Summary'!$H$5:$H$14,MATCH($A1094,'Cohort Summary'!$A$5:$A$14,0)))/INDEX('Cohort Summary'!$I$5:$I$14,MATCH($A1094,'Cohort Summary'!$A$5:$A$14,0))</f>
        <v>-0.510416666666668</v>
      </c>
      <c r="L1094" s="42" t="n">
        <f aca="false">(G1094-INDEX('Cohort Summary'!$J$5:$J$14,MATCH($A1094,'Cohort Summary'!$A$5:$A$14,0)))/INDEX('Cohort Summary'!$K$5:$K$14,MATCH($A1094,'Cohort Summary'!$A$5:$A$14,0))</f>
        <v>0.203703703703703</v>
      </c>
      <c r="M1094" s="42" t="n">
        <f aca="false">MAX(I1094:K1094)</f>
        <v>1.30097087378641</v>
      </c>
      <c r="N1094" s="27" t="s">
        <v>197</v>
      </c>
      <c r="O1094" s="27"/>
      <c r="P1094" s="27" t="str">
        <f aca="false">A1094&amp;"|"&amp;N1094</f>
        <v>NURSE-06|normal</v>
      </c>
    </row>
    <row r="1095" customFormat="false" ht="15" hidden="false" customHeight="true" outlineLevel="0" collapsed="false">
      <c r="A1095" s="27" t="s">
        <v>91</v>
      </c>
      <c r="B1095" s="41" t="n">
        <v>46303.3239583333</v>
      </c>
      <c r="C1095" s="27" t="s">
        <v>200</v>
      </c>
      <c r="D1095" s="27" t="n">
        <v>38.6</v>
      </c>
      <c r="E1095" s="27" t="n">
        <v>19</v>
      </c>
      <c r="F1095" s="27" t="n">
        <v>29.9</v>
      </c>
      <c r="G1095" s="27" t="n">
        <v>33.5</v>
      </c>
      <c r="H1095" s="27" t="s">
        <v>198</v>
      </c>
      <c r="I1095" s="42" t="n">
        <f aca="false">(D1095-INDEX('Cohort Summary'!$D$5:$D$14,MATCH($A1095,'Cohort Summary'!$A$5:$A$14,0)))/INDEX('Cohort Summary'!$E$5:$E$14,MATCH($A1095,'Cohort Summary'!$A$5:$A$14,0))</f>
        <v>-1.23972602739726</v>
      </c>
      <c r="J1095" s="42" t="n">
        <f aca="false">(E1095-INDEX('Cohort Summary'!$F$5:$F$14,MATCH($A1095,'Cohort Summary'!$A$5:$A$14,0)))/INDEX('Cohort Summary'!$G$5:$G$14,MATCH($A1095,'Cohort Summary'!$A$5:$A$14,0))</f>
        <v>-1.32038834951456</v>
      </c>
      <c r="K1095" s="42" t="n">
        <f aca="false">(F1095-INDEX('Cohort Summary'!$H$5:$H$14,MATCH($A1095,'Cohort Summary'!$A$5:$A$14,0)))/INDEX('Cohort Summary'!$I$5:$I$14,MATCH($A1095,'Cohort Summary'!$A$5:$A$14,0))</f>
        <v>0.253472222222221</v>
      </c>
      <c r="L1095" s="42" t="n">
        <f aca="false">(G1095-INDEX('Cohort Summary'!$J$5:$J$14,MATCH($A1095,'Cohort Summary'!$A$5:$A$14,0)))/INDEX('Cohort Summary'!$K$5:$K$14,MATCH($A1095,'Cohort Summary'!$A$5:$A$14,0))</f>
        <v>1.12962962962963</v>
      </c>
      <c r="M1095" s="42" t="n">
        <f aca="false">MAX(I1095:K1095)</f>
        <v>0.253472222222221</v>
      </c>
      <c r="N1095" s="27" t="s">
        <v>197</v>
      </c>
      <c r="O1095" s="27"/>
      <c r="P1095" s="27" t="str">
        <f aca="false">A1095&amp;"|"&amp;N1095</f>
        <v>NURSE-06|normal</v>
      </c>
    </row>
    <row r="1096" customFormat="false" ht="15" hidden="false" customHeight="true" outlineLevel="0" collapsed="false">
      <c r="A1096" s="27" t="s">
        <v>91</v>
      </c>
      <c r="B1096" s="41" t="n">
        <v>46303.3243055556</v>
      </c>
      <c r="C1096" s="27" t="s">
        <v>200</v>
      </c>
      <c r="D1096" s="27" t="n">
        <v>40.1</v>
      </c>
      <c r="E1096" s="27" t="n">
        <v>22</v>
      </c>
      <c r="F1096" s="27" t="n">
        <v>25</v>
      </c>
      <c r="G1096" s="27" t="n">
        <v>32.9</v>
      </c>
      <c r="H1096" s="27" t="s">
        <v>199</v>
      </c>
      <c r="I1096" s="42" t="n">
        <f aca="false">(D1096-INDEX('Cohort Summary'!$D$5:$D$14,MATCH($A1096,'Cohort Summary'!$A$5:$A$14,0)))/INDEX('Cohort Summary'!$E$5:$E$14,MATCH($A1096,'Cohort Summary'!$A$5:$A$14,0))</f>
        <v>-0.726027397260273</v>
      </c>
      <c r="J1096" s="42" t="n">
        <f aca="false">(E1096-INDEX('Cohort Summary'!$F$5:$F$14,MATCH($A1096,'Cohort Summary'!$A$5:$A$14,0)))/INDEX('Cohort Summary'!$G$5:$G$14,MATCH($A1096,'Cohort Summary'!$A$5:$A$14,0))</f>
        <v>0.135922330097088</v>
      </c>
      <c r="K1096" s="42" t="n">
        <f aca="false">(F1096-INDEX('Cohort Summary'!$H$5:$H$14,MATCH($A1096,'Cohort Summary'!$A$5:$A$14,0)))/INDEX('Cohort Summary'!$I$5:$I$14,MATCH($A1096,'Cohort Summary'!$A$5:$A$14,0))</f>
        <v>-1.44791666666667</v>
      </c>
      <c r="L1096" s="42" t="n">
        <f aca="false">(G1096-INDEX('Cohort Summary'!$J$5:$J$14,MATCH($A1096,'Cohort Summary'!$A$5:$A$14,0)))/INDEX('Cohort Summary'!$K$5:$K$14,MATCH($A1096,'Cohort Summary'!$A$5:$A$14,0))</f>
        <v>0.0185185185185148</v>
      </c>
      <c r="M1096" s="42" t="n">
        <f aca="false">MAX(I1096:K1096)</f>
        <v>0.135922330097088</v>
      </c>
      <c r="N1096" s="27" t="s">
        <v>197</v>
      </c>
      <c r="O1096" s="27"/>
      <c r="P1096" s="27" t="str">
        <f aca="false">A1096&amp;"|"&amp;N1096</f>
        <v>NURSE-06|normal</v>
      </c>
    </row>
    <row r="1097" customFormat="false" ht="15" hidden="false" customHeight="true" outlineLevel="0" collapsed="false">
      <c r="A1097" s="27" t="s">
        <v>91</v>
      </c>
      <c r="B1097" s="41" t="n">
        <v>46303.3246527778</v>
      </c>
      <c r="C1097" s="27" t="s">
        <v>200</v>
      </c>
      <c r="D1097" s="27" t="n">
        <v>42.4</v>
      </c>
      <c r="E1097" s="27" t="n">
        <v>18.1</v>
      </c>
      <c r="F1097" s="27" t="n">
        <v>24.6</v>
      </c>
      <c r="G1097" s="27" t="n">
        <v>32.7</v>
      </c>
      <c r="H1097" s="27" t="s">
        <v>198</v>
      </c>
      <c r="I1097" s="42" t="n">
        <f aca="false">(D1097-INDEX('Cohort Summary'!$D$5:$D$14,MATCH($A1097,'Cohort Summary'!$A$5:$A$14,0)))/INDEX('Cohort Summary'!$E$5:$E$14,MATCH($A1097,'Cohort Summary'!$A$5:$A$14,0))</f>
        <v>0.0616438356164383</v>
      </c>
      <c r="J1097" s="42" t="n">
        <f aca="false">(E1097-INDEX('Cohort Summary'!$F$5:$F$14,MATCH($A1097,'Cohort Summary'!$A$5:$A$14,0)))/INDEX('Cohort Summary'!$G$5:$G$14,MATCH($A1097,'Cohort Summary'!$A$5:$A$14,0))</f>
        <v>-1.75728155339806</v>
      </c>
      <c r="K1097" s="42" t="n">
        <f aca="false">(F1097-INDEX('Cohort Summary'!$H$5:$H$14,MATCH($A1097,'Cohort Summary'!$A$5:$A$14,0)))/INDEX('Cohort Summary'!$I$5:$I$14,MATCH($A1097,'Cohort Summary'!$A$5:$A$14,0))</f>
        <v>-1.58680555555556</v>
      </c>
      <c r="L1097" s="42" t="n">
        <f aca="false">(G1097-INDEX('Cohort Summary'!$J$5:$J$14,MATCH($A1097,'Cohort Summary'!$A$5:$A$14,0)))/INDEX('Cohort Summary'!$K$5:$K$14,MATCH($A1097,'Cohort Summary'!$A$5:$A$14,0))</f>
        <v>-0.351851851851848</v>
      </c>
      <c r="M1097" s="42" t="n">
        <f aca="false">MAX(I1097:K1097)</f>
        <v>0.0616438356164383</v>
      </c>
      <c r="N1097" s="27" t="s">
        <v>197</v>
      </c>
      <c r="O1097" s="27"/>
      <c r="P1097" s="27" t="str">
        <f aca="false">A1097&amp;"|"&amp;N1097</f>
        <v>NURSE-06|normal</v>
      </c>
    </row>
    <row r="1098" customFormat="false" ht="15" hidden="false" customHeight="true" outlineLevel="0" collapsed="false">
      <c r="A1098" s="27" t="s">
        <v>91</v>
      </c>
      <c r="B1098" s="41" t="n">
        <v>46303.325</v>
      </c>
      <c r="C1098" s="27" t="s">
        <v>200</v>
      </c>
      <c r="D1098" s="27" t="n">
        <v>46.3</v>
      </c>
      <c r="E1098" s="27" t="n">
        <v>18</v>
      </c>
      <c r="F1098" s="27" t="n">
        <v>33</v>
      </c>
      <c r="G1098" s="27" t="n">
        <v>32.6</v>
      </c>
      <c r="H1098" s="27" t="s">
        <v>198</v>
      </c>
      <c r="I1098" s="42" t="n">
        <f aca="false">(D1098-INDEX('Cohort Summary'!$D$5:$D$14,MATCH($A1098,'Cohort Summary'!$A$5:$A$14,0)))/INDEX('Cohort Summary'!$E$5:$E$14,MATCH($A1098,'Cohort Summary'!$A$5:$A$14,0))</f>
        <v>1.3972602739726</v>
      </c>
      <c r="J1098" s="42" t="n">
        <f aca="false">(E1098-INDEX('Cohort Summary'!$F$5:$F$14,MATCH($A1098,'Cohort Summary'!$A$5:$A$14,0)))/INDEX('Cohort Summary'!$G$5:$G$14,MATCH($A1098,'Cohort Summary'!$A$5:$A$14,0))</f>
        <v>-1.80582524271845</v>
      </c>
      <c r="K1098" s="42" t="n">
        <f aca="false">(F1098-INDEX('Cohort Summary'!$H$5:$H$14,MATCH($A1098,'Cohort Summary'!$A$5:$A$14,0)))/INDEX('Cohort Summary'!$I$5:$I$14,MATCH($A1098,'Cohort Summary'!$A$5:$A$14,0))</f>
        <v>1.32986111111111</v>
      </c>
      <c r="L1098" s="42" t="n">
        <f aca="false">(G1098-INDEX('Cohort Summary'!$J$5:$J$14,MATCH($A1098,'Cohort Summary'!$A$5:$A$14,0)))/INDEX('Cohort Summary'!$K$5:$K$14,MATCH($A1098,'Cohort Summary'!$A$5:$A$14,0))</f>
        <v>-0.537037037037035</v>
      </c>
      <c r="M1098" s="42" t="n">
        <f aca="false">MAX(I1098:K1098)</f>
        <v>1.3972602739726</v>
      </c>
      <c r="N1098" s="27" t="s">
        <v>197</v>
      </c>
      <c r="O1098" s="27"/>
      <c r="P1098" s="27" t="str">
        <f aca="false">A1098&amp;"|"&amp;N1098</f>
        <v>NURSE-06|normal</v>
      </c>
    </row>
    <row r="1099" customFormat="false" ht="15" hidden="false" customHeight="true" outlineLevel="0" collapsed="false">
      <c r="A1099" s="27" t="s">
        <v>91</v>
      </c>
      <c r="B1099" s="41" t="n">
        <v>46303.3253472222</v>
      </c>
      <c r="C1099" s="27" t="s">
        <v>200</v>
      </c>
      <c r="D1099" s="27" t="n">
        <v>45.3</v>
      </c>
      <c r="E1099" s="27" t="n">
        <v>22.1</v>
      </c>
      <c r="F1099" s="27" t="n">
        <v>28.3</v>
      </c>
      <c r="G1099" s="27" t="n">
        <v>32.9</v>
      </c>
      <c r="H1099" s="27" t="s">
        <v>198</v>
      </c>
      <c r="I1099" s="42" t="n">
        <f aca="false">(D1099-INDEX('Cohort Summary'!$D$5:$D$14,MATCH($A1099,'Cohort Summary'!$A$5:$A$14,0)))/INDEX('Cohort Summary'!$E$5:$E$14,MATCH($A1099,'Cohort Summary'!$A$5:$A$14,0))</f>
        <v>1.05479452054794</v>
      </c>
      <c r="J1099" s="42" t="n">
        <f aca="false">(E1099-INDEX('Cohort Summary'!$F$5:$F$14,MATCH($A1099,'Cohort Summary'!$A$5:$A$14,0)))/INDEX('Cohort Summary'!$G$5:$G$14,MATCH($A1099,'Cohort Summary'!$A$5:$A$14,0))</f>
        <v>0.184466019417477</v>
      </c>
      <c r="K1099" s="42" t="n">
        <f aca="false">(F1099-INDEX('Cohort Summary'!$H$5:$H$14,MATCH($A1099,'Cohort Summary'!$A$5:$A$14,0)))/INDEX('Cohort Summary'!$I$5:$I$14,MATCH($A1099,'Cohort Summary'!$A$5:$A$14,0))</f>
        <v>-0.302083333333334</v>
      </c>
      <c r="L1099" s="42" t="n">
        <f aca="false">(G1099-INDEX('Cohort Summary'!$J$5:$J$14,MATCH($A1099,'Cohort Summary'!$A$5:$A$14,0)))/INDEX('Cohort Summary'!$K$5:$K$14,MATCH($A1099,'Cohort Summary'!$A$5:$A$14,0))</f>
        <v>0.0185185185185148</v>
      </c>
      <c r="M1099" s="42" t="n">
        <f aca="false">MAX(I1099:K1099)</f>
        <v>1.05479452054794</v>
      </c>
      <c r="N1099" s="27" t="s">
        <v>197</v>
      </c>
      <c r="O1099" s="27"/>
      <c r="P1099" s="27" t="str">
        <f aca="false">A1099&amp;"|"&amp;N1099</f>
        <v>NURSE-06|normal</v>
      </c>
    </row>
    <row r="1100" customFormat="false" ht="15" hidden="false" customHeight="true" outlineLevel="0" collapsed="false">
      <c r="A1100" s="27" t="s">
        <v>91</v>
      </c>
      <c r="B1100" s="41" t="n">
        <v>46303.3256944444</v>
      </c>
      <c r="C1100" s="27" t="s">
        <v>200</v>
      </c>
      <c r="D1100" s="27" t="n">
        <v>39.2</v>
      </c>
      <c r="E1100" s="27" t="n">
        <v>22.7</v>
      </c>
      <c r="F1100" s="27" t="n">
        <v>32.3</v>
      </c>
      <c r="G1100" s="27" t="n">
        <v>32.8</v>
      </c>
      <c r="H1100" s="27" t="s">
        <v>196</v>
      </c>
      <c r="I1100" s="42" t="n">
        <f aca="false">(D1100-INDEX('Cohort Summary'!$D$5:$D$14,MATCH($A1100,'Cohort Summary'!$A$5:$A$14,0)))/INDEX('Cohort Summary'!$E$5:$E$14,MATCH($A1100,'Cohort Summary'!$A$5:$A$14,0))</f>
        <v>-1.03424657534246</v>
      </c>
      <c r="J1100" s="42" t="n">
        <f aca="false">(E1100-INDEX('Cohort Summary'!$F$5:$F$14,MATCH($A1100,'Cohort Summary'!$A$5:$A$14,0)))/INDEX('Cohort Summary'!$G$5:$G$14,MATCH($A1100,'Cohort Summary'!$A$5:$A$14,0))</f>
        <v>0.475728155339806</v>
      </c>
      <c r="K1100" s="42" t="n">
        <f aca="false">(F1100-INDEX('Cohort Summary'!$H$5:$H$14,MATCH($A1100,'Cohort Summary'!$A$5:$A$14,0)))/INDEX('Cohort Summary'!$I$5:$I$14,MATCH($A1100,'Cohort Summary'!$A$5:$A$14,0))</f>
        <v>1.08680555555555</v>
      </c>
      <c r="L1100" s="42" t="n">
        <f aca="false">(G1100-INDEX('Cohort Summary'!$J$5:$J$14,MATCH($A1100,'Cohort Summary'!$A$5:$A$14,0)))/INDEX('Cohort Summary'!$K$5:$K$14,MATCH($A1100,'Cohort Summary'!$A$5:$A$14,0))</f>
        <v>-0.166666666666673</v>
      </c>
      <c r="M1100" s="42" t="n">
        <f aca="false">MAX(I1100:K1100)</f>
        <v>1.08680555555555</v>
      </c>
      <c r="N1100" s="27" t="s">
        <v>197</v>
      </c>
      <c r="O1100" s="27"/>
      <c r="P1100" s="27" t="str">
        <f aca="false">A1100&amp;"|"&amp;N1100</f>
        <v>NURSE-06|normal</v>
      </c>
    </row>
    <row r="1101" customFormat="false" ht="15" hidden="false" customHeight="true" outlineLevel="0" collapsed="false">
      <c r="A1101" s="27" t="s">
        <v>91</v>
      </c>
      <c r="B1101" s="41" t="n">
        <v>46303.3260416667</v>
      </c>
      <c r="C1101" s="27" t="s">
        <v>200</v>
      </c>
      <c r="D1101" s="27" t="n">
        <v>39.4</v>
      </c>
      <c r="E1101" s="27" t="n">
        <v>18.3</v>
      </c>
      <c r="F1101" s="27" t="n">
        <v>33.3</v>
      </c>
      <c r="G1101" s="27" t="n">
        <v>32.3</v>
      </c>
      <c r="H1101" s="27" t="s">
        <v>199</v>
      </c>
      <c r="I1101" s="42" t="n">
        <f aca="false">(D1101-INDEX('Cohort Summary'!$D$5:$D$14,MATCH($A1101,'Cohort Summary'!$A$5:$A$14,0)))/INDEX('Cohort Summary'!$E$5:$E$14,MATCH($A1101,'Cohort Summary'!$A$5:$A$14,0))</f>
        <v>-0.965753424657534</v>
      </c>
      <c r="J1101" s="42" t="n">
        <f aca="false">(E1101-INDEX('Cohort Summary'!$F$5:$F$14,MATCH($A1101,'Cohort Summary'!$A$5:$A$14,0)))/INDEX('Cohort Summary'!$G$5:$G$14,MATCH($A1101,'Cohort Summary'!$A$5:$A$14,0))</f>
        <v>-1.66019417475728</v>
      </c>
      <c r="K1101" s="42" t="n">
        <f aca="false">(F1101-INDEX('Cohort Summary'!$H$5:$H$14,MATCH($A1101,'Cohort Summary'!$A$5:$A$14,0)))/INDEX('Cohort Summary'!$I$5:$I$14,MATCH($A1101,'Cohort Summary'!$A$5:$A$14,0))</f>
        <v>1.43402777777778</v>
      </c>
      <c r="L1101" s="42" t="n">
        <f aca="false">(G1101-INDEX('Cohort Summary'!$J$5:$J$14,MATCH($A1101,'Cohort Summary'!$A$5:$A$14,0)))/INDEX('Cohort Summary'!$K$5:$K$14,MATCH($A1101,'Cohort Summary'!$A$5:$A$14,0))</f>
        <v>-1.0925925925926</v>
      </c>
      <c r="M1101" s="42" t="n">
        <f aca="false">MAX(I1101:K1101)</f>
        <v>1.43402777777778</v>
      </c>
      <c r="N1101" s="27" t="s">
        <v>197</v>
      </c>
      <c r="O1101" s="27"/>
      <c r="P1101" s="27" t="str">
        <f aca="false">A1101&amp;"|"&amp;N1101</f>
        <v>NURSE-06|normal</v>
      </c>
    </row>
    <row r="1102" customFormat="false" ht="15" hidden="false" customHeight="true" outlineLevel="0" collapsed="false">
      <c r="A1102" s="27" t="s">
        <v>91</v>
      </c>
      <c r="B1102" s="41" t="n">
        <v>46303.3263888889</v>
      </c>
      <c r="C1102" s="27" t="s">
        <v>200</v>
      </c>
      <c r="D1102" s="27" t="n">
        <v>37.8</v>
      </c>
      <c r="E1102" s="27" t="n">
        <v>20.3</v>
      </c>
      <c r="F1102" s="27" t="n">
        <v>24.9</v>
      </c>
      <c r="G1102" s="27" t="n">
        <v>33.2</v>
      </c>
      <c r="H1102" s="27" t="s">
        <v>199</v>
      </c>
      <c r="I1102" s="42" t="n">
        <f aca="false">(D1102-INDEX('Cohort Summary'!$D$5:$D$14,MATCH($A1102,'Cohort Summary'!$A$5:$A$14,0)))/INDEX('Cohort Summary'!$E$5:$E$14,MATCH($A1102,'Cohort Summary'!$A$5:$A$14,0))</f>
        <v>-1.51369863013699</v>
      </c>
      <c r="J1102" s="42" t="n">
        <f aca="false">(E1102-INDEX('Cohort Summary'!$F$5:$F$14,MATCH($A1102,'Cohort Summary'!$A$5:$A$14,0)))/INDEX('Cohort Summary'!$G$5:$G$14,MATCH($A1102,'Cohort Summary'!$A$5:$A$14,0))</f>
        <v>-0.689320388349514</v>
      </c>
      <c r="K1102" s="42" t="n">
        <f aca="false">(F1102-INDEX('Cohort Summary'!$H$5:$H$14,MATCH($A1102,'Cohort Summary'!$A$5:$A$14,0)))/INDEX('Cohort Summary'!$I$5:$I$14,MATCH($A1102,'Cohort Summary'!$A$5:$A$14,0))</f>
        <v>-1.48263888888889</v>
      </c>
      <c r="L1102" s="42" t="n">
        <f aca="false">(G1102-INDEX('Cohort Summary'!$J$5:$J$14,MATCH($A1102,'Cohort Summary'!$A$5:$A$14,0)))/INDEX('Cohort Summary'!$K$5:$K$14,MATCH($A1102,'Cohort Summary'!$A$5:$A$14,0))</f>
        <v>0.574074074074078</v>
      </c>
      <c r="M1102" s="42" t="n">
        <f aca="false">MAX(I1102:K1102)</f>
        <v>-0.689320388349514</v>
      </c>
      <c r="N1102" s="27" t="s">
        <v>197</v>
      </c>
      <c r="O1102" s="27"/>
      <c r="P1102" s="27" t="str">
        <f aca="false">A1102&amp;"|"&amp;N1102</f>
        <v>NURSE-06|normal</v>
      </c>
    </row>
    <row r="1103" customFormat="false" ht="15" hidden="false" customHeight="true" outlineLevel="0" collapsed="false">
      <c r="A1103" s="27" t="s">
        <v>91</v>
      </c>
      <c r="B1103" s="41" t="n">
        <v>46303.3267361111</v>
      </c>
      <c r="C1103" s="27" t="s">
        <v>200</v>
      </c>
      <c r="D1103" s="27" t="n">
        <v>44.5</v>
      </c>
      <c r="E1103" s="27" t="n">
        <v>18.5</v>
      </c>
      <c r="F1103" s="27" t="n">
        <v>31.8</v>
      </c>
      <c r="G1103" s="27" t="n">
        <v>32.8</v>
      </c>
      <c r="H1103" s="27" t="s">
        <v>196</v>
      </c>
      <c r="I1103" s="42" t="n">
        <f aca="false">(D1103-INDEX('Cohort Summary'!$D$5:$D$14,MATCH($A1103,'Cohort Summary'!$A$5:$A$14,0)))/INDEX('Cohort Summary'!$E$5:$E$14,MATCH($A1103,'Cohort Summary'!$A$5:$A$14,0))</f>
        <v>0.78082191780822</v>
      </c>
      <c r="J1103" s="42" t="n">
        <f aca="false">(E1103-INDEX('Cohort Summary'!$F$5:$F$14,MATCH($A1103,'Cohort Summary'!$A$5:$A$14,0)))/INDEX('Cohort Summary'!$G$5:$G$14,MATCH($A1103,'Cohort Summary'!$A$5:$A$14,0))</f>
        <v>-1.5631067961165</v>
      </c>
      <c r="K1103" s="42" t="n">
        <f aca="false">(F1103-INDEX('Cohort Summary'!$H$5:$H$14,MATCH($A1103,'Cohort Summary'!$A$5:$A$14,0)))/INDEX('Cohort Summary'!$I$5:$I$14,MATCH($A1103,'Cohort Summary'!$A$5:$A$14,0))</f>
        <v>0.913194444444444</v>
      </c>
      <c r="L1103" s="42" t="n">
        <f aca="false">(G1103-INDEX('Cohort Summary'!$J$5:$J$14,MATCH($A1103,'Cohort Summary'!$A$5:$A$14,0)))/INDEX('Cohort Summary'!$K$5:$K$14,MATCH($A1103,'Cohort Summary'!$A$5:$A$14,0))</f>
        <v>-0.166666666666673</v>
      </c>
      <c r="M1103" s="42" t="n">
        <f aca="false">MAX(I1103:K1103)</f>
        <v>0.913194444444444</v>
      </c>
      <c r="N1103" s="27" t="s">
        <v>197</v>
      </c>
      <c r="O1103" s="27"/>
      <c r="P1103" s="27" t="str">
        <f aca="false">A1103&amp;"|"&amp;N1103</f>
        <v>NURSE-06|normal</v>
      </c>
    </row>
    <row r="1104" customFormat="false" ht="15" hidden="false" customHeight="true" outlineLevel="0" collapsed="false">
      <c r="A1104" s="27" t="s">
        <v>91</v>
      </c>
      <c r="B1104" s="41" t="n">
        <v>46303.3270833333</v>
      </c>
      <c r="C1104" s="27" t="s">
        <v>200</v>
      </c>
      <c r="D1104" s="27" t="n">
        <v>38.5</v>
      </c>
      <c r="E1104" s="27" t="n">
        <v>20.1</v>
      </c>
      <c r="F1104" s="27" t="n">
        <v>27.2</v>
      </c>
      <c r="G1104" s="27" t="n">
        <v>33.7</v>
      </c>
      <c r="H1104" s="27" t="s">
        <v>196</v>
      </c>
      <c r="I1104" s="42" t="n">
        <f aca="false">(D1104-INDEX('Cohort Summary'!$D$5:$D$14,MATCH($A1104,'Cohort Summary'!$A$5:$A$14,0)))/INDEX('Cohort Summary'!$E$5:$E$14,MATCH($A1104,'Cohort Summary'!$A$5:$A$14,0))</f>
        <v>-1.27397260273973</v>
      </c>
      <c r="J1104" s="42" t="n">
        <f aca="false">(E1104-INDEX('Cohort Summary'!$F$5:$F$14,MATCH($A1104,'Cohort Summary'!$A$5:$A$14,0)))/INDEX('Cohort Summary'!$G$5:$G$14,MATCH($A1104,'Cohort Summary'!$A$5:$A$14,0))</f>
        <v>-0.78640776699029</v>
      </c>
      <c r="K1104" s="42" t="n">
        <f aca="false">(F1104-INDEX('Cohort Summary'!$H$5:$H$14,MATCH($A1104,'Cohort Summary'!$A$5:$A$14,0)))/INDEX('Cohort Summary'!$I$5:$I$14,MATCH($A1104,'Cohort Summary'!$A$5:$A$14,0))</f>
        <v>-0.684027777777779</v>
      </c>
      <c r="L1104" s="42" t="n">
        <f aca="false">(G1104-INDEX('Cohort Summary'!$J$5:$J$14,MATCH($A1104,'Cohort Summary'!$A$5:$A$14,0)))/INDEX('Cohort Summary'!$K$5:$K$14,MATCH($A1104,'Cohort Summary'!$A$5:$A$14,0))</f>
        <v>1.5</v>
      </c>
      <c r="M1104" s="42" t="n">
        <f aca="false">MAX(I1104:K1104)</f>
        <v>-0.684027777777779</v>
      </c>
      <c r="N1104" s="27" t="s">
        <v>197</v>
      </c>
      <c r="O1104" s="27"/>
      <c r="P1104" s="27" t="str">
        <f aca="false">A1104&amp;"|"&amp;N1104</f>
        <v>NURSE-06|normal</v>
      </c>
    </row>
    <row r="1105" customFormat="false" ht="15" hidden="false" customHeight="true" outlineLevel="0" collapsed="false">
      <c r="A1105" s="27" t="s">
        <v>91</v>
      </c>
      <c r="B1105" s="41" t="n">
        <v>46303.3274305556</v>
      </c>
      <c r="C1105" s="27" t="s">
        <v>200</v>
      </c>
      <c r="D1105" s="27" t="n">
        <v>42.1</v>
      </c>
      <c r="E1105" s="27" t="n">
        <v>24.5</v>
      </c>
      <c r="F1105" s="27" t="n">
        <v>29.9</v>
      </c>
      <c r="G1105" s="27" t="n">
        <v>32.9</v>
      </c>
      <c r="H1105" s="27" t="s">
        <v>196</v>
      </c>
      <c r="I1105" s="42" t="n">
        <f aca="false">(D1105-INDEX('Cohort Summary'!$D$5:$D$14,MATCH($A1105,'Cohort Summary'!$A$5:$A$14,0)))/INDEX('Cohort Summary'!$E$5:$E$14,MATCH($A1105,'Cohort Summary'!$A$5:$A$14,0))</f>
        <v>-0.041095890410958</v>
      </c>
      <c r="J1105" s="42" t="n">
        <f aca="false">(E1105-INDEX('Cohort Summary'!$F$5:$F$14,MATCH($A1105,'Cohort Summary'!$A$5:$A$14,0)))/INDEX('Cohort Summary'!$G$5:$G$14,MATCH($A1105,'Cohort Summary'!$A$5:$A$14,0))</f>
        <v>1.3495145631068</v>
      </c>
      <c r="K1105" s="42" t="n">
        <f aca="false">(F1105-INDEX('Cohort Summary'!$H$5:$H$14,MATCH($A1105,'Cohort Summary'!$A$5:$A$14,0)))/INDEX('Cohort Summary'!$I$5:$I$14,MATCH($A1105,'Cohort Summary'!$A$5:$A$14,0))</f>
        <v>0.253472222222221</v>
      </c>
      <c r="L1105" s="42" t="n">
        <f aca="false">(G1105-INDEX('Cohort Summary'!$J$5:$J$14,MATCH($A1105,'Cohort Summary'!$A$5:$A$14,0)))/INDEX('Cohort Summary'!$K$5:$K$14,MATCH($A1105,'Cohort Summary'!$A$5:$A$14,0))</f>
        <v>0.0185185185185148</v>
      </c>
      <c r="M1105" s="42" t="n">
        <f aca="false">MAX(I1105:K1105)</f>
        <v>1.3495145631068</v>
      </c>
      <c r="N1105" s="27" t="s">
        <v>197</v>
      </c>
      <c r="O1105" s="27"/>
      <c r="P1105" s="27" t="str">
        <f aca="false">A1105&amp;"|"&amp;N1105</f>
        <v>NURSE-06|normal</v>
      </c>
    </row>
    <row r="1106" customFormat="false" ht="15" hidden="false" customHeight="true" outlineLevel="0" collapsed="false">
      <c r="A1106" s="27" t="s">
        <v>91</v>
      </c>
      <c r="B1106" s="41" t="n">
        <v>46303.3277777778</v>
      </c>
      <c r="C1106" s="27" t="s">
        <v>200</v>
      </c>
      <c r="D1106" s="27" t="n">
        <v>43.5</v>
      </c>
      <c r="E1106" s="27" t="n">
        <v>19.1</v>
      </c>
      <c r="F1106" s="27" t="n">
        <v>30.3</v>
      </c>
      <c r="G1106" s="27" t="n">
        <v>32</v>
      </c>
      <c r="H1106" s="27" t="s">
        <v>196</v>
      </c>
      <c r="I1106" s="42" t="n">
        <f aca="false">(D1106-INDEX('Cohort Summary'!$D$5:$D$14,MATCH($A1106,'Cohort Summary'!$A$5:$A$14,0)))/INDEX('Cohort Summary'!$E$5:$E$14,MATCH($A1106,'Cohort Summary'!$A$5:$A$14,0))</f>
        <v>0.438356164383562</v>
      </c>
      <c r="J1106" s="42" t="n">
        <f aca="false">(E1106-INDEX('Cohort Summary'!$F$5:$F$14,MATCH($A1106,'Cohort Summary'!$A$5:$A$14,0)))/INDEX('Cohort Summary'!$G$5:$G$14,MATCH($A1106,'Cohort Summary'!$A$5:$A$14,0))</f>
        <v>-1.27184466019417</v>
      </c>
      <c r="K1106" s="42" t="n">
        <f aca="false">(F1106-INDEX('Cohort Summary'!$H$5:$H$14,MATCH($A1106,'Cohort Summary'!$A$5:$A$14,0)))/INDEX('Cohort Summary'!$I$5:$I$14,MATCH($A1106,'Cohort Summary'!$A$5:$A$14,0))</f>
        <v>0.392361111111111</v>
      </c>
      <c r="L1106" s="42" t="n">
        <f aca="false">(G1106-INDEX('Cohort Summary'!$J$5:$J$14,MATCH($A1106,'Cohort Summary'!$A$5:$A$14,0)))/INDEX('Cohort Summary'!$K$5:$K$14,MATCH($A1106,'Cohort Summary'!$A$5:$A$14,0))</f>
        <v>-1.64814814814815</v>
      </c>
      <c r="M1106" s="42" t="n">
        <f aca="false">MAX(I1106:K1106)</f>
        <v>0.438356164383562</v>
      </c>
      <c r="N1106" s="27" t="s">
        <v>197</v>
      </c>
      <c r="O1106" s="27"/>
      <c r="P1106" s="27" t="str">
        <f aca="false">A1106&amp;"|"&amp;N1106</f>
        <v>NURSE-06|normal</v>
      </c>
    </row>
    <row r="1107" customFormat="false" ht="15" hidden="false" customHeight="true" outlineLevel="0" collapsed="false">
      <c r="A1107" s="27" t="s">
        <v>91</v>
      </c>
      <c r="B1107" s="41" t="n">
        <v>46303.328125</v>
      </c>
      <c r="C1107" s="27" t="s">
        <v>200</v>
      </c>
      <c r="D1107" s="27" t="n">
        <v>37.4</v>
      </c>
      <c r="E1107" s="27" t="n">
        <v>18.3</v>
      </c>
      <c r="F1107" s="27" t="n">
        <v>29.2</v>
      </c>
      <c r="G1107" s="27" t="n">
        <v>33.4</v>
      </c>
      <c r="H1107" s="27" t="s">
        <v>198</v>
      </c>
      <c r="I1107" s="42" t="n">
        <f aca="false">(D1107-INDEX('Cohort Summary'!$D$5:$D$14,MATCH($A1107,'Cohort Summary'!$A$5:$A$14,0)))/INDEX('Cohort Summary'!$E$5:$E$14,MATCH($A1107,'Cohort Summary'!$A$5:$A$14,0))</f>
        <v>-1.65068493150685</v>
      </c>
      <c r="J1107" s="42" t="n">
        <f aca="false">(E1107-INDEX('Cohort Summary'!$F$5:$F$14,MATCH($A1107,'Cohort Summary'!$A$5:$A$14,0)))/INDEX('Cohort Summary'!$G$5:$G$14,MATCH($A1107,'Cohort Summary'!$A$5:$A$14,0))</f>
        <v>-1.66019417475728</v>
      </c>
      <c r="K1107" s="42" t="n">
        <f aca="false">(F1107-INDEX('Cohort Summary'!$H$5:$H$14,MATCH($A1107,'Cohort Summary'!$A$5:$A$14,0)))/INDEX('Cohort Summary'!$I$5:$I$14,MATCH($A1107,'Cohort Summary'!$A$5:$A$14,0))</f>
        <v>0.0104166666666658</v>
      </c>
      <c r="L1107" s="42" t="n">
        <f aca="false">(G1107-INDEX('Cohort Summary'!$J$5:$J$14,MATCH($A1107,'Cohort Summary'!$A$5:$A$14,0)))/INDEX('Cohort Summary'!$K$5:$K$14,MATCH($A1107,'Cohort Summary'!$A$5:$A$14,0))</f>
        <v>0.944444444444441</v>
      </c>
      <c r="M1107" s="42" t="n">
        <f aca="false">MAX(I1107:K1107)</f>
        <v>0.0104166666666658</v>
      </c>
      <c r="N1107" s="27" t="s">
        <v>197</v>
      </c>
      <c r="O1107" s="27"/>
      <c r="P1107" s="27" t="str">
        <f aca="false">A1107&amp;"|"&amp;N1107</f>
        <v>NURSE-06|normal</v>
      </c>
    </row>
    <row r="1108" customFormat="false" ht="15" hidden="false" customHeight="true" outlineLevel="0" collapsed="false">
      <c r="A1108" s="27" t="s">
        <v>91</v>
      </c>
      <c r="B1108" s="41" t="n">
        <v>46303.3284722222</v>
      </c>
      <c r="C1108" s="27" t="s">
        <v>200</v>
      </c>
      <c r="D1108" s="27" t="n">
        <v>42.1</v>
      </c>
      <c r="E1108" s="27" t="n">
        <v>19.2</v>
      </c>
      <c r="F1108" s="27" t="n">
        <v>30.7</v>
      </c>
      <c r="G1108" s="27" t="n">
        <v>32.8</v>
      </c>
      <c r="H1108" s="27" t="s">
        <v>196</v>
      </c>
      <c r="I1108" s="42" t="n">
        <f aca="false">(D1108-INDEX('Cohort Summary'!$D$5:$D$14,MATCH($A1108,'Cohort Summary'!$A$5:$A$14,0)))/INDEX('Cohort Summary'!$E$5:$E$14,MATCH($A1108,'Cohort Summary'!$A$5:$A$14,0))</f>
        <v>-0.041095890410958</v>
      </c>
      <c r="J1108" s="42" t="n">
        <f aca="false">(E1108-INDEX('Cohort Summary'!$F$5:$F$14,MATCH($A1108,'Cohort Summary'!$A$5:$A$14,0)))/INDEX('Cohort Summary'!$G$5:$G$14,MATCH($A1108,'Cohort Summary'!$A$5:$A$14,0))</f>
        <v>-1.22330097087379</v>
      </c>
      <c r="K1108" s="42" t="n">
        <f aca="false">(F1108-INDEX('Cohort Summary'!$H$5:$H$14,MATCH($A1108,'Cohort Summary'!$A$5:$A$14,0)))/INDEX('Cohort Summary'!$I$5:$I$14,MATCH($A1108,'Cohort Summary'!$A$5:$A$14,0))</f>
        <v>0.531249999999999</v>
      </c>
      <c r="L1108" s="42" t="n">
        <f aca="false">(G1108-INDEX('Cohort Summary'!$J$5:$J$14,MATCH($A1108,'Cohort Summary'!$A$5:$A$14,0)))/INDEX('Cohort Summary'!$K$5:$K$14,MATCH($A1108,'Cohort Summary'!$A$5:$A$14,0))</f>
        <v>-0.166666666666673</v>
      </c>
      <c r="M1108" s="42" t="n">
        <f aca="false">MAX(I1108:K1108)</f>
        <v>0.531249999999999</v>
      </c>
      <c r="N1108" s="27" t="s">
        <v>197</v>
      </c>
      <c r="O1108" s="27"/>
      <c r="P1108" s="27" t="str">
        <f aca="false">A1108&amp;"|"&amp;N1108</f>
        <v>NURSE-06|normal</v>
      </c>
    </row>
    <row r="1109" customFormat="false" ht="15" hidden="false" customHeight="true" outlineLevel="0" collapsed="false">
      <c r="A1109" s="27" t="s">
        <v>91</v>
      </c>
      <c r="B1109" s="41" t="n">
        <v>46303.3288194445</v>
      </c>
      <c r="C1109" s="27" t="s">
        <v>200</v>
      </c>
      <c r="D1109" s="27" t="n">
        <v>41.5</v>
      </c>
      <c r="E1109" s="27" t="n">
        <v>19.7</v>
      </c>
      <c r="F1109" s="27" t="n">
        <v>28.7</v>
      </c>
      <c r="G1109" s="27" t="n">
        <v>33.3</v>
      </c>
      <c r="H1109" s="27" t="s">
        <v>196</v>
      </c>
      <c r="I1109" s="42" t="n">
        <f aca="false">(D1109-INDEX('Cohort Summary'!$D$5:$D$14,MATCH($A1109,'Cohort Summary'!$A$5:$A$14,0)))/INDEX('Cohort Summary'!$E$5:$E$14,MATCH($A1109,'Cohort Summary'!$A$5:$A$14,0))</f>
        <v>-0.246575342465753</v>
      </c>
      <c r="J1109" s="42" t="n">
        <f aca="false">(E1109-INDEX('Cohort Summary'!$F$5:$F$14,MATCH($A1109,'Cohort Summary'!$A$5:$A$14,0)))/INDEX('Cohort Summary'!$G$5:$G$14,MATCH($A1109,'Cohort Summary'!$A$5:$A$14,0))</f>
        <v>-0.980582524271844</v>
      </c>
      <c r="K1109" s="42" t="n">
        <f aca="false">(F1109-INDEX('Cohort Summary'!$H$5:$H$14,MATCH($A1109,'Cohort Summary'!$A$5:$A$14,0)))/INDEX('Cohort Summary'!$I$5:$I$14,MATCH($A1109,'Cohort Summary'!$A$5:$A$14,0))</f>
        <v>-0.163194444444445</v>
      </c>
      <c r="L1109" s="42" t="n">
        <f aca="false">(G1109-INDEX('Cohort Summary'!$J$5:$J$14,MATCH($A1109,'Cohort Summary'!$A$5:$A$14,0)))/INDEX('Cohort Summary'!$K$5:$K$14,MATCH($A1109,'Cohort Summary'!$A$5:$A$14,0))</f>
        <v>0.759259259259253</v>
      </c>
      <c r="M1109" s="42" t="n">
        <f aca="false">MAX(I1109:K1109)</f>
        <v>-0.163194444444445</v>
      </c>
      <c r="N1109" s="27" t="s">
        <v>197</v>
      </c>
      <c r="O1109" s="27"/>
      <c r="P1109" s="27" t="str">
        <f aca="false">A1109&amp;"|"&amp;N1109</f>
        <v>NURSE-06|normal</v>
      </c>
    </row>
    <row r="1110" customFormat="false" ht="15" hidden="false" customHeight="true" outlineLevel="0" collapsed="false">
      <c r="A1110" s="27" t="s">
        <v>91</v>
      </c>
      <c r="B1110" s="41" t="n">
        <v>46303.3291666667</v>
      </c>
      <c r="C1110" s="27" t="s">
        <v>200</v>
      </c>
      <c r="D1110" s="27" t="n">
        <v>41</v>
      </c>
      <c r="E1110" s="27" t="n">
        <v>19.4</v>
      </c>
      <c r="F1110" s="27" t="n">
        <v>24.9</v>
      </c>
      <c r="G1110" s="27" t="n">
        <v>33.3</v>
      </c>
      <c r="H1110" s="27" t="s">
        <v>199</v>
      </c>
      <c r="I1110" s="42" t="n">
        <f aca="false">(D1110-INDEX('Cohort Summary'!$D$5:$D$14,MATCH($A1110,'Cohort Summary'!$A$5:$A$14,0)))/INDEX('Cohort Summary'!$E$5:$E$14,MATCH($A1110,'Cohort Summary'!$A$5:$A$14,0))</f>
        <v>-0.417808219178082</v>
      </c>
      <c r="J1110" s="42" t="n">
        <f aca="false">(E1110-INDEX('Cohort Summary'!$F$5:$F$14,MATCH($A1110,'Cohort Summary'!$A$5:$A$14,0)))/INDEX('Cohort Summary'!$G$5:$G$14,MATCH($A1110,'Cohort Summary'!$A$5:$A$14,0))</f>
        <v>-1.12621359223301</v>
      </c>
      <c r="K1110" s="42" t="n">
        <f aca="false">(F1110-INDEX('Cohort Summary'!$H$5:$H$14,MATCH($A1110,'Cohort Summary'!$A$5:$A$14,0)))/INDEX('Cohort Summary'!$I$5:$I$14,MATCH($A1110,'Cohort Summary'!$A$5:$A$14,0))</f>
        <v>-1.48263888888889</v>
      </c>
      <c r="L1110" s="42" t="n">
        <f aca="false">(G1110-INDEX('Cohort Summary'!$J$5:$J$14,MATCH($A1110,'Cohort Summary'!$A$5:$A$14,0)))/INDEX('Cohort Summary'!$K$5:$K$14,MATCH($A1110,'Cohort Summary'!$A$5:$A$14,0))</f>
        <v>0.759259259259253</v>
      </c>
      <c r="M1110" s="42" t="n">
        <f aca="false">MAX(I1110:K1110)</f>
        <v>-0.417808219178082</v>
      </c>
      <c r="N1110" s="27" t="s">
        <v>197</v>
      </c>
      <c r="O1110" s="27"/>
      <c r="P1110" s="27" t="str">
        <f aca="false">A1110&amp;"|"&amp;N1110</f>
        <v>NURSE-06|normal</v>
      </c>
    </row>
    <row r="1111" customFormat="false" ht="15" hidden="false" customHeight="true" outlineLevel="0" collapsed="false">
      <c r="A1111" s="27" t="s">
        <v>91</v>
      </c>
      <c r="B1111" s="41" t="n">
        <v>46303.3295138889</v>
      </c>
      <c r="C1111" s="27" t="s">
        <v>200</v>
      </c>
      <c r="D1111" s="27" t="n">
        <v>40.3</v>
      </c>
      <c r="E1111" s="27" t="n">
        <v>19.9</v>
      </c>
      <c r="F1111" s="27" t="n">
        <v>30.7</v>
      </c>
      <c r="G1111" s="27" t="n">
        <v>32.3</v>
      </c>
      <c r="H1111" s="27" t="s">
        <v>199</v>
      </c>
      <c r="I1111" s="42" t="n">
        <f aca="false">(D1111-INDEX('Cohort Summary'!$D$5:$D$14,MATCH($A1111,'Cohort Summary'!$A$5:$A$14,0)))/INDEX('Cohort Summary'!$E$5:$E$14,MATCH($A1111,'Cohort Summary'!$A$5:$A$14,0))</f>
        <v>-0.657534246575343</v>
      </c>
      <c r="J1111" s="42" t="n">
        <f aca="false">(E1111-INDEX('Cohort Summary'!$F$5:$F$14,MATCH($A1111,'Cohort Summary'!$A$5:$A$14,0)))/INDEX('Cohort Summary'!$G$5:$G$14,MATCH($A1111,'Cohort Summary'!$A$5:$A$14,0))</f>
        <v>-0.883495145631068</v>
      </c>
      <c r="K1111" s="42" t="n">
        <f aca="false">(F1111-INDEX('Cohort Summary'!$H$5:$H$14,MATCH($A1111,'Cohort Summary'!$A$5:$A$14,0)))/INDEX('Cohort Summary'!$I$5:$I$14,MATCH($A1111,'Cohort Summary'!$A$5:$A$14,0))</f>
        <v>0.531249999999999</v>
      </c>
      <c r="L1111" s="42" t="n">
        <f aca="false">(G1111-INDEX('Cohort Summary'!$J$5:$J$14,MATCH($A1111,'Cohort Summary'!$A$5:$A$14,0)))/INDEX('Cohort Summary'!$K$5:$K$14,MATCH($A1111,'Cohort Summary'!$A$5:$A$14,0))</f>
        <v>-1.0925925925926</v>
      </c>
      <c r="M1111" s="42" t="n">
        <f aca="false">MAX(I1111:K1111)</f>
        <v>0.531249999999999</v>
      </c>
      <c r="N1111" s="27" t="s">
        <v>197</v>
      </c>
      <c r="O1111" s="27"/>
      <c r="P1111" s="27" t="str">
        <f aca="false">A1111&amp;"|"&amp;N1111</f>
        <v>NURSE-06|normal</v>
      </c>
    </row>
    <row r="1112" customFormat="false" ht="15" hidden="false" customHeight="true" outlineLevel="0" collapsed="false">
      <c r="A1112" s="27" t="s">
        <v>91</v>
      </c>
      <c r="B1112" s="41" t="n">
        <v>46303.3298611111</v>
      </c>
      <c r="C1112" s="27" t="s">
        <v>200</v>
      </c>
      <c r="D1112" s="27" t="n">
        <v>41.2</v>
      </c>
      <c r="E1112" s="27" t="n">
        <v>23.9</v>
      </c>
      <c r="F1112" s="27" t="n">
        <v>24.7</v>
      </c>
      <c r="G1112" s="27" t="n">
        <v>32.1</v>
      </c>
      <c r="H1112" s="27" t="s">
        <v>198</v>
      </c>
      <c r="I1112" s="42" t="n">
        <f aca="false">(D1112-INDEX('Cohort Summary'!$D$5:$D$14,MATCH($A1112,'Cohort Summary'!$A$5:$A$14,0)))/INDEX('Cohort Summary'!$E$5:$E$14,MATCH($A1112,'Cohort Summary'!$A$5:$A$14,0))</f>
        <v>-0.349315068493149</v>
      </c>
      <c r="J1112" s="42" t="n">
        <f aca="false">(E1112-INDEX('Cohort Summary'!$F$5:$F$14,MATCH($A1112,'Cohort Summary'!$A$5:$A$14,0)))/INDEX('Cohort Summary'!$G$5:$G$14,MATCH($A1112,'Cohort Summary'!$A$5:$A$14,0))</f>
        <v>1.05825242718447</v>
      </c>
      <c r="K1112" s="42" t="n">
        <f aca="false">(F1112-INDEX('Cohort Summary'!$H$5:$H$14,MATCH($A1112,'Cohort Summary'!$A$5:$A$14,0)))/INDEX('Cohort Summary'!$I$5:$I$14,MATCH($A1112,'Cohort Summary'!$A$5:$A$14,0))</f>
        <v>-1.55208333333333</v>
      </c>
      <c r="L1112" s="42" t="n">
        <f aca="false">(G1112-INDEX('Cohort Summary'!$J$5:$J$14,MATCH($A1112,'Cohort Summary'!$A$5:$A$14,0)))/INDEX('Cohort Summary'!$K$5:$K$14,MATCH($A1112,'Cohort Summary'!$A$5:$A$14,0))</f>
        <v>-1.46296296296296</v>
      </c>
      <c r="M1112" s="42" t="n">
        <f aca="false">MAX(I1112:K1112)</f>
        <v>1.05825242718447</v>
      </c>
      <c r="N1112" s="27" t="s">
        <v>197</v>
      </c>
      <c r="O1112" s="27"/>
      <c r="P1112" s="27" t="str">
        <f aca="false">A1112&amp;"|"&amp;N1112</f>
        <v>NURSE-06|normal</v>
      </c>
    </row>
    <row r="1113" customFormat="false" ht="15" hidden="false" customHeight="true" outlineLevel="0" collapsed="false">
      <c r="A1113" s="27" t="s">
        <v>91</v>
      </c>
      <c r="B1113" s="41" t="n">
        <v>46303.3302083333</v>
      </c>
      <c r="C1113" s="27" t="s">
        <v>200</v>
      </c>
      <c r="D1113" s="27" t="n">
        <v>42.4</v>
      </c>
      <c r="E1113" s="27" t="n">
        <v>24.9</v>
      </c>
      <c r="F1113" s="27" t="n">
        <v>33.2</v>
      </c>
      <c r="G1113" s="27" t="n">
        <v>32.1</v>
      </c>
      <c r="H1113" s="27" t="s">
        <v>196</v>
      </c>
      <c r="I1113" s="42" t="n">
        <f aca="false">(D1113-INDEX('Cohort Summary'!$D$5:$D$14,MATCH($A1113,'Cohort Summary'!$A$5:$A$14,0)))/INDEX('Cohort Summary'!$E$5:$E$14,MATCH($A1113,'Cohort Summary'!$A$5:$A$14,0))</f>
        <v>0.0616438356164383</v>
      </c>
      <c r="J1113" s="42" t="n">
        <f aca="false">(E1113-INDEX('Cohort Summary'!$F$5:$F$14,MATCH($A1113,'Cohort Summary'!$A$5:$A$14,0)))/INDEX('Cohort Summary'!$G$5:$G$14,MATCH($A1113,'Cohort Summary'!$A$5:$A$14,0))</f>
        <v>1.54368932038835</v>
      </c>
      <c r="K1113" s="42" t="n">
        <f aca="false">(F1113-INDEX('Cohort Summary'!$H$5:$H$14,MATCH($A1113,'Cohort Summary'!$A$5:$A$14,0)))/INDEX('Cohort Summary'!$I$5:$I$14,MATCH($A1113,'Cohort Summary'!$A$5:$A$14,0))</f>
        <v>1.39930555555556</v>
      </c>
      <c r="L1113" s="42" t="n">
        <f aca="false">(G1113-INDEX('Cohort Summary'!$J$5:$J$14,MATCH($A1113,'Cohort Summary'!$A$5:$A$14,0)))/INDEX('Cohort Summary'!$K$5:$K$14,MATCH($A1113,'Cohort Summary'!$A$5:$A$14,0))</f>
        <v>-1.46296296296296</v>
      </c>
      <c r="M1113" s="42" t="n">
        <f aca="false">MAX(I1113:K1113)</f>
        <v>1.54368932038835</v>
      </c>
      <c r="N1113" s="27" t="s">
        <v>197</v>
      </c>
      <c r="O1113" s="27"/>
      <c r="P1113" s="27" t="str">
        <f aca="false">A1113&amp;"|"&amp;N1113</f>
        <v>NURSE-06|normal</v>
      </c>
    </row>
    <row r="1114" customFormat="false" ht="15" hidden="false" customHeight="true" outlineLevel="0" collapsed="false">
      <c r="A1114" s="27" t="s">
        <v>91</v>
      </c>
      <c r="B1114" s="41" t="n">
        <v>46303.3305555556</v>
      </c>
      <c r="C1114" s="27" t="s">
        <v>200</v>
      </c>
      <c r="D1114" s="27" t="n">
        <v>43.8</v>
      </c>
      <c r="E1114" s="27" t="n">
        <v>19.8</v>
      </c>
      <c r="F1114" s="27" t="n">
        <v>25</v>
      </c>
      <c r="G1114" s="27" t="n">
        <v>33.7</v>
      </c>
      <c r="H1114" s="27" t="s">
        <v>196</v>
      </c>
      <c r="I1114" s="42" t="n">
        <f aca="false">(D1114-INDEX('Cohort Summary'!$D$5:$D$14,MATCH($A1114,'Cohort Summary'!$A$5:$A$14,0)))/INDEX('Cohort Summary'!$E$5:$E$14,MATCH($A1114,'Cohort Summary'!$A$5:$A$14,0))</f>
        <v>0.541095890410958</v>
      </c>
      <c r="J1114" s="42" t="n">
        <f aca="false">(E1114-INDEX('Cohort Summary'!$F$5:$F$14,MATCH($A1114,'Cohort Summary'!$A$5:$A$14,0)))/INDEX('Cohort Summary'!$G$5:$G$14,MATCH($A1114,'Cohort Summary'!$A$5:$A$14,0))</f>
        <v>-0.932038834951455</v>
      </c>
      <c r="K1114" s="42" t="n">
        <f aca="false">(F1114-INDEX('Cohort Summary'!$H$5:$H$14,MATCH($A1114,'Cohort Summary'!$A$5:$A$14,0)))/INDEX('Cohort Summary'!$I$5:$I$14,MATCH($A1114,'Cohort Summary'!$A$5:$A$14,0))</f>
        <v>-1.44791666666667</v>
      </c>
      <c r="L1114" s="42" t="n">
        <f aca="false">(G1114-INDEX('Cohort Summary'!$J$5:$J$14,MATCH($A1114,'Cohort Summary'!$A$5:$A$14,0)))/INDEX('Cohort Summary'!$K$5:$K$14,MATCH($A1114,'Cohort Summary'!$A$5:$A$14,0))</f>
        <v>1.5</v>
      </c>
      <c r="M1114" s="42" t="n">
        <f aca="false">MAX(I1114:K1114)</f>
        <v>0.541095890410958</v>
      </c>
      <c r="N1114" s="27" t="s">
        <v>197</v>
      </c>
      <c r="O1114" s="27"/>
      <c r="P1114" s="27" t="str">
        <f aca="false">A1114&amp;"|"&amp;N1114</f>
        <v>NURSE-06|normal</v>
      </c>
    </row>
    <row r="1115" customFormat="false" ht="15" hidden="false" customHeight="true" outlineLevel="0" collapsed="false">
      <c r="A1115" s="27" t="s">
        <v>91</v>
      </c>
      <c r="B1115" s="41" t="n">
        <v>46303.3309027778</v>
      </c>
      <c r="C1115" s="27" t="s">
        <v>200</v>
      </c>
      <c r="D1115" s="27" t="n">
        <v>45.1</v>
      </c>
      <c r="E1115" s="27" t="n">
        <v>20</v>
      </c>
      <c r="F1115" s="27" t="n">
        <v>33.3</v>
      </c>
      <c r="G1115" s="27" t="n">
        <v>33.5</v>
      </c>
      <c r="H1115" s="27" t="s">
        <v>199</v>
      </c>
      <c r="I1115" s="42" t="n">
        <f aca="false">(D1115-INDEX('Cohort Summary'!$D$5:$D$14,MATCH($A1115,'Cohort Summary'!$A$5:$A$14,0)))/INDEX('Cohort Summary'!$E$5:$E$14,MATCH($A1115,'Cohort Summary'!$A$5:$A$14,0))</f>
        <v>0.986301369863015</v>
      </c>
      <c r="J1115" s="42" t="n">
        <f aca="false">(E1115-INDEX('Cohort Summary'!$F$5:$F$14,MATCH($A1115,'Cohort Summary'!$A$5:$A$14,0)))/INDEX('Cohort Summary'!$G$5:$G$14,MATCH($A1115,'Cohort Summary'!$A$5:$A$14,0))</f>
        <v>-0.834951456310679</v>
      </c>
      <c r="K1115" s="42" t="n">
        <f aca="false">(F1115-INDEX('Cohort Summary'!$H$5:$H$14,MATCH($A1115,'Cohort Summary'!$A$5:$A$14,0)))/INDEX('Cohort Summary'!$I$5:$I$14,MATCH($A1115,'Cohort Summary'!$A$5:$A$14,0))</f>
        <v>1.43402777777778</v>
      </c>
      <c r="L1115" s="42" t="n">
        <f aca="false">(G1115-INDEX('Cohort Summary'!$J$5:$J$14,MATCH($A1115,'Cohort Summary'!$A$5:$A$14,0)))/INDEX('Cohort Summary'!$K$5:$K$14,MATCH($A1115,'Cohort Summary'!$A$5:$A$14,0))</f>
        <v>1.12962962962963</v>
      </c>
      <c r="M1115" s="42" t="n">
        <f aca="false">MAX(I1115:K1115)</f>
        <v>1.43402777777778</v>
      </c>
      <c r="N1115" s="27" t="s">
        <v>197</v>
      </c>
      <c r="O1115" s="27"/>
      <c r="P1115" s="27" t="str">
        <f aca="false">A1115&amp;"|"&amp;N1115</f>
        <v>NURSE-06|normal</v>
      </c>
    </row>
    <row r="1116" customFormat="false" ht="15" hidden="false" customHeight="true" outlineLevel="0" collapsed="false">
      <c r="A1116" s="27" t="s">
        <v>91</v>
      </c>
      <c r="B1116" s="41" t="n">
        <v>46303.33125</v>
      </c>
      <c r="C1116" s="27" t="s">
        <v>200</v>
      </c>
      <c r="D1116" s="27" t="n">
        <v>38.3</v>
      </c>
      <c r="E1116" s="27" t="n">
        <v>18.5</v>
      </c>
      <c r="F1116" s="27" t="n">
        <v>28.4</v>
      </c>
      <c r="G1116" s="27" t="n">
        <v>33.2</v>
      </c>
      <c r="H1116" s="27" t="s">
        <v>198</v>
      </c>
      <c r="I1116" s="42" t="n">
        <f aca="false">(D1116-INDEX('Cohort Summary'!$D$5:$D$14,MATCH($A1116,'Cohort Summary'!$A$5:$A$14,0)))/INDEX('Cohort Summary'!$E$5:$E$14,MATCH($A1116,'Cohort Summary'!$A$5:$A$14,0))</f>
        <v>-1.34246575342466</v>
      </c>
      <c r="J1116" s="42" t="n">
        <f aca="false">(E1116-INDEX('Cohort Summary'!$F$5:$F$14,MATCH($A1116,'Cohort Summary'!$A$5:$A$14,0)))/INDEX('Cohort Summary'!$G$5:$G$14,MATCH($A1116,'Cohort Summary'!$A$5:$A$14,0))</f>
        <v>-1.5631067961165</v>
      </c>
      <c r="K1116" s="42" t="n">
        <f aca="false">(F1116-INDEX('Cohort Summary'!$H$5:$H$14,MATCH($A1116,'Cohort Summary'!$A$5:$A$14,0)))/INDEX('Cohort Summary'!$I$5:$I$14,MATCH($A1116,'Cohort Summary'!$A$5:$A$14,0))</f>
        <v>-0.267361111111112</v>
      </c>
      <c r="L1116" s="42" t="n">
        <f aca="false">(G1116-INDEX('Cohort Summary'!$J$5:$J$14,MATCH($A1116,'Cohort Summary'!$A$5:$A$14,0)))/INDEX('Cohort Summary'!$K$5:$K$14,MATCH($A1116,'Cohort Summary'!$A$5:$A$14,0))</f>
        <v>0.574074074074078</v>
      </c>
      <c r="M1116" s="42" t="n">
        <f aca="false">MAX(I1116:K1116)</f>
        <v>-0.267361111111112</v>
      </c>
      <c r="N1116" s="27" t="s">
        <v>197</v>
      </c>
      <c r="O1116" s="27"/>
      <c r="P1116" s="27" t="str">
        <f aca="false">A1116&amp;"|"&amp;N1116</f>
        <v>NURSE-06|normal</v>
      </c>
    </row>
    <row r="1117" customFormat="false" ht="15" hidden="false" customHeight="true" outlineLevel="0" collapsed="false">
      <c r="A1117" s="27" t="s">
        <v>91</v>
      </c>
      <c r="B1117" s="41" t="n">
        <v>46303.3315972222</v>
      </c>
      <c r="C1117" s="27" t="s">
        <v>200</v>
      </c>
      <c r="D1117" s="27" t="n">
        <v>44</v>
      </c>
      <c r="E1117" s="27" t="n">
        <v>22</v>
      </c>
      <c r="F1117" s="27" t="n">
        <v>33.8</v>
      </c>
      <c r="G1117" s="27" t="n">
        <v>32</v>
      </c>
      <c r="H1117" s="27" t="s">
        <v>196</v>
      </c>
      <c r="I1117" s="42" t="n">
        <f aca="false">(D1117-INDEX('Cohort Summary'!$D$5:$D$14,MATCH($A1117,'Cohort Summary'!$A$5:$A$14,0)))/INDEX('Cohort Summary'!$E$5:$E$14,MATCH($A1117,'Cohort Summary'!$A$5:$A$14,0))</f>
        <v>0.609589041095891</v>
      </c>
      <c r="J1117" s="42" t="n">
        <f aca="false">(E1117-INDEX('Cohort Summary'!$F$5:$F$14,MATCH($A1117,'Cohort Summary'!$A$5:$A$14,0)))/INDEX('Cohort Summary'!$G$5:$G$14,MATCH($A1117,'Cohort Summary'!$A$5:$A$14,0))</f>
        <v>0.135922330097088</v>
      </c>
      <c r="K1117" s="42" t="n">
        <f aca="false">(F1117-INDEX('Cohort Summary'!$H$5:$H$14,MATCH($A1117,'Cohort Summary'!$A$5:$A$14,0)))/INDEX('Cohort Summary'!$I$5:$I$14,MATCH($A1117,'Cohort Summary'!$A$5:$A$14,0))</f>
        <v>1.60763888888889</v>
      </c>
      <c r="L1117" s="42" t="n">
        <f aca="false">(G1117-INDEX('Cohort Summary'!$J$5:$J$14,MATCH($A1117,'Cohort Summary'!$A$5:$A$14,0)))/INDEX('Cohort Summary'!$K$5:$K$14,MATCH($A1117,'Cohort Summary'!$A$5:$A$14,0))</f>
        <v>-1.64814814814815</v>
      </c>
      <c r="M1117" s="42" t="n">
        <f aca="false">MAX(I1117:K1117)</f>
        <v>1.60763888888889</v>
      </c>
      <c r="N1117" s="27" t="s">
        <v>197</v>
      </c>
      <c r="O1117" s="27"/>
      <c r="P1117" s="27" t="str">
        <f aca="false">A1117&amp;"|"&amp;N1117</f>
        <v>NURSE-06|normal</v>
      </c>
    </row>
    <row r="1118" customFormat="false" ht="15" hidden="false" customHeight="true" outlineLevel="0" collapsed="false">
      <c r="A1118" s="27" t="s">
        <v>91</v>
      </c>
      <c r="B1118" s="41" t="n">
        <v>46303.3319444444</v>
      </c>
      <c r="C1118" s="27" t="s">
        <v>200</v>
      </c>
      <c r="D1118" s="27" t="n">
        <v>44.9</v>
      </c>
      <c r="E1118" s="27" t="n">
        <v>18.5</v>
      </c>
      <c r="F1118" s="27" t="n">
        <v>32</v>
      </c>
      <c r="G1118" s="27" t="n">
        <v>32.4</v>
      </c>
      <c r="H1118" s="27" t="s">
        <v>198</v>
      </c>
      <c r="I1118" s="42" t="n">
        <f aca="false">(D1118-INDEX('Cohort Summary'!$D$5:$D$14,MATCH($A1118,'Cohort Summary'!$A$5:$A$14,0)))/INDEX('Cohort Summary'!$E$5:$E$14,MATCH($A1118,'Cohort Summary'!$A$5:$A$14,0))</f>
        <v>0.917808219178082</v>
      </c>
      <c r="J1118" s="42" t="n">
        <f aca="false">(E1118-INDEX('Cohort Summary'!$F$5:$F$14,MATCH($A1118,'Cohort Summary'!$A$5:$A$14,0)))/INDEX('Cohort Summary'!$G$5:$G$14,MATCH($A1118,'Cohort Summary'!$A$5:$A$14,0))</f>
        <v>-1.5631067961165</v>
      </c>
      <c r="K1118" s="42" t="n">
        <f aca="false">(F1118-INDEX('Cohort Summary'!$H$5:$H$14,MATCH($A1118,'Cohort Summary'!$A$5:$A$14,0)))/INDEX('Cohort Summary'!$I$5:$I$14,MATCH($A1118,'Cohort Summary'!$A$5:$A$14,0))</f>
        <v>0.982638888888888</v>
      </c>
      <c r="L1118" s="42" t="n">
        <f aca="false">(G1118-INDEX('Cohort Summary'!$J$5:$J$14,MATCH($A1118,'Cohort Summary'!$A$5:$A$14,0)))/INDEX('Cohort Summary'!$K$5:$K$14,MATCH($A1118,'Cohort Summary'!$A$5:$A$14,0))</f>
        <v>-0.907407407407411</v>
      </c>
      <c r="M1118" s="42" t="n">
        <f aca="false">MAX(I1118:K1118)</f>
        <v>0.982638888888888</v>
      </c>
      <c r="N1118" s="27" t="s">
        <v>197</v>
      </c>
      <c r="O1118" s="27"/>
      <c r="P1118" s="27" t="str">
        <f aca="false">A1118&amp;"|"&amp;N1118</f>
        <v>NURSE-06|normal</v>
      </c>
    </row>
    <row r="1119" customFormat="false" ht="15" hidden="false" customHeight="true" outlineLevel="0" collapsed="false">
      <c r="A1119" s="27" t="s">
        <v>91</v>
      </c>
      <c r="B1119" s="41" t="n">
        <v>46303.3322916667</v>
      </c>
      <c r="C1119" s="27" t="s">
        <v>200</v>
      </c>
      <c r="D1119" s="27" t="n">
        <v>42.8</v>
      </c>
      <c r="E1119" s="27" t="n">
        <v>23.1</v>
      </c>
      <c r="F1119" s="27" t="n">
        <v>27.5</v>
      </c>
      <c r="G1119" s="27" t="n">
        <v>33.3</v>
      </c>
      <c r="H1119" s="27" t="s">
        <v>199</v>
      </c>
      <c r="I1119" s="42" t="n">
        <f aca="false">(D1119-INDEX('Cohort Summary'!$D$5:$D$14,MATCH($A1119,'Cohort Summary'!$A$5:$A$14,0)))/INDEX('Cohort Summary'!$E$5:$E$14,MATCH($A1119,'Cohort Summary'!$A$5:$A$14,0))</f>
        <v>0.198630136986301</v>
      </c>
      <c r="J1119" s="42" t="n">
        <f aca="false">(E1119-INDEX('Cohort Summary'!$F$5:$F$14,MATCH($A1119,'Cohort Summary'!$A$5:$A$14,0)))/INDEX('Cohort Summary'!$G$5:$G$14,MATCH($A1119,'Cohort Summary'!$A$5:$A$14,0))</f>
        <v>0.669902912621361</v>
      </c>
      <c r="K1119" s="42" t="n">
        <f aca="false">(F1119-INDEX('Cohort Summary'!$H$5:$H$14,MATCH($A1119,'Cohort Summary'!$A$5:$A$14,0)))/INDEX('Cohort Summary'!$I$5:$I$14,MATCH($A1119,'Cohort Summary'!$A$5:$A$14,0))</f>
        <v>-0.579861111111112</v>
      </c>
      <c r="L1119" s="42" t="n">
        <f aca="false">(G1119-INDEX('Cohort Summary'!$J$5:$J$14,MATCH($A1119,'Cohort Summary'!$A$5:$A$14,0)))/INDEX('Cohort Summary'!$K$5:$K$14,MATCH($A1119,'Cohort Summary'!$A$5:$A$14,0))</f>
        <v>0.759259259259253</v>
      </c>
      <c r="M1119" s="42" t="n">
        <f aca="false">MAX(I1119:K1119)</f>
        <v>0.669902912621361</v>
      </c>
      <c r="N1119" s="27" t="s">
        <v>197</v>
      </c>
      <c r="O1119" s="27"/>
      <c r="P1119" s="27" t="str">
        <f aca="false">A1119&amp;"|"&amp;N1119</f>
        <v>NURSE-06|normal</v>
      </c>
    </row>
    <row r="1120" customFormat="false" ht="15" hidden="false" customHeight="true" outlineLevel="0" collapsed="false">
      <c r="A1120" s="27" t="s">
        <v>91</v>
      </c>
      <c r="B1120" s="41" t="n">
        <v>46303.3326388889</v>
      </c>
      <c r="C1120" s="27" t="s">
        <v>200</v>
      </c>
      <c r="D1120" s="27" t="n">
        <v>41.1</v>
      </c>
      <c r="E1120" s="27" t="n">
        <v>23.8</v>
      </c>
      <c r="F1120" s="27" t="n">
        <v>25.6</v>
      </c>
      <c r="G1120" s="27" t="n">
        <v>32.8</v>
      </c>
      <c r="H1120" s="27" t="s">
        <v>198</v>
      </c>
      <c r="I1120" s="42" t="n">
        <f aca="false">(D1120-INDEX('Cohort Summary'!$D$5:$D$14,MATCH($A1120,'Cohort Summary'!$A$5:$A$14,0)))/INDEX('Cohort Summary'!$E$5:$E$14,MATCH($A1120,'Cohort Summary'!$A$5:$A$14,0))</f>
        <v>-0.383561643835616</v>
      </c>
      <c r="J1120" s="42" t="n">
        <f aca="false">(E1120-INDEX('Cohort Summary'!$F$5:$F$14,MATCH($A1120,'Cohort Summary'!$A$5:$A$14,0)))/INDEX('Cohort Summary'!$G$5:$G$14,MATCH($A1120,'Cohort Summary'!$A$5:$A$14,0))</f>
        <v>1.00970873786408</v>
      </c>
      <c r="K1120" s="42" t="n">
        <f aca="false">(F1120-INDEX('Cohort Summary'!$H$5:$H$14,MATCH($A1120,'Cohort Summary'!$A$5:$A$14,0)))/INDEX('Cohort Summary'!$I$5:$I$14,MATCH($A1120,'Cohort Summary'!$A$5:$A$14,0))</f>
        <v>-1.23958333333333</v>
      </c>
      <c r="L1120" s="42" t="n">
        <f aca="false">(G1120-INDEX('Cohort Summary'!$J$5:$J$14,MATCH($A1120,'Cohort Summary'!$A$5:$A$14,0)))/INDEX('Cohort Summary'!$K$5:$K$14,MATCH($A1120,'Cohort Summary'!$A$5:$A$14,0))</f>
        <v>-0.166666666666673</v>
      </c>
      <c r="M1120" s="42" t="n">
        <f aca="false">MAX(I1120:K1120)</f>
        <v>1.00970873786408</v>
      </c>
      <c r="N1120" s="27" t="s">
        <v>197</v>
      </c>
      <c r="O1120" s="27"/>
      <c r="P1120" s="27" t="str">
        <f aca="false">A1120&amp;"|"&amp;N1120</f>
        <v>NURSE-06|normal</v>
      </c>
    </row>
    <row r="1121" customFormat="false" ht="15" hidden="false" customHeight="true" outlineLevel="0" collapsed="false">
      <c r="A1121" s="27" t="s">
        <v>91</v>
      </c>
      <c r="B1121" s="41" t="n">
        <v>46303.3329861111</v>
      </c>
      <c r="C1121" s="27" t="s">
        <v>200</v>
      </c>
      <c r="D1121" s="27" t="n">
        <v>37</v>
      </c>
      <c r="E1121" s="27" t="n">
        <v>18.6</v>
      </c>
      <c r="F1121" s="27" t="n">
        <v>31.3</v>
      </c>
      <c r="G1121" s="27" t="n">
        <v>33.6</v>
      </c>
      <c r="H1121" s="27" t="s">
        <v>196</v>
      </c>
      <c r="I1121" s="42" t="n">
        <f aca="false">(D1121-INDEX('Cohort Summary'!$D$5:$D$14,MATCH($A1121,'Cohort Summary'!$A$5:$A$14,0)))/INDEX('Cohort Summary'!$E$5:$E$14,MATCH($A1121,'Cohort Summary'!$A$5:$A$14,0))</f>
        <v>-1.78767123287671</v>
      </c>
      <c r="J1121" s="42" t="n">
        <f aca="false">(E1121-INDEX('Cohort Summary'!$F$5:$F$14,MATCH($A1121,'Cohort Summary'!$A$5:$A$14,0)))/INDEX('Cohort Summary'!$G$5:$G$14,MATCH($A1121,'Cohort Summary'!$A$5:$A$14,0))</f>
        <v>-1.51456310679612</v>
      </c>
      <c r="K1121" s="42" t="n">
        <f aca="false">(F1121-INDEX('Cohort Summary'!$H$5:$H$14,MATCH($A1121,'Cohort Summary'!$A$5:$A$14,0)))/INDEX('Cohort Summary'!$I$5:$I$14,MATCH($A1121,'Cohort Summary'!$A$5:$A$14,0))</f>
        <v>0.739583333333333</v>
      </c>
      <c r="L1121" s="42" t="n">
        <f aca="false">(G1121-INDEX('Cohort Summary'!$J$5:$J$14,MATCH($A1121,'Cohort Summary'!$A$5:$A$14,0)))/INDEX('Cohort Summary'!$K$5:$K$14,MATCH($A1121,'Cohort Summary'!$A$5:$A$14,0))</f>
        <v>1.31481481481482</v>
      </c>
      <c r="M1121" s="42" t="n">
        <f aca="false">MAX(I1121:K1121)</f>
        <v>0.739583333333333</v>
      </c>
      <c r="N1121" s="27" t="s">
        <v>197</v>
      </c>
      <c r="O1121" s="27"/>
      <c r="P1121" s="27" t="str">
        <f aca="false">A1121&amp;"|"&amp;N1121</f>
        <v>NURSE-06|normal</v>
      </c>
    </row>
    <row r="1122" customFormat="false" ht="15" hidden="false" customHeight="true" outlineLevel="0" collapsed="false">
      <c r="A1122" s="27" t="s">
        <v>91</v>
      </c>
      <c r="B1122" s="41" t="n">
        <v>46303.3333333333</v>
      </c>
      <c r="C1122" s="27" t="s">
        <v>200</v>
      </c>
      <c r="D1122" s="27" t="n">
        <v>46.1</v>
      </c>
      <c r="E1122" s="27" t="n">
        <v>22.6</v>
      </c>
      <c r="F1122" s="27" t="n">
        <v>26.6</v>
      </c>
      <c r="G1122" s="27" t="n">
        <v>32.1</v>
      </c>
      <c r="H1122" s="27" t="s">
        <v>199</v>
      </c>
      <c r="I1122" s="42" t="n">
        <f aca="false">(D1122-INDEX('Cohort Summary'!$D$5:$D$14,MATCH($A1122,'Cohort Summary'!$A$5:$A$14,0)))/INDEX('Cohort Summary'!$E$5:$E$14,MATCH($A1122,'Cohort Summary'!$A$5:$A$14,0))</f>
        <v>1.32876712328767</v>
      </c>
      <c r="J1122" s="42" t="n">
        <f aca="false">(E1122-INDEX('Cohort Summary'!$F$5:$F$14,MATCH($A1122,'Cohort Summary'!$A$5:$A$14,0)))/INDEX('Cohort Summary'!$G$5:$G$14,MATCH($A1122,'Cohort Summary'!$A$5:$A$14,0))</f>
        <v>0.427184466019419</v>
      </c>
      <c r="K1122" s="42" t="n">
        <f aca="false">(F1122-INDEX('Cohort Summary'!$H$5:$H$14,MATCH($A1122,'Cohort Summary'!$A$5:$A$14,0)))/INDEX('Cohort Summary'!$I$5:$I$14,MATCH($A1122,'Cohort Summary'!$A$5:$A$14,0))</f>
        <v>-0.892361111111111</v>
      </c>
      <c r="L1122" s="42" t="n">
        <f aca="false">(G1122-INDEX('Cohort Summary'!$J$5:$J$14,MATCH($A1122,'Cohort Summary'!$A$5:$A$14,0)))/INDEX('Cohort Summary'!$K$5:$K$14,MATCH($A1122,'Cohort Summary'!$A$5:$A$14,0))</f>
        <v>-1.46296296296296</v>
      </c>
      <c r="M1122" s="42" t="n">
        <f aca="false">MAX(I1122:K1122)</f>
        <v>1.32876712328767</v>
      </c>
      <c r="N1122" s="27" t="s">
        <v>197</v>
      </c>
      <c r="O1122" s="27"/>
      <c r="P1122" s="27" t="str">
        <f aca="false">A1122&amp;"|"&amp;N1122</f>
        <v>NURSE-06|normal</v>
      </c>
    </row>
    <row r="1123" customFormat="false" ht="15" hidden="false" customHeight="true" outlineLevel="0" collapsed="false">
      <c r="A1123" s="27" t="s">
        <v>91</v>
      </c>
      <c r="B1123" s="41" t="n">
        <v>46303.3336805556</v>
      </c>
      <c r="C1123" s="27" t="s">
        <v>200</v>
      </c>
      <c r="D1123" s="27" t="n">
        <v>37.9</v>
      </c>
      <c r="E1123" s="27" t="n">
        <v>19.5</v>
      </c>
      <c r="F1123" s="27" t="n">
        <v>25.5</v>
      </c>
      <c r="G1123" s="27" t="n">
        <v>33.6</v>
      </c>
      <c r="H1123" s="27" t="s">
        <v>198</v>
      </c>
      <c r="I1123" s="42" t="n">
        <f aca="false">(D1123-INDEX('Cohort Summary'!$D$5:$D$14,MATCH($A1123,'Cohort Summary'!$A$5:$A$14,0)))/INDEX('Cohort Summary'!$E$5:$E$14,MATCH($A1123,'Cohort Summary'!$A$5:$A$14,0))</f>
        <v>-1.47945205479452</v>
      </c>
      <c r="J1123" s="42" t="n">
        <f aca="false">(E1123-INDEX('Cohort Summary'!$F$5:$F$14,MATCH($A1123,'Cohort Summary'!$A$5:$A$14,0)))/INDEX('Cohort Summary'!$G$5:$G$14,MATCH($A1123,'Cohort Summary'!$A$5:$A$14,0))</f>
        <v>-1.07766990291262</v>
      </c>
      <c r="K1123" s="42" t="n">
        <f aca="false">(F1123-INDEX('Cohort Summary'!$H$5:$H$14,MATCH($A1123,'Cohort Summary'!$A$5:$A$14,0)))/INDEX('Cohort Summary'!$I$5:$I$14,MATCH($A1123,'Cohort Summary'!$A$5:$A$14,0))</f>
        <v>-1.27430555555556</v>
      </c>
      <c r="L1123" s="42" t="n">
        <f aca="false">(G1123-INDEX('Cohort Summary'!$J$5:$J$14,MATCH($A1123,'Cohort Summary'!$A$5:$A$14,0)))/INDEX('Cohort Summary'!$K$5:$K$14,MATCH($A1123,'Cohort Summary'!$A$5:$A$14,0))</f>
        <v>1.31481481481482</v>
      </c>
      <c r="M1123" s="42" t="n">
        <f aca="false">MAX(I1123:K1123)</f>
        <v>-1.07766990291262</v>
      </c>
      <c r="N1123" s="27" t="s">
        <v>197</v>
      </c>
      <c r="O1123" s="27"/>
      <c r="P1123" s="27" t="str">
        <f aca="false">A1123&amp;"|"&amp;N1123</f>
        <v>NURSE-06|normal</v>
      </c>
    </row>
    <row r="1124" customFormat="false" ht="15" hidden="false" customHeight="true" outlineLevel="0" collapsed="false">
      <c r="A1124" s="27" t="s">
        <v>91</v>
      </c>
      <c r="B1124" s="41" t="n">
        <v>46303.3340277778</v>
      </c>
      <c r="C1124" s="27" t="s">
        <v>200</v>
      </c>
      <c r="D1124" s="27" t="n">
        <v>45.7</v>
      </c>
      <c r="E1124" s="27" t="n">
        <v>25</v>
      </c>
      <c r="F1124" s="27" t="n">
        <v>27.2</v>
      </c>
      <c r="G1124" s="27" t="n">
        <v>33.7</v>
      </c>
      <c r="H1124" s="27" t="s">
        <v>196</v>
      </c>
      <c r="I1124" s="42" t="n">
        <f aca="false">(D1124-INDEX('Cohort Summary'!$D$5:$D$14,MATCH($A1124,'Cohort Summary'!$A$5:$A$14,0)))/INDEX('Cohort Summary'!$E$5:$E$14,MATCH($A1124,'Cohort Summary'!$A$5:$A$14,0))</f>
        <v>1.19178082191781</v>
      </c>
      <c r="J1124" s="42" t="n">
        <f aca="false">(E1124-INDEX('Cohort Summary'!$F$5:$F$14,MATCH($A1124,'Cohort Summary'!$A$5:$A$14,0)))/INDEX('Cohort Summary'!$G$5:$G$14,MATCH($A1124,'Cohort Summary'!$A$5:$A$14,0))</f>
        <v>1.59223300970874</v>
      </c>
      <c r="K1124" s="42" t="n">
        <f aca="false">(F1124-INDEX('Cohort Summary'!$H$5:$H$14,MATCH($A1124,'Cohort Summary'!$A$5:$A$14,0)))/INDEX('Cohort Summary'!$I$5:$I$14,MATCH($A1124,'Cohort Summary'!$A$5:$A$14,0))</f>
        <v>-0.684027777777779</v>
      </c>
      <c r="L1124" s="42" t="n">
        <f aca="false">(G1124-INDEX('Cohort Summary'!$J$5:$J$14,MATCH($A1124,'Cohort Summary'!$A$5:$A$14,0)))/INDEX('Cohort Summary'!$K$5:$K$14,MATCH($A1124,'Cohort Summary'!$A$5:$A$14,0))</f>
        <v>1.5</v>
      </c>
      <c r="M1124" s="42" t="n">
        <f aca="false">MAX(I1124:K1124)</f>
        <v>1.59223300970874</v>
      </c>
      <c r="N1124" s="27" t="s">
        <v>197</v>
      </c>
      <c r="O1124" s="27"/>
      <c r="P1124" s="27" t="str">
        <f aca="false">A1124&amp;"|"&amp;N1124</f>
        <v>NURSE-06|normal</v>
      </c>
    </row>
    <row r="1125" customFormat="false" ht="15" hidden="false" customHeight="true" outlineLevel="0" collapsed="false">
      <c r="A1125" s="27" t="s">
        <v>91</v>
      </c>
      <c r="B1125" s="41" t="n">
        <v>46303.334375</v>
      </c>
      <c r="C1125" s="27" t="s">
        <v>200</v>
      </c>
      <c r="D1125" s="27" t="n">
        <v>45.7</v>
      </c>
      <c r="E1125" s="27" t="n">
        <v>22.1</v>
      </c>
      <c r="F1125" s="27" t="n">
        <v>33.7</v>
      </c>
      <c r="G1125" s="27" t="n">
        <v>33.2</v>
      </c>
      <c r="H1125" s="27" t="s">
        <v>196</v>
      </c>
      <c r="I1125" s="42" t="n">
        <f aca="false">(D1125-INDEX('Cohort Summary'!$D$5:$D$14,MATCH($A1125,'Cohort Summary'!$A$5:$A$14,0)))/INDEX('Cohort Summary'!$E$5:$E$14,MATCH($A1125,'Cohort Summary'!$A$5:$A$14,0))</f>
        <v>1.19178082191781</v>
      </c>
      <c r="J1125" s="42" t="n">
        <f aca="false">(E1125-INDEX('Cohort Summary'!$F$5:$F$14,MATCH($A1125,'Cohort Summary'!$A$5:$A$14,0)))/INDEX('Cohort Summary'!$G$5:$G$14,MATCH($A1125,'Cohort Summary'!$A$5:$A$14,0))</f>
        <v>0.184466019417477</v>
      </c>
      <c r="K1125" s="42" t="n">
        <f aca="false">(F1125-INDEX('Cohort Summary'!$H$5:$H$14,MATCH($A1125,'Cohort Summary'!$A$5:$A$14,0)))/INDEX('Cohort Summary'!$I$5:$I$14,MATCH($A1125,'Cohort Summary'!$A$5:$A$14,0))</f>
        <v>1.57291666666667</v>
      </c>
      <c r="L1125" s="42" t="n">
        <f aca="false">(G1125-INDEX('Cohort Summary'!$J$5:$J$14,MATCH($A1125,'Cohort Summary'!$A$5:$A$14,0)))/INDEX('Cohort Summary'!$K$5:$K$14,MATCH($A1125,'Cohort Summary'!$A$5:$A$14,0))</f>
        <v>0.574074074074078</v>
      </c>
      <c r="M1125" s="42" t="n">
        <f aca="false">MAX(I1125:K1125)</f>
        <v>1.57291666666667</v>
      </c>
      <c r="N1125" s="27" t="s">
        <v>197</v>
      </c>
      <c r="O1125" s="27"/>
      <c r="P1125" s="27" t="str">
        <f aca="false">A1125&amp;"|"&amp;N1125</f>
        <v>NURSE-06|normal</v>
      </c>
    </row>
    <row r="1126" customFormat="false" ht="15" hidden="false" customHeight="true" outlineLevel="0" collapsed="false">
      <c r="A1126" s="27" t="s">
        <v>91</v>
      </c>
      <c r="B1126" s="41" t="n">
        <v>46303.3347222222</v>
      </c>
      <c r="C1126" s="27" t="s">
        <v>200</v>
      </c>
      <c r="D1126" s="27" t="n">
        <v>42.3</v>
      </c>
      <c r="E1126" s="27" t="n">
        <v>20.2</v>
      </c>
      <c r="F1126" s="27" t="n">
        <v>26</v>
      </c>
      <c r="G1126" s="27" t="n">
        <v>33.4</v>
      </c>
      <c r="H1126" s="27" t="s">
        <v>198</v>
      </c>
      <c r="I1126" s="42" t="n">
        <f aca="false">(D1126-INDEX('Cohort Summary'!$D$5:$D$14,MATCH($A1126,'Cohort Summary'!$A$5:$A$14,0)))/INDEX('Cohort Summary'!$E$5:$E$14,MATCH($A1126,'Cohort Summary'!$A$5:$A$14,0))</f>
        <v>0.027397260273972</v>
      </c>
      <c r="J1126" s="42" t="n">
        <f aca="false">(E1126-INDEX('Cohort Summary'!$F$5:$F$14,MATCH($A1126,'Cohort Summary'!$A$5:$A$14,0)))/INDEX('Cohort Summary'!$G$5:$G$14,MATCH($A1126,'Cohort Summary'!$A$5:$A$14,0))</f>
        <v>-0.737864077669903</v>
      </c>
      <c r="K1126" s="42" t="n">
        <f aca="false">(F1126-INDEX('Cohort Summary'!$H$5:$H$14,MATCH($A1126,'Cohort Summary'!$A$5:$A$14,0)))/INDEX('Cohort Summary'!$I$5:$I$14,MATCH($A1126,'Cohort Summary'!$A$5:$A$14,0))</f>
        <v>-1.10069444444445</v>
      </c>
      <c r="L1126" s="42" t="n">
        <f aca="false">(G1126-INDEX('Cohort Summary'!$J$5:$J$14,MATCH($A1126,'Cohort Summary'!$A$5:$A$14,0)))/INDEX('Cohort Summary'!$K$5:$K$14,MATCH($A1126,'Cohort Summary'!$A$5:$A$14,0))</f>
        <v>0.944444444444441</v>
      </c>
      <c r="M1126" s="42" t="n">
        <f aca="false">MAX(I1126:K1126)</f>
        <v>0.027397260273972</v>
      </c>
      <c r="N1126" s="27" t="s">
        <v>197</v>
      </c>
      <c r="O1126" s="27"/>
      <c r="P1126" s="27" t="str">
        <f aca="false">A1126&amp;"|"&amp;N1126</f>
        <v>NURSE-06|normal</v>
      </c>
    </row>
    <row r="1127" customFormat="false" ht="15" hidden="false" customHeight="true" outlineLevel="0" collapsed="false">
      <c r="A1127" s="27" t="s">
        <v>91</v>
      </c>
      <c r="B1127" s="41" t="n">
        <v>46303.3350694445</v>
      </c>
      <c r="C1127" s="27" t="s">
        <v>200</v>
      </c>
      <c r="D1127" s="27" t="n">
        <v>40.7</v>
      </c>
      <c r="E1127" s="27" t="n">
        <v>21.6</v>
      </c>
      <c r="F1127" s="27" t="n">
        <v>29.9</v>
      </c>
      <c r="G1127" s="27" t="n">
        <v>32.3</v>
      </c>
      <c r="H1127" s="27" t="s">
        <v>199</v>
      </c>
      <c r="I1127" s="42" t="n">
        <f aca="false">(D1127-INDEX('Cohort Summary'!$D$5:$D$14,MATCH($A1127,'Cohort Summary'!$A$5:$A$14,0)))/INDEX('Cohort Summary'!$E$5:$E$14,MATCH($A1127,'Cohort Summary'!$A$5:$A$14,0))</f>
        <v>-0.520547945205478</v>
      </c>
      <c r="J1127" s="42" t="n">
        <f aca="false">(E1127-INDEX('Cohort Summary'!$F$5:$F$14,MATCH($A1127,'Cohort Summary'!$A$5:$A$14,0)))/INDEX('Cohort Summary'!$G$5:$G$14,MATCH($A1127,'Cohort Summary'!$A$5:$A$14,0))</f>
        <v>-0.0582524271844648</v>
      </c>
      <c r="K1127" s="42" t="n">
        <f aca="false">(F1127-INDEX('Cohort Summary'!$H$5:$H$14,MATCH($A1127,'Cohort Summary'!$A$5:$A$14,0)))/INDEX('Cohort Summary'!$I$5:$I$14,MATCH($A1127,'Cohort Summary'!$A$5:$A$14,0))</f>
        <v>0.253472222222221</v>
      </c>
      <c r="L1127" s="42" t="n">
        <f aca="false">(G1127-INDEX('Cohort Summary'!$J$5:$J$14,MATCH($A1127,'Cohort Summary'!$A$5:$A$14,0)))/INDEX('Cohort Summary'!$K$5:$K$14,MATCH($A1127,'Cohort Summary'!$A$5:$A$14,0))</f>
        <v>-1.0925925925926</v>
      </c>
      <c r="M1127" s="42" t="n">
        <f aca="false">MAX(I1127:K1127)</f>
        <v>0.253472222222221</v>
      </c>
      <c r="N1127" s="27" t="s">
        <v>197</v>
      </c>
      <c r="O1127" s="27"/>
      <c r="P1127" s="27" t="str">
        <f aca="false">A1127&amp;"|"&amp;N1127</f>
        <v>NURSE-06|normal</v>
      </c>
    </row>
    <row r="1128" customFormat="false" ht="15" hidden="false" customHeight="true" outlineLevel="0" collapsed="false">
      <c r="A1128" s="27" t="s">
        <v>91</v>
      </c>
      <c r="B1128" s="41" t="n">
        <v>46303.3354166667</v>
      </c>
      <c r="C1128" s="27" t="s">
        <v>200</v>
      </c>
      <c r="D1128" s="27" t="n">
        <v>43.6</v>
      </c>
      <c r="E1128" s="27" t="n">
        <v>18.9</v>
      </c>
      <c r="F1128" s="27" t="n">
        <v>24.2</v>
      </c>
      <c r="G1128" s="27" t="n">
        <v>32.8</v>
      </c>
      <c r="H1128" s="27" t="s">
        <v>196</v>
      </c>
      <c r="I1128" s="42" t="n">
        <f aca="false">(D1128-INDEX('Cohort Summary'!$D$5:$D$14,MATCH($A1128,'Cohort Summary'!$A$5:$A$14,0)))/INDEX('Cohort Summary'!$E$5:$E$14,MATCH($A1128,'Cohort Summary'!$A$5:$A$14,0))</f>
        <v>0.472602739726028</v>
      </c>
      <c r="J1128" s="42" t="n">
        <f aca="false">(E1128-INDEX('Cohort Summary'!$F$5:$F$14,MATCH($A1128,'Cohort Summary'!$A$5:$A$14,0)))/INDEX('Cohort Summary'!$G$5:$G$14,MATCH($A1128,'Cohort Summary'!$A$5:$A$14,0))</f>
        <v>-1.36893203883495</v>
      </c>
      <c r="K1128" s="42" t="n">
        <f aca="false">(F1128-INDEX('Cohort Summary'!$H$5:$H$14,MATCH($A1128,'Cohort Summary'!$A$5:$A$14,0)))/INDEX('Cohort Summary'!$I$5:$I$14,MATCH($A1128,'Cohort Summary'!$A$5:$A$14,0))</f>
        <v>-1.72569444444445</v>
      </c>
      <c r="L1128" s="42" t="n">
        <f aca="false">(G1128-INDEX('Cohort Summary'!$J$5:$J$14,MATCH($A1128,'Cohort Summary'!$A$5:$A$14,0)))/INDEX('Cohort Summary'!$K$5:$K$14,MATCH($A1128,'Cohort Summary'!$A$5:$A$14,0))</f>
        <v>-0.166666666666673</v>
      </c>
      <c r="M1128" s="42" t="n">
        <f aca="false">MAX(I1128:K1128)</f>
        <v>0.472602739726028</v>
      </c>
      <c r="N1128" s="27" t="s">
        <v>197</v>
      </c>
      <c r="O1128" s="27"/>
      <c r="P1128" s="27" t="str">
        <f aca="false">A1128&amp;"|"&amp;N1128</f>
        <v>NURSE-06|normal</v>
      </c>
    </row>
    <row r="1129" customFormat="false" ht="15" hidden="false" customHeight="true" outlineLevel="0" collapsed="false">
      <c r="A1129" s="27" t="s">
        <v>91</v>
      </c>
      <c r="B1129" s="41" t="n">
        <v>46303.3357638889</v>
      </c>
      <c r="C1129" s="27" t="s">
        <v>200</v>
      </c>
      <c r="D1129" s="27" t="n">
        <v>38.9</v>
      </c>
      <c r="E1129" s="27" t="n">
        <v>21.7</v>
      </c>
      <c r="F1129" s="27" t="n">
        <v>26.8</v>
      </c>
      <c r="G1129" s="27" t="n">
        <v>33.4</v>
      </c>
      <c r="H1129" s="27" t="s">
        <v>196</v>
      </c>
      <c r="I1129" s="42" t="n">
        <f aca="false">(D1129-INDEX('Cohort Summary'!$D$5:$D$14,MATCH($A1129,'Cohort Summary'!$A$5:$A$14,0)))/INDEX('Cohort Summary'!$E$5:$E$14,MATCH($A1129,'Cohort Summary'!$A$5:$A$14,0))</f>
        <v>-1.13698630136986</v>
      </c>
      <c r="J1129" s="42" t="n">
        <f aca="false">(E1129-INDEX('Cohort Summary'!$F$5:$F$14,MATCH($A1129,'Cohort Summary'!$A$5:$A$14,0)))/INDEX('Cohort Summary'!$G$5:$G$14,MATCH($A1129,'Cohort Summary'!$A$5:$A$14,0))</f>
        <v>-0.00970873786407746</v>
      </c>
      <c r="K1129" s="42" t="n">
        <f aca="false">(F1129-INDEX('Cohort Summary'!$H$5:$H$14,MATCH($A1129,'Cohort Summary'!$A$5:$A$14,0)))/INDEX('Cohort Summary'!$I$5:$I$14,MATCH($A1129,'Cohort Summary'!$A$5:$A$14,0))</f>
        <v>-0.822916666666667</v>
      </c>
      <c r="L1129" s="42" t="n">
        <f aca="false">(G1129-INDEX('Cohort Summary'!$J$5:$J$14,MATCH($A1129,'Cohort Summary'!$A$5:$A$14,0)))/INDEX('Cohort Summary'!$K$5:$K$14,MATCH($A1129,'Cohort Summary'!$A$5:$A$14,0))</f>
        <v>0.944444444444441</v>
      </c>
      <c r="M1129" s="42" t="n">
        <f aca="false">MAX(I1129:K1129)</f>
        <v>-0.00970873786407746</v>
      </c>
      <c r="N1129" s="27" t="s">
        <v>197</v>
      </c>
      <c r="O1129" s="27"/>
      <c r="P1129" s="27" t="str">
        <f aca="false">A1129&amp;"|"&amp;N1129</f>
        <v>NURSE-06|normal</v>
      </c>
    </row>
    <row r="1130" customFormat="false" ht="15" hidden="false" customHeight="true" outlineLevel="0" collapsed="false">
      <c r="A1130" s="27" t="s">
        <v>91</v>
      </c>
      <c r="B1130" s="41" t="n">
        <v>46303.3361111111</v>
      </c>
      <c r="C1130" s="27" t="s">
        <v>200</v>
      </c>
      <c r="D1130" s="27" t="n">
        <v>41.5</v>
      </c>
      <c r="E1130" s="27" t="n">
        <v>20.6</v>
      </c>
      <c r="F1130" s="27" t="n">
        <v>28.8</v>
      </c>
      <c r="G1130" s="27" t="n">
        <v>33.3</v>
      </c>
      <c r="H1130" s="27" t="s">
        <v>196</v>
      </c>
      <c r="I1130" s="42" t="n">
        <f aca="false">(D1130-INDEX('Cohort Summary'!$D$5:$D$14,MATCH($A1130,'Cohort Summary'!$A$5:$A$14,0)))/INDEX('Cohort Summary'!$E$5:$E$14,MATCH($A1130,'Cohort Summary'!$A$5:$A$14,0))</f>
        <v>-0.246575342465753</v>
      </c>
      <c r="J1130" s="42" t="n">
        <f aca="false">(E1130-INDEX('Cohort Summary'!$F$5:$F$14,MATCH($A1130,'Cohort Summary'!$A$5:$A$14,0)))/INDEX('Cohort Summary'!$G$5:$G$14,MATCH($A1130,'Cohort Summary'!$A$5:$A$14,0))</f>
        <v>-0.543689320388348</v>
      </c>
      <c r="K1130" s="42" t="n">
        <f aca="false">(F1130-INDEX('Cohort Summary'!$H$5:$H$14,MATCH($A1130,'Cohort Summary'!$A$5:$A$14,0)))/INDEX('Cohort Summary'!$I$5:$I$14,MATCH($A1130,'Cohort Summary'!$A$5:$A$14,0))</f>
        <v>-0.128472222222223</v>
      </c>
      <c r="L1130" s="42" t="n">
        <f aca="false">(G1130-INDEX('Cohort Summary'!$J$5:$J$14,MATCH($A1130,'Cohort Summary'!$A$5:$A$14,0)))/INDEX('Cohort Summary'!$K$5:$K$14,MATCH($A1130,'Cohort Summary'!$A$5:$A$14,0))</f>
        <v>0.759259259259253</v>
      </c>
      <c r="M1130" s="42" t="n">
        <f aca="false">MAX(I1130:K1130)</f>
        <v>-0.128472222222223</v>
      </c>
      <c r="N1130" s="27" t="s">
        <v>197</v>
      </c>
      <c r="O1130" s="27"/>
      <c r="P1130" s="27" t="str">
        <f aca="false">A1130&amp;"|"&amp;N1130</f>
        <v>NURSE-06|normal</v>
      </c>
    </row>
    <row r="1131" customFormat="false" ht="15" hidden="false" customHeight="true" outlineLevel="0" collapsed="false">
      <c r="A1131" s="27" t="s">
        <v>91</v>
      </c>
      <c r="B1131" s="41" t="n">
        <v>46303.3364583333</v>
      </c>
      <c r="C1131" s="27" t="s">
        <v>200</v>
      </c>
      <c r="D1131" s="27" t="n">
        <v>42.4</v>
      </c>
      <c r="E1131" s="27" t="n">
        <v>21.8</v>
      </c>
      <c r="F1131" s="27" t="n">
        <v>26.9</v>
      </c>
      <c r="G1131" s="27" t="n">
        <v>33.6</v>
      </c>
      <c r="H1131" s="27" t="s">
        <v>198</v>
      </c>
      <c r="I1131" s="42" t="n">
        <f aca="false">(D1131-INDEX('Cohort Summary'!$D$5:$D$14,MATCH($A1131,'Cohort Summary'!$A$5:$A$14,0)))/INDEX('Cohort Summary'!$E$5:$E$14,MATCH($A1131,'Cohort Summary'!$A$5:$A$14,0))</f>
        <v>0.0616438356164383</v>
      </c>
      <c r="J1131" s="42" t="n">
        <f aca="false">(E1131-INDEX('Cohort Summary'!$F$5:$F$14,MATCH($A1131,'Cohort Summary'!$A$5:$A$14,0)))/INDEX('Cohort Summary'!$G$5:$G$14,MATCH($A1131,'Cohort Summary'!$A$5:$A$14,0))</f>
        <v>0.0388349514563116</v>
      </c>
      <c r="K1131" s="42" t="n">
        <f aca="false">(F1131-INDEX('Cohort Summary'!$H$5:$H$14,MATCH($A1131,'Cohort Summary'!$A$5:$A$14,0)))/INDEX('Cohort Summary'!$I$5:$I$14,MATCH($A1131,'Cohort Summary'!$A$5:$A$14,0))</f>
        <v>-0.788194444444446</v>
      </c>
      <c r="L1131" s="42" t="n">
        <f aca="false">(G1131-INDEX('Cohort Summary'!$J$5:$J$14,MATCH($A1131,'Cohort Summary'!$A$5:$A$14,0)))/INDEX('Cohort Summary'!$K$5:$K$14,MATCH($A1131,'Cohort Summary'!$A$5:$A$14,0))</f>
        <v>1.31481481481482</v>
      </c>
      <c r="M1131" s="42" t="n">
        <f aca="false">MAX(I1131:K1131)</f>
        <v>0.0616438356164383</v>
      </c>
      <c r="N1131" s="27" t="s">
        <v>197</v>
      </c>
      <c r="O1131" s="27"/>
      <c r="P1131" s="27" t="str">
        <f aca="false">A1131&amp;"|"&amp;N1131</f>
        <v>NURSE-06|normal</v>
      </c>
    </row>
    <row r="1132" customFormat="false" ht="15" hidden="false" customHeight="true" outlineLevel="0" collapsed="false">
      <c r="A1132" s="27" t="s">
        <v>91</v>
      </c>
      <c r="B1132" s="41" t="n">
        <v>46303.3368055556</v>
      </c>
      <c r="C1132" s="27" t="s">
        <v>200</v>
      </c>
      <c r="D1132" s="27" t="n">
        <v>45.2</v>
      </c>
      <c r="E1132" s="27" t="n">
        <v>21.4</v>
      </c>
      <c r="F1132" s="27" t="n">
        <v>42.3</v>
      </c>
      <c r="G1132" s="27" t="n">
        <v>32.3</v>
      </c>
      <c r="H1132" s="27" t="s">
        <v>198</v>
      </c>
      <c r="I1132" s="42" t="n">
        <f aca="false">(D1132-INDEX('Cohort Summary'!$D$5:$D$14,MATCH($A1132,'Cohort Summary'!$A$5:$A$14,0)))/INDEX('Cohort Summary'!$E$5:$E$14,MATCH($A1132,'Cohort Summary'!$A$5:$A$14,0))</f>
        <v>1.02054794520548</v>
      </c>
      <c r="J1132" s="42" t="n">
        <f aca="false">(E1132-INDEX('Cohort Summary'!$F$5:$F$14,MATCH($A1132,'Cohort Summary'!$A$5:$A$14,0)))/INDEX('Cohort Summary'!$G$5:$G$14,MATCH($A1132,'Cohort Summary'!$A$5:$A$14,0))</f>
        <v>-0.155339805825243</v>
      </c>
      <c r="K1132" s="42" t="n">
        <f aca="false">(F1132-INDEX('Cohort Summary'!$H$5:$H$14,MATCH($A1132,'Cohort Summary'!$A$5:$A$14,0)))/INDEX('Cohort Summary'!$I$5:$I$14,MATCH($A1132,'Cohort Summary'!$A$5:$A$14,0))</f>
        <v>4.55902777777778</v>
      </c>
      <c r="L1132" s="42" t="n">
        <f aca="false">(G1132-INDEX('Cohort Summary'!$J$5:$J$14,MATCH($A1132,'Cohort Summary'!$A$5:$A$14,0)))/INDEX('Cohort Summary'!$K$5:$K$14,MATCH($A1132,'Cohort Summary'!$A$5:$A$14,0))</f>
        <v>-1.0925925925926</v>
      </c>
      <c r="M1132" s="42" t="n">
        <f aca="false">MAX(I1132:K1132)</f>
        <v>4.55902777777778</v>
      </c>
      <c r="N1132" s="27" t="s">
        <v>201</v>
      </c>
      <c r="O1132" s="27" t="s">
        <v>255</v>
      </c>
      <c r="P1132" s="27" t="str">
        <f aca="false">A1132&amp;"|"&amp;N1132</f>
        <v>NURSE-06|caution</v>
      </c>
    </row>
    <row r="1133" customFormat="false" ht="15" hidden="false" customHeight="true" outlineLevel="0" collapsed="false">
      <c r="A1133" s="27" t="s">
        <v>91</v>
      </c>
      <c r="B1133" s="41" t="n">
        <v>46303.3371527778</v>
      </c>
      <c r="C1133" s="27" t="s">
        <v>200</v>
      </c>
      <c r="D1133" s="27" t="n">
        <v>45.6</v>
      </c>
      <c r="E1133" s="27" t="n">
        <v>23</v>
      </c>
      <c r="F1133" s="27" t="n">
        <v>39.6</v>
      </c>
      <c r="G1133" s="27" t="n">
        <v>32.1</v>
      </c>
      <c r="H1133" s="27" t="s">
        <v>198</v>
      </c>
      <c r="I1133" s="42" t="n">
        <f aca="false">(D1133-INDEX('Cohort Summary'!$D$5:$D$14,MATCH($A1133,'Cohort Summary'!$A$5:$A$14,0)))/INDEX('Cohort Summary'!$E$5:$E$14,MATCH($A1133,'Cohort Summary'!$A$5:$A$14,0))</f>
        <v>1.15753424657534</v>
      </c>
      <c r="J1133" s="42" t="n">
        <f aca="false">(E1133-INDEX('Cohort Summary'!$F$5:$F$14,MATCH($A1133,'Cohort Summary'!$A$5:$A$14,0)))/INDEX('Cohort Summary'!$G$5:$G$14,MATCH($A1133,'Cohort Summary'!$A$5:$A$14,0))</f>
        <v>0.621359223300971</v>
      </c>
      <c r="K1133" s="42" t="n">
        <f aca="false">(F1133-INDEX('Cohort Summary'!$H$5:$H$14,MATCH($A1133,'Cohort Summary'!$A$5:$A$14,0)))/INDEX('Cohort Summary'!$I$5:$I$14,MATCH($A1133,'Cohort Summary'!$A$5:$A$14,0))</f>
        <v>3.62152777777778</v>
      </c>
      <c r="L1133" s="42" t="n">
        <f aca="false">(G1133-INDEX('Cohort Summary'!$J$5:$J$14,MATCH($A1133,'Cohort Summary'!$A$5:$A$14,0)))/INDEX('Cohort Summary'!$K$5:$K$14,MATCH($A1133,'Cohort Summary'!$A$5:$A$14,0))</f>
        <v>-1.46296296296296</v>
      </c>
      <c r="M1133" s="42" t="n">
        <f aca="false">MAX(I1133:K1133)</f>
        <v>3.62152777777778</v>
      </c>
      <c r="N1133" s="27" t="s">
        <v>201</v>
      </c>
      <c r="O1133" s="27" t="s">
        <v>254</v>
      </c>
      <c r="P1133" s="27" t="str">
        <f aca="false">A1133&amp;"|"&amp;N1133</f>
        <v>NURSE-06|caution</v>
      </c>
    </row>
    <row r="1134" customFormat="false" ht="15" hidden="false" customHeight="true" outlineLevel="0" collapsed="false">
      <c r="A1134" s="27" t="s">
        <v>91</v>
      </c>
      <c r="B1134" s="41" t="n">
        <v>46303.3375</v>
      </c>
      <c r="C1134" s="27" t="s">
        <v>200</v>
      </c>
      <c r="D1134" s="27" t="n">
        <v>44.3</v>
      </c>
      <c r="E1134" s="27" t="n">
        <v>19.5</v>
      </c>
      <c r="F1134" s="27" t="n">
        <v>37.3</v>
      </c>
      <c r="G1134" s="27" t="n">
        <v>33.5</v>
      </c>
      <c r="H1134" s="27" t="s">
        <v>198</v>
      </c>
      <c r="I1134" s="42" t="n">
        <f aca="false">(D1134-INDEX('Cohort Summary'!$D$5:$D$14,MATCH($A1134,'Cohort Summary'!$A$5:$A$14,0)))/INDEX('Cohort Summary'!$E$5:$E$14,MATCH($A1134,'Cohort Summary'!$A$5:$A$14,0))</f>
        <v>0.712328767123287</v>
      </c>
      <c r="J1134" s="42" t="n">
        <f aca="false">(E1134-INDEX('Cohort Summary'!$F$5:$F$14,MATCH($A1134,'Cohort Summary'!$A$5:$A$14,0)))/INDEX('Cohort Summary'!$G$5:$G$14,MATCH($A1134,'Cohort Summary'!$A$5:$A$14,0))</f>
        <v>-1.07766990291262</v>
      </c>
      <c r="K1134" s="42" t="n">
        <f aca="false">(F1134-INDEX('Cohort Summary'!$H$5:$H$14,MATCH($A1134,'Cohort Summary'!$A$5:$A$14,0)))/INDEX('Cohort Summary'!$I$5:$I$14,MATCH($A1134,'Cohort Summary'!$A$5:$A$14,0))</f>
        <v>2.82291666666667</v>
      </c>
      <c r="L1134" s="42" t="n">
        <f aca="false">(G1134-INDEX('Cohort Summary'!$J$5:$J$14,MATCH($A1134,'Cohort Summary'!$A$5:$A$14,0)))/INDEX('Cohort Summary'!$K$5:$K$14,MATCH($A1134,'Cohort Summary'!$A$5:$A$14,0))</f>
        <v>1.12962962962963</v>
      </c>
      <c r="M1134" s="42" t="n">
        <f aca="false">MAX(I1134:K1134)</f>
        <v>2.82291666666667</v>
      </c>
      <c r="N1134" s="27" t="s">
        <v>201</v>
      </c>
      <c r="O1134" s="27" t="s">
        <v>258</v>
      </c>
      <c r="P1134" s="27" t="str">
        <f aca="false">A1134&amp;"|"&amp;N1134</f>
        <v>NURSE-06|caution</v>
      </c>
    </row>
    <row r="1135" customFormat="false" ht="15" hidden="false" customHeight="true" outlineLevel="0" collapsed="false">
      <c r="A1135" s="27" t="s">
        <v>91</v>
      </c>
      <c r="B1135" s="41" t="n">
        <v>46303.3378472222</v>
      </c>
      <c r="C1135" s="27" t="s">
        <v>200</v>
      </c>
      <c r="D1135" s="27" t="n">
        <v>44.4</v>
      </c>
      <c r="E1135" s="27" t="n">
        <v>19.8</v>
      </c>
      <c r="F1135" s="27" t="n">
        <v>38.7</v>
      </c>
      <c r="G1135" s="27" t="n">
        <v>31.9</v>
      </c>
      <c r="H1135" s="27" t="s">
        <v>198</v>
      </c>
      <c r="I1135" s="42" t="n">
        <f aca="false">(D1135-INDEX('Cohort Summary'!$D$5:$D$14,MATCH($A1135,'Cohort Summary'!$A$5:$A$14,0)))/INDEX('Cohort Summary'!$E$5:$E$14,MATCH($A1135,'Cohort Summary'!$A$5:$A$14,0))</f>
        <v>0.746575342465753</v>
      </c>
      <c r="J1135" s="42" t="n">
        <f aca="false">(E1135-INDEX('Cohort Summary'!$F$5:$F$14,MATCH($A1135,'Cohort Summary'!$A$5:$A$14,0)))/INDEX('Cohort Summary'!$G$5:$G$14,MATCH($A1135,'Cohort Summary'!$A$5:$A$14,0))</f>
        <v>-0.932038834951455</v>
      </c>
      <c r="K1135" s="42" t="n">
        <f aca="false">(F1135-INDEX('Cohort Summary'!$H$5:$H$14,MATCH($A1135,'Cohort Summary'!$A$5:$A$14,0)))/INDEX('Cohort Summary'!$I$5:$I$14,MATCH($A1135,'Cohort Summary'!$A$5:$A$14,0))</f>
        <v>3.30902777777778</v>
      </c>
      <c r="L1135" s="42" t="n">
        <f aca="false">(G1135-INDEX('Cohort Summary'!$J$5:$J$14,MATCH($A1135,'Cohort Summary'!$A$5:$A$14,0)))/INDEX('Cohort Summary'!$K$5:$K$14,MATCH($A1135,'Cohort Summary'!$A$5:$A$14,0))</f>
        <v>-1.83333333333334</v>
      </c>
      <c r="M1135" s="42" t="n">
        <f aca="false">MAX(I1135:K1135)</f>
        <v>3.30902777777778</v>
      </c>
      <c r="N1135" s="27" t="s">
        <v>201</v>
      </c>
      <c r="O1135" s="27" t="s">
        <v>257</v>
      </c>
      <c r="P1135" s="27" t="str">
        <f aca="false">A1135&amp;"|"&amp;N1135</f>
        <v>NURSE-06|caution</v>
      </c>
    </row>
    <row r="1136" customFormat="false" ht="15" hidden="false" customHeight="true" outlineLevel="0" collapsed="false">
      <c r="A1136" s="27" t="s">
        <v>91</v>
      </c>
      <c r="B1136" s="41" t="n">
        <v>46303.3381944444</v>
      </c>
      <c r="C1136" s="27" t="s">
        <v>200</v>
      </c>
      <c r="D1136" s="27" t="n">
        <v>37.6</v>
      </c>
      <c r="E1136" s="27" t="n">
        <v>20.5</v>
      </c>
      <c r="F1136" s="27" t="n">
        <v>35.3</v>
      </c>
      <c r="G1136" s="27" t="n">
        <v>33.8</v>
      </c>
      <c r="H1136" s="27" t="s">
        <v>198</v>
      </c>
      <c r="I1136" s="42" t="n">
        <f aca="false">(D1136-INDEX('Cohort Summary'!$D$5:$D$14,MATCH($A1136,'Cohort Summary'!$A$5:$A$14,0)))/INDEX('Cohort Summary'!$E$5:$E$14,MATCH($A1136,'Cohort Summary'!$A$5:$A$14,0))</f>
        <v>-1.58219178082192</v>
      </c>
      <c r="J1136" s="42" t="n">
        <f aca="false">(E1136-INDEX('Cohort Summary'!$F$5:$F$14,MATCH($A1136,'Cohort Summary'!$A$5:$A$14,0)))/INDEX('Cohort Summary'!$G$5:$G$14,MATCH($A1136,'Cohort Summary'!$A$5:$A$14,0))</f>
        <v>-0.592233009708737</v>
      </c>
      <c r="K1136" s="42" t="n">
        <f aca="false">(F1136-INDEX('Cohort Summary'!$H$5:$H$14,MATCH($A1136,'Cohort Summary'!$A$5:$A$14,0)))/INDEX('Cohort Summary'!$I$5:$I$14,MATCH($A1136,'Cohort Summary'!$A$5:$A$14,0))</f>
        <v>2.12847222222222</v>
      </c>
      <c r="L1136" s="42" t="n">
        <f aca="false">(G1136-INDEX('Cohort Summary'!$J$5:$J$14,MATCH($A1136,'Cohort Summary'!$A$5:$A$14,0)))/INDEX('Cohort Summary'!$K$5:$K$14,MATCH($A1136,'Cohort Summary'!$A$5:$A$14,0))</f>
        <v>1.68518518518518</v>
      </c>
      <c r="M1136" s="42" t="n">
        <f aca="false">MAX(I1136:K1136)</f>
        <v>2.12847222222222</v>
      </c>
      <c r="N1136" s="27" t="s">
        <v>201</v>
      </c>
      <c r="O1136" s="27" t="s">
        <v>259</v>
      </c>
      <c r="P1136" s="27" t="str">
        <f aca="false">A1136&amp;"|"&amp;N1136</f>
        <v>NURSE-06|caution</v>
      </c>
    </row>
    <row r="1137" customFormat="false" ht="15" hidden="false" customHeight="true" outlineLevel="0" collapsed="false">
      <c r="A1137" s="27" t="s">
        <v>91</v>
      </c>
      <c r="B1137" s="41" t="n">
        <v>46303.3385416667</v>
      </c>
      <c r="C1137" s="27" t="s">
        <v>200</v>
      </c>
      <c r="D1137" s="27" t="n">
        <v>45.9</v>
      </c>
      <c r="E1137" s="27" t="n">
        <v>24.1</v>
      </c>
      <c r="F1137" s="27" t="n">
        <v>38.1</v>
      </c>
      <c r="G1137" s="27" t="n">
        <v>33.5</v>
      </c>
      <c r="H1137" s="27" t="s">
        <v>198</v>
      </c>
      <c r="I1137" s="42" t="n">
        <f aca="false">(D1137-INDEX('Cohort Summary'!$D$5:$D$14,MATCH($A1137,'Cohort Summary'!$A$5:$A$14,0)))/INDEX('Cohort Summary'!$E$5:$E$14,MATCH($A1137,'Cohort Summary'!$A$5:$A$14,0))</f>
        <v>1.26027397260274</v>
      </c>
      <c r="J1137" s="42" t="n">
        <f aca="false">(E1137-INDEX('Cohort Summary'!$F$5:$F$14,MATCH($A1137,'Cohort Summary'!$A$5:$A$14,0)))/INDEX('Cohort Summary'!$G$5:$G$14,MATCH($A1137,'Cohort Summary'!$A$5:$A$14,0))</f>
        <v>1.15533980582524</v>
      </c>
      <c r="K1137" s="42" t="n">
        <f aca="false">(F1137-INDEX('Cohort Summary'!$H$5:$H$14,MATCH($A1137,'Cohort Summary'!$A$5:$A$14,0)))/INDEX('Cohort Summary'!$I$5:$I$14,MATCH($A1137,'Cohort Summary'!$A$5:$A$14,0))</f>
        <v>3.10069444444444</v>
      </c>
      <c r="L1137" s="42" t="n">
        <f aca="false">(G1137-INDEX('Cohort Summary'!$J$5:$J$14,MATCH($A1137,'Cohort Summary'!$A$5:$A$14,0)))/INDEX('Cohort Summary'!$K$5:$K$14,MATCH($A1137,'Cohort Summary'!$A$5:$A$14,0))</f>
        <v>1.12962962962963</v>
      </c>
      <c r="M1137" s="42" t="n">
        <f aca="false">MAX(I1137:K1137)</f>
        <v>3.10069444444444</v>
      </c>
      <c r="N1137" s="27" t="s">
        <v>201</v>
      </c>
      <c r="O1137" s="27" t="s">
        <v>260</v>
      </c>
      <c r="P1137" s="27" t="str">
        <f aca="false">A1137&amp;"|"&amp;N1137</f>
        <v>NURSE-06|caution</v>
      </c>
    </row>
    <row r="1138" customFormat="false" ht="15" hidden="false" customHeight="true" outlineLevel="0" collapsed="false">
      <c r="A1138" s="27" t="s">
        <v>91</v>
      </c>
      <c r="B1138" s="41" t="n">
        <v>46303.3388888889</v>
      </c>
      <c r="C1138" s="27" t="s">
        <v>200</v>
      </c>
      <c r="D1138" s="27" t="n">
        <v>40.4</v>
      </c>
      <c r="E1138" s="27" t="n">
        <v>18.8</v>
      </c>
      <c r="F1138" s="27" t="n">
        <v>43</v>
      </c>
      <c r="G1138" s="27" t="n">
        <v>33.4</v>
      </c>
      <c r="H1138" s="27" t="s">
        <v>198</v>
      </c>
      <c r="I1138" s="42" t="n">
        <f aca="false">(D1138-INDEX('Cohort Summary'!$D$5:$D$14,MATCH($A1138,'Cohort Summary'!$A$5:$A$14,0)))/INDEX('Cohort Summary'!$E$5:$E$14,MATCH($A1138,'Cohort Summary'!$A$5:$A$14,0))</f>
        <v>-0.623287671232877</v>
      </c>
      <c r="J1138" s="42" t="n">
        <f aca="false">(E1138-INDEX('Cohort Summary'!$F$5:$F$14,MATCH($A1138,'Cohort Summary'!$A$5:$A$14,0)))/INDEX('Cohort Summary'!$G$5:$G$14,MATCH($A1138,'Cohort Summary'!$A$5:$A$14,0))</f>
        <v>-1.41747572815534</v>
      </c>
      <c r="K1138" s="42" t="n">
        <f aca="false">(F1138-INDEX('Cohort Summary'!$H$5:$H$14,MATCH($A1138,'Cohort Summary'!$A$5:$A$14,0)))/INDEX('Cohort Summary'!$I$5:$I$14,MATCH($A1138,'Cohort Summary'!$A$5:$A$14,0))</f>
        <v>4.80208333333333</v>
      </c>
      <c r="L1138" s="42" t="n">
        <f aca="false">(G1138-INDEX('Cohort Summary'!$J$5:$J$14,MATCH($A1138,'Cohort Summary'!$A$5:$A$14,0)))/INDEX('Cohort Summary'!$K$5:$K$14,MATCH($A1138,'Cohort Summary'!$A$5:$A$14,0))</f>
        <v>0.944444444444441</v>
      </c>
      <c r="M1138" s="42" t="n">
        <f aca="false">MAX(I1138:K1138)</f>
        <v>4.80208333333333</v>
      </c>
      <c r="N1138" s="27" t="s">
        <v>201</v>
      </c>
      <c r="O1138" s="27" t="s">
        <v>261</v>
      </c>
      <c r="P1138" s="27" t="str">
        <f aca="false">A1138&amp;"|"&amp;N1138</f>
        <v>NURSE-06|caution</v>
      </c>
    </row>
    <row r="1139" customFormat="false" ht="15" hidden="false" customHeight="true" outlineLevel="0" collapsed="false">
      <c r="A1139" s="27" t="s">
        <v>91</v>
      </c>
      <c r="B1139" s="41" t="n">
        <v>46303.3392361111</v>
      </c>
      <c r="C1139" s="27" t="s">
        <v>200</v>
      </c>
      <c r="D1139" s="27" t="n">
        <v>38</v>
      </c>
      <c r="E1139" s="27" t="n">
        <v>19.4</v>
      </c>
      <c r="F1139" s="27" t="n">
        <v>44</v>
      </c>
      <c r="G1139" s="27" t="n">
        <v>32</v>
      </c>
      <c r="H1139" s="27" t="s">
        <v>198</v>
      </c>
      <c r="I1139" s="42" t="n">
        <f aca="false">(D1139-INDEX('Cohort Summary'!$D$5:$D$14,MATCH($A1139,'Cohort Summary'!$A$5:$A$14,0)))/INDEX('Cohort Summary'!$E$5:$E$14,MATCH($A1139,'Cohort Summary'!$A$5:$A$14,0))</f>
        <v>-1.44520547945205</v>
      </c>
      <c r="J1139" s="42" t="n">
        <f aca="false">(E1139-INDEX('Cohort Summary'!$F$5:$F$14,MATCH($A1139,'Cohort Summary'!$A$5:$A$14,0)))/INDEX('Cohort Summary'!$G$5:$G$14,MATCH($A1139,'Cohort Summary'!$A$5:$A$14,0))</f>
        <v>-1.12621359223301</v>
      </c>
      <c r="K1139" s="42" t="n">
        <f aca="false">(F1139-INDEX('Cohort Summary'!$H$5:$H$14,MATCH($A1139,'Cohort Summary'!$A$5:$A$14,0)))/INDEX('Cohort Summary'!$I$5:$I$14,MATCH($A1139,'Cohort Summary'!$A$5:$A$14,0))</f>
        <v>5.14930555555556</v>
      </c>
      <c r="L1139" s="42" t="n">
        <f aca="false">(G1139-INDEX('Cohort Summary'!$J$5:$J$14,MATCH($A1139,'Cohort Summary'!$A$5:$A$14,0)))/INDEX('Cohort Summary'!$K$5:$K$14,MATCH($A1139,'Cohort Summary'!$A$5:$A$14,0))</f>
        <v>-1.64814814814815</v>
      </c>
      <c r="M1139" s="42" t="n">
        <f aca="false">MAX(I1139:K1139)</f>
        <v>5.14930555555556</v>
      </c>
      <c r="N1139" s="27" t="s">
        <v>201</v>
      </c>
      <c r="O1139" s="27" t="s">
        <v>262</v>
      </c>
      <c r="P1139" s="27" t="str">
        <f aca="false">A1139&amp;"|"&amp;N1139</f>
        <v>NURSE-06|caution</v>
      </c>
    </row>
    <row r="1140" customFormat="false" ht="15" hidden="false" customHeight="true" outlineLevel="0" collapsed="false">
      <c r="A1140" s="27" t="s">
        <v>91</v>
      </c>
      <c r="B1140" s="41" t="n">
        <v>46303.3395833333</v>
      </c>
      <c r="C1140" s="27" t="s">
        <v>200</v>
      </c>
      <c r="D1140" s="27" t="n">
        <v>46</v>
      </c>
      <c r="E1140" s="27" t="n">
        <v>23.9</v>
      </c>
      <c r="F1140" s="27" t="n">
        <v>43.7</v>
      </c>
      <c r="G1140" s="27" t="n">
        <v>32.8</v>
      </c>
      <c r="H1140" s="27" t="s">
        <v>198</v>
      </c>
      <c r="I1140" s="42" t="n">
        <f aca="false">(D1140-INDEX('Cohort Summary'!$D$5:$D$14,MATCH($A1140,'Cohort Summary'!$A$5:$A$14,0)))/INDEX('Cohort Summary'!$E$5:$E$14,MATCH($A1140,'Cohort Summary'!$A$5:$A$14,0))</f>
        <v>1.29452054794521</v>
      </c>
      <c r="J1140" s="42" t="n">
        <f aca="false">(E1140-INDEX('Cohort Summary'!$F$5:$F$14,MATCH($A1140,'Cohort Summary'!$A$5:$A$14,0)))/INDEX('Cohort Summary'!$G$5:$G$14,MATCH($A1140,'Cohort Summary'!$A$5:$A$14,0))</f>
        <v>1.05825242718447</v>
      </c>
      <c r="K1140" s="42" t="n">
        <f aca="false">(F1140-INDEX('Cohort Summary'!$H$5:$H$14,MATCH($A1140,'Cohort Summary'!$A$5:$A$14,0)))/INDEX('Cohort Summary'!$I$5:$I$14,MATCH($A1140,'Cohort Summary'!$A$5:$A$14,0))</f>
        <v>5.04513888888889</v>
      </c>
      <c r="L1140" s="42" t="n">
        <f aca="false">(G1140-INDEX('Cohort Summary'!$J$5:$J$14,MATCH($A1140,'Cohort Summary'!$A$5:$A$14,0)))/INDEX('Cohort Summary'!$K$5:$K$14,MATCH($A1140,'Cohort Summary'!$A$5:$A$14,0))</f>
        <v>-0.166666666666673</v>
      </c>
      <c r="M1140" s="42" t="n">
        <f aca="false">MAX(I1140:K1140)</f>
        <v>5.04513888888889</v>
      </c>
      <c r="N1140" s="27" t="s">
        <v>212</v>
      </c>
      <c r="O1140" s="27" t="s">
        <v>263</v>
      </c>
      <c r="P1140" s="27" t="str">
        <f aca="false">A1140&amp;"|"&amp;N1140</f>
        <v>NURSE-06|alert</v>
      </c>
    </row>
    <row r="1141" customFormat="false" ht="15" hidden="false" customHeight="true" outlineLevel="0" collapsed="false">
      <c r="A1141" s="27" t="s">
        <v>91</v>
      </c>
      <c r="B1141" s="41" t="n">
        <v>46303.3399305556</v>
      </c>
      <c r="C1141" s="27" t="s">
        <v>200</v>
      </c>
      <c r="D1141" s="27" t="n">
        <v>38.6</v>
      </c>
      <c r="E1141" s="27" t="n">
        <v>19.1</v>
      </c>
      <c r="F1141" s="27" t="n">
        <v>41.4</v>
      </c>
      <c r="G1141" s="27" t="n">
        <v>33.3</v>
      </c>
      <c r="H1141" s="27" t="s">
        <v>198</v>
      </c>
      <c r="I1141" s="42" t="n">
        <f aca="false">(D1141-INDEX('Cohort Summary'!$D$5:$D$14,MATCH($A1141,'Cohort Summary'!$A$5:$A$14,0)))/INDEX('Cohort Summary'!$E$5:$E$14,MATCH($A1141,'Cohort Summary'!$A$5:$A$14,0))</f>
        <v>-1.23972602739726</v>
      </c>
      <c r="J1141" s="42" t="n">
        <f aca="false">(E1141-INDEX('Cohort Summary'!$F$5:$F$14,MATCH($A1141,'Cohort Summary'!$A$5:$A$14,0)))/INDEX('Cohort Summary'!$G$5:$G$14,MATCH($A1141,'Cohort Summary'!$A$5:$A$14,0))</f>
        <v>-1.27184466019417</v>
      </c>
      <c r="K1141" s="42" t="n">
        <f aca="false">(F1141-INDEX('Cohort Summary'!$H$5:$H$14,MATCH($A1141,'Cohort Summary'!$A$5:$A$14,0)))/INDEX('Cohort Summary'!$I$5:$I$14,MATCH($A1141,'Cohort Summary'!$A$5:$A$14,0))</f>
        <v>4.24652777777778</v>
      </c>
      <c r="L1141" s="42" t="n">
        <f aca="false">(G1141-INDEX('Cohort Summary'!$J$5:$J$14,MATCH($A1141,'Cohort Summary'!$A$5:$A$14,0)))/INDEX('Cohort Summary'!$K$5:$K$14,MATCH($A1141,'Cohort Summary'!$A$5:$A$14,0))</f>
        <v>0.759259259259253</v>
      </c>
      <c r="M1141" s="42" t="n">
        <f aca="false">MAX(I1141:K1141)</f>
        <v>4.24652777777778</v>
      </c>
      <c r="N1141" s="27" t="s">
        <v>212</v>
      </c>
      <c r="O1141" s="27" t="s">
        <v>264</v>
      </c>
      <c r="P1141" s="27" t="str">
        <f aca="false">A1141&amp;"|"&amp;N1141</f>
        <v>NURSE-06|alert</v>
      </c>
    </row>
    <row r="1142" customFormat="false" ht="15" hidden="false" customHeight="true" outlineLevel="0" collapsed="false">
      <c r="A1142" s="27" t="s">
        <v>91</v>
      </c>
      <c r="B1142" s="41" t="n">
        <v>46303.3402777778</v>
      </c>
      <c r="C1142" s="27" t="s">
        <v>200</v>
      </c>
      <c r="D1142" s="27" t="n">
        <v>39.8</v>
      </c>
      <c r="E1142" s="27" t="n">
        <v>24.5</v>
      </c>
      <c r="F1142" s="27" t="n">
        <v>43.5</v>
      </c>
      <c r="G1142" s="27" t="n">
        <v>32.6</v>
      </c>
      <c r="H1142" s="27" t="s">
        <v>198</v>
      </c>
      <c r="I1142" s="42" t="n">
        <f aca="false">(D1142-INDEX('Cohort Summary'!$D$5:$D$14,MATCH($A1142,'Cohort Summary'!$A$5:$A$14,0)))/INDEX('Cohort Summary'!$E$5:$E$14,MATCH($A1142,'Cohort Summary'!$A$5:$A$14,0))</f>
        <v>-0.828767123287672</v>
      </c>
      <c r="J1142" s="42" t="n">
        <f aca="false">(E1142-INDEX('Cohort Summary'!$F$5:$F$14,MATCH($A1142,'Cohort Summary'!$A$5:$A$14,0)))/INDEX('Cohort Summary'!$G$5:$G$14,MATCH($A1142,'Cohort Summary'!$A$5:$A$14,0))</f>
        <v>1.3495145631068</v>
      </c>
      <c r="K1142" s="42" t="n">
        <f aca="false">(F1142-INDEX('Cohort Summary'!$H$5:$H$14,MATCH($A1142,'Cohort Summary'!$A$5:$A$14,0)))/INDEX('Cohort Summary'!$I$5:$I$14,MATCH($A1142,'Cohort Summary'!$A$5:$A$14,0))</f>
        <v>4.97569444444444</v>
      </c>
      <c r="L1142" s="42" t="n">
        <f aca="false">(G1142-INDEX('Cohort Summary'!$J$5:$J$14,MATCH($A1142,'Cohort Summary'!$A$5:$A$14,0)))/INDEX('Cohort Summary'!$K$5:$K$14,MATCH($A1142,'Cohort Summary'!$A$5:$A$14,0))</f>
        <v>-0.537037037037035</v>
      </c>
      <c r="M1142" s="42" t="n">
        <f aca="false">MAX(I1142:K1142)</f>
        <v>4.97569444444444</v>
      </c>
      <c r="N1142" s="27" t="s">
        <v>212</v>
      </c>
      <c r="O1142" s="27" t="s">
        <v>265</v>
      </c>
      <c r="P1142" s="27" t="str">
        <f aca="false">A1142&amp;"|"&amp;N1142</f>
        <v>NURSE-06|alert</v>
      </c>
    </row>
    <row r="1143" customFormat="false" ht="15" hidden="false" customHeight="true" outlineLevel="0" collapsed="false">
      <c r="A1143" s="27" t="s">
        <v>91</v>
      </c>
      <c r="B1143" s="41" t="n">
        <v>46303.340625</v>
      </c>
      <c r="C1143" s="27" t="s">
        <v>200</v>
      </c>
      <c r="D1143" s="27" t="n">
        <v>45.9</v>
      </c>
      <c r="E1143" s="27" t="n">
        <v>21</v>
      </c>
      <c r="F1143" s="27" t="n">
        <v>36.9</v>
      </c>
      <c r="G1143" s="27" t="n">
        <v>33.4</v>
      </c>
      <c r="H1143" s="27" t="s">
        <v>198</v>
      </c>
      <c r="I1143" s="42" t="n">
        <f aca="false">(D1143-INDEX('Cohort Summary'!$D$5:$D$14,MATCH($A1143,'Cohort Summary'!$A$5:$A$14,0)))/INDEX('Cohort Summary'!$E$5:$E$14,MATCH($A1143,'Cohort Summary'!$A$5:$A$14,0))</f>
        <v>1.26027397260274</v>
      </c>
      <c r="J1143" s="42" t="n">
        <f aca="false">(E1143-INDEX('Cohort Summary'!$F$5:$F$14,MATCH($A1143,'Cohort Summary'!$A$5:$A$14,0)))/INDEX('Cohort Summary'!$G$5:$G$14,MATCH($A1143,'Cohort Summary'!$A$5:$A$14,0))</f>
        <v>-0.349514563106796</v>
      </c>
      <c r="K1143" s="42" t="n">
        <f aca="false">(F1143-INDEX('Cohort Summary'!$H$5:$H$14,MATCH($A1143,'Cohort Summary'!$A$5:$A$14,0)))/INDEX('Cohort Summary'!$I$5:$I$14,MATCH($A1143,'Cohort Summary'!$A$5:$A$14,0))</f>
        <v>2.68402777777778</v>
      </c>
      <c r="L1143" s="42" t="n">
        <f aca="false">(G1143-INDEX('Cohort Summary'!$J$5:$J$14,MATCH($A1143,'Cohort Summary'!$A$5:$A$14,0)))/INDEX('Cohort Summary'!$K$5:$K$14,MATCH($A1143,'Cohort Summary'!$A$5:$A$14,0))</f>
        <v>0.944444444444441</v>
      </c>
      <c r="M1143" s="42" t="n">
        <f aca="false">MAX(I1143:K1143)</f>
        <v>2.68402777777778</v>
      </c>
      <c r="N1143" s="27" t="s">
        <v>201</v>
      </c>
      <c r="O1143" s="27" t="s">
        <v>266</v>
      </c>
      <c r="P1143" s="27" t="str">
        <f aca="false">A1143&amp;"|"&amp;N1143</f>
        <v>NURSE-06|caution</v>
      </c>
    </row>
    <row r="1144" customFormat="false" ht="15" hidden="false" customHeight="true" outlineLevel="0" collapsed="false">
      <c r="A1144" s="27" t="s">
        <v>91</v>
      </c>
      <c r="B1144" s="41" t="n">
        <v>46303.3409722222</v>
      </c>
      <c r="C1144" s="27" t="s">
        <v>200</v>
      </c>
      <c r="D1144" s="27" t="n">
        <v>42.1</v>
      </c>
      <c r="E1144" s="27" t="n">
        <v>18.8</v>
      </c>
      <c r="F1144" s="27" t="n">
        <v>37.7</v>
      </c>
      <c r="G1144" s="27" t="n">
        <v>32.9</v>
      </c>
      <c r="H1144" s="27" t="s">
        <v>198</v>
      </c>
      <c r="I1144" s="42" t="n">
        <f aca="false">(D1144-INDEX('Cohort Summary'!$D$5:$D$14,MATCH($A1144,'Cohort Summary'!$A$5:$A$14,0)))/INDEX('Cohort Summary'!$E$5:$E$14,MATCH($A1144,'Cohort Summary'!$A$5:$A$14,0))</f>
        <v>-0.041095890410958</v>
      </c>
      <c r="J1144" s="42" t="n">
        <f aca="false">(E1144-INDEX('Cohort Summary'!$F$5:$F$14,MATCH($A1144,'Cohort Summary'!$A$5:$A$14,0)))/INDEX('Cohort Summary'!$G$5:$G$14,MATCH($A1144,'Cohort Summary'!$A$5:$A$14,0))</f>
        <v>-1.41747572815534</v>
      </c>
      <c r="K1144" s="42" t="n">
        <f aca="false">(F1144-INDEX('Cohort Summary'!$H$5:$H$14,MATCH($A1144,'Cohort Summary'!$A$5:$A$14,0)))/INDEX('Cohort Summary'!$I$5:$I$14,MATCH($A1144,'Cohort Summary'!$A$5:$A$14,0))</f>
        <v>2.96180555555556</v>
      </c>
      <c r="L1144" s="42" t="n">
        <f aca="false">(G1144-INDEX('Cohort Summary'!$J$5:$J$14,MATCH($A1144,'Cohort Summary'!$A$5:$A$14,0)))/INDEX('Cohort Summary'!$K$5:$K$14,MATCH($A1144,'Cohort Summary'!$A$5:$A$14,0))</f>
        <v>0.0185185185185148</v>
      </c>
      <c r="M1144" s="42" t="n">
        <f aca="false">MAX(I1144:K1144)</f>
        <v>2.96180555555556</v>
      </c>
      <c r="N1144" s="27" t="s">
        <v>201</v>
      </c>
      <c r="O1144" s="27" t="s">
        <v>267</v>
      </c>
      <c r="P1144" s="27" t="str">
        <f aca="false">A1144&amp;"|"&amp;N1144</f>
        <v>NURSE-06|caution</v>
      </c>
    </row>
    <row r="1145" customFormat="false" ht="15" hidden="false" customHeight="true" outlineLevel="0" collapsed="false">
      <c r="A1145" s="27" t="s">
        <v>91</v>
      </c>
      <c r="B1145" s="41" t="n">
        <v>46303.3413194444</v>
      </c>
      <c r="C1145" s="27" t="s">
        <v>200</v>
      </c>
      <c r="D1145" s="27" t="n">
        <v>46.9</v>
      </c>
      <c r="E1145" s="27" t="n">
        <v>24.9</v>
      </c>
      <c r="F1145" s="27" t="n">
        <v>27.9</v>
      </c>
      <c r="G1145" s="27" t="n">
        <v>32.3</v>
      </c>
      <c r="H1145" s="27" t="s">
        <v>198</v>
      </c>
      <c r="I1145" s="42" t="n">
        <f aca="false">(D1145-INDEX('Cohort Summary'!$D$5:$D$14,MATCH($A1145,'Cohort Summary'!$A$5:$A$14,0)))/INDEX('Cohort Summary'!$E$5:$E$14,MATCH($A1145,'Cohort Summary'!$A$5:$A$14,0))</f>
        <v>1.6027397260274</v>
      </c>
      <c r="J1145" s="42" t="n">
        <f aca="false">(E1145-INDEX('Cohort Summary'!$F$5:$F$14,MATCH($A1145,'Cohort Summary'!$A$5:$A$14,0)))/INDEX('Cohort Summary'!$G$5:$G$14,MATCH($A1145,'Cohort Summary'!$A$5:$A$14,0))</f>
        <v>1.54368932038835</v>
      </c>
      <c r="K1145" s="42" t="n">
        <f aca="false">(F1145-INDEX('Cohort Summary'!$H$5:$H$14,MATCH($A1145,'Cohort Summary'!$A$5:$A$14,0)))/INDEX('Cohort Summary'!$I$5:$I$14,MATCH($A1145,'Cohort Summary'!$A$5:$A$14,0))</f>
        <v>-0.440972222222223</v>
      </c>
      <c r="L1145" s="42" t="n">
        <f aca="false">(G1145-INDEX('Cohort Summary'!$J$5:$J$14,MATCH($A1145,'Cohort Summary'!$A$5:$A$14,0)))/INDEX('Cohort Summary'!$K$5:$K$14,MATCH($A1145,'Cohort Summary'!$A$5:$A$14,0))</f>
        <v>-1.0925925925926</v>
      </c>
      <c r="M1145" s="42" t="n">
        <f aca="false">MAX(I1145:K1145)</f>
        <v>1.6027397260274</v>
      </c>
      <c r="N1145" s="27" t="s">
        <v>197</v>
      </c>
      <c r="O1145" s="27"/>
      <c r="P1145" s="27" t="str">
        <f aca="false">A1145&amp;"|"&amp;N1145</f>
        <v>NURSE-06|normal</v>
      </c>
    </row>
    <row r="1146" customFormat="false" ht="15" hidden="false" customHeight="true" outlineLevel="0" collapsed="false">
      <c r="A1146" s="27" t="s">
        <v>91</v>
      </c>
      <c r="B1146" s="41" t="n">
        <v>46303.3416666667</v>
      </c>
      <c r="C1146" s="27" t="s">
        <v>200</v>
      </c>
      <c r="D1146" s="27" t="n">
        <v>44.4</v>
      </c>
      <c r="E1146" s="27" t="n">
        <v>18.8</v>
      </c>
      <c r="F1146" s="27" t="n">
        <v>27.2</v>
      </c>
      <c r="G1146" s="27" t="n">
        <v>32.2</v>
      </c>
      <c r="H1146" s="27" t="s">
        <v>198</v>
      </c>
      <c r="I1146" s="42" t="n">
        <f aca="false">(D1146-INDEX('Cohort Summary'!$D$5:$D$14,MATCH($A1146,'Cohort Summary'!$A$5:$A$14,0)))/INDEX('Cohort Summary'!$E$5:$E$14,MATCH($A1146,'Cohort Summary'!$A$5:$A$14,0))</f>
        <v>0.746575342465753</v>
      </c>
      <c r="J1146" s="42" t="n">
        <f aca="false">(E1146-INDEX('Cohort Summary'!$F$5:$F$14,MATCH($A1146,'Cohort Summary'!$A$5:$A$14,0)))/INDEX('Cohort Summary'!$G$5:$G$14,MATCH($A1146,'Cohort Summary'!$A$5:$A$14,0))</f>
        <v>-1.41747572815534</v>
      </c>
      <c r="K1146" s="42" t="n">
        <f aca="false">(F1146-INDEX('Cohort Summary'!$H$5:$H$14,MATCH($A1146,'Cohort Summary'!$A$5:$A$14,0)))/INDEX('Cohort Summary'!$I$5:$I$14,MATCH($A1146,'Cohort Summary'!$A$5:$A$14,0))</f>
        <v>-0.684027777777779</v>
      </c>
      <c r="L1146" s="42" t="n">
        <f aca="false">(G1146-INDEX('Cohort Summary'!$J$5:$J$14,MATCH($A1146,'Cohort Summary'!$A$5:$A$14,0)))/INDEX('Cohort Summary'!$K$5:$K$14,MATCH($A1146,'Cohort Summary'!$A$5:$A$14,0))</f>
        <v>-1.27777777777777</v>
      </c>
      <c r="M1146" s="42" t="n">
        <f aca="false">MAX(I1146:K1146)</f>
        <v>0.746575342465753</v>
      </c>
      <c r="N1146" s="27" t="s">
        <v>197</v>
      </c>
      <c r="O1146" s="27"/>
      <c r="P1146" s="27" t="str">
        <f aca="false">A1146&amp;"|"&amp;N1146</f>
        <v>NURSE-06|normal</v>
      </c>
    </row>
    <row r="1147" customFormat="false" ht="15" hidden="false" customHeight="true" outlineLevel="0" collapsed="false">
      <c r="A1147" s="27" t="s">
        <v>91</v>
      </c>
      <c r="B1147" s="41" t="n">
        <v>46303.3420138889</v>
      </c>
      <c r="C1147" s="27" t="s">
        <v>200</v>
      </c>
      <c r="D1147" s="27" t="n">
        <v>43.2</v>
      </c>
      <c r="E1147" s="27" t="n">
        <v>19.3</v>
      </c>
      <c r="F1147" s="27" t="n">
        <v>24.2</v>
      </c>
      <c r="G1147" s="27" t="n">
        <v>33.2</v>
      </c>
      <c r="H1147" s="27" t="s">
        <v>196</v>
      </c>
      <c r="I1147" s="42" t="n">
        <f aca="false">(D1147-INDEX('Cohort Summary'!$D$5:$D$14,MATCH($A1147,'Cohort Summary'!$A$5:$A$14,0)))/INDEX('Cohort Summary'!$E$5:$E$14,MATCH($A1147,'Cohort Summary'!$A$5:$A$14,0))</f>
        <v>0.335616438356166</v>
      </c>
      <c r="J1147" s="42" t="n">
        <f aca="false">(E1147-INDEX('Cohort Summary'!$F$5:$F$14,MATCH($A1147,'Cohort Summary'!$A$5:$A$14,0)))/INDEX('Cohort Summary'!$G$5:$G$14,MATCH($A1147,'Cohort Summary'!$A$5:$A$14,0))</f>
        <v>-1.1747572815534</v>
      </c>
      <c r="K1147" s="42" t="n">
        <f aca="false">(F1147-INDEX('Cohort Summary'!$H$5:$H$14,MATCH($A1147,'Cohort Summary'!$A$5:$A$14,0)))/INDEX('Cohort Summary'!$I$5:$I$14,MATCH($A1147,'Cohort Summary'!$A$5:$A$14,0))</f>
        <v>-1.72569444444445</v>
      </c>
      <c r="L1147" s="42" t="n">
        <f aca="false">(G1147-INDEX('Cohort Summary'!$J$5:$J$14,MATCH($A1147,'Cohort Summary'!$A$5:$A$14,0)))/INDEX('Cohort Summary'!$K$5:$K$14,MATCH($A1147,'Cohort Summary'!$A$5:$A$14,0))</f>
        <v>0.574074074074078</v>
      </c>
      <c r="M1147" s="42" t="n">
        <f aca="false">MAX(I1147:K1147)</f>
        <v>0.335616438356166</v>
      </c>
      <c r="N1147" s="27" t="s">
        <v>197</v>
      </c>
      <c r="O1147" s="27"/>
      <c r="P1147" s="27" t="str">
        <f aca="false">A1147&amp;"|"&amp;N1147</f>
        <v>NURSE-06|normal</v>
      </c>
    </row>
    <row r="1148" customFormat="false" ht="15" hidden="false" customHeight="true" outlineLevel="0" collapsed="false">
      <c r="A1148" s="27" t="s">
        <v>91</v>
      </c>
      <c r="B1148" s="41" t="n">
        <v>46303.3423611111</v>
      </c>
      <c r="C1148" s="27" t="s">
        <v>200</v>
      </c>
      <c r="D1148" s="27" t="n">
        <v>39.3</v>
      </c>
      <c r="E1148" s="27" t="n">
        <v>18.7</v>
      </c>
      <c r="F1148" s="27" t="n">
        <v>31.1</v>
      </c>
      <c r="G1148" s="27" t="n">
        <v>33.6</v>
      </c>
      <c r="H1148" s="27" t="s">
        <v>198</v>
      </c>
      <c r="I1148" s="42" t="n">
        <f aca="false">(D1148-INDEX('Cohort Summary'!$D$5:$D$14,MATCH($A1148,'Cohort Summary'!$A$5:$A$14,0)))/INDEX('Cohort Summary'!$E$5:$E$14,MATCH($A1148,'Cohort Summary'!$A$5:$A$14,0))</f>
        <v>-1</v>
      </c>
      <c r="J1148" s="42" t="n">
        <f aca="false">(E1148-INDEX('Cohort Summary'!$F$5:$F$14,MATCH($A1148,'Cohort Summary'!$A$5:$A$14,0)))/INDEX('Cohort Summary'!$G$5:$G$14,MATCH($A1148,'Cohort Summary'!$A$5:$A$14,0))</f>
        <v>-1.46601941747573</v>
      </c>
      <c r="K1148" s="42" t="n">
        <f aca="false">(F1148-INDEX('Cohort Summary'!$H$5:$H$14,MATCH($A1148,'Cohort Summary'!$A$5:$A$14,0)))/INDEX('Cohort Summary'!$I$5:$I$14,MATCH($A1148,'Cohort Summary'!$A$5:$A$14,0))</f>
        <v>0.670138888888889</v>
      </c>
      <c r="L1148" s="42" t="n">
        <f aca="false">(G1148-INDEX('Cohort Summary'!$J$5:$J$14,MATCH($A1148,'Cohort Summary'!$A$5:$A$14,0)))/INDEX('Cohort Summary'!$K$5:$K$14,MATCH($A1148,'Cohort Summary'!$A$5:$A$14,0))</f>
        <v>1.31481481481482</v>
      </c>
      <c r="M1148" s="42" t="n">
        <f aca="false">MAX(I1148:K1148)</f>
        <v>0.670138888888889</v>
      </c>
      <c r="N1148" s="27" t="s">
        <v>197</v>
      </c>
      <c r="O1148" s="27"/>
      <c r="P1148" s="27" t="str">
        <f aca="false">A1148&amp;"|"&amp;N1148</f>
        <v>NURSE-06|normal</v>
      </c>
    </row>
    <row r="1149" customFormat="false" ht="15" hidden="false" customHeight="true" outlineLevel="0" collapsed="false">
      <c r="A1149" s="27" t="s">
        <v>91</v>
      </c>
      <c r="B1149" s="41" t="n">
        <v>46303.3427083333</v>
      </c>
      <c r="C1149" s="27" t="s">
        <v>200</v>
      </c>
      <c r="D1149" s="27" t="n">
        <v>39.3</v>
      </c>
      <c r="E1149" s="27" t="n">
        <v>22.1</v>
      </c>
      <c r="F1149" s="27" t="n">
        <v>29.7</v>
      </c>
      <c r="G1149" s="27" t="n">
        <v>32.5</v>
      </c>
      <c r="H1149" s="27" t="s">
        <v>198</v>
      </c>
      <c r="I1149" s="42" t="n">
        <f aca="false">(D1149-INDEX('Cohort Summary'!$D$5:$D$14,MATCH($A1149,'Cohort Summary'!$A$5:$A$14,0)))/INDEX('Cohort Summary'!$E$5:$E$14,MATCH($A1149,'Cohort Summary'!$A$5:$A$14,0))</f>
        <v>-1</v>
      </c>
      <c r="J1149" s="42" t="n">
        <f aca="false">(E1149-INDEX('Cohort Summary'!$F$5:$F$14,MATCH($A1149,'Cohort Summary'!$A$5:$A$14,0)))/INDEX('Cohort Summary'!$G$5:$G$14,MATCH($A1149,'Cohort Summary'!$A$5:$A$14,0))</f>
        <v>0.184466019417477</v>
      </c>
      <c r="K1149" s="42" t="n">
        <f aca="false">(F1149-INDEX('Cohort Summary'!$H$5:$H$14,MATCH($A1149,'Cohort Summary'!$A$5:$A$14,0)))/INDEX('Cohort Summary'!$I$5:$I$14,MATCH($A1149,'Cohort Summary'!$A$5:$A$14,0))</f>
        <v>0.184027777777777</v>
      </c>
      <c r="L1149" s="42" t="n">
        <f aca="false">(G1149-INDEX('Cohort Summary'!$J$5:$J$14,MATCH($A1149,'Cohort Summary'!$A$5:$A$14,0)))/INDEX('Cohort Summary'!$K$5:$K$14,MATCH($A1149,'Cohort Summary'!$A$5:$A$14,0))</f>
        <v>-0.722222222222223</v>
      </c>
      <c r="M1149" s="42" t="n">
        <f aca="false">MAX(I1149:K1149)</f>
        <v>0.184466019417477</v>
      </c>
      <c r="N1149" s="27" t="s">
        <v>197</v>
      </c>
      <c r="O1149" s="27"/>
      <c r="P1149" s="27" t="str">
        <f aca="false">A1149&amp;"|"&amp;N1149</f>
        <v>NURSE-06|normal</v>
      </c>
    </row>
    <row r="1150" customFormat="false" ht="15" hidden="false" customHeight="true" outlineLevel="0" collapsed="false">
      <c r="A1150" s="27" t="s">
        <v>91</v>
      </c>
      <c r="B1150" s="41" t="n">
        <v>46303.3430555556</v>
      </c>
      <c r="C1150" s="27" t="s">
        <v>200</v>
      </c>
      <c r="D1150" s="27" t="n">
        <v>42.7</v>
      </c>
      <c r="E1150" s="27" t="n">
        <v>21.6</v>
      </c>
      <c r="F1150" s="27" t="n">
        <v>32.5</v>
      </c>
      <c r="G1150" s="27" t="n">
        <v>32.1</v>
      </c>
      <c r="H1150" s="27" t="s">
        <v>199</v>
      </c>
      <c r="I1150" s="42" t="n">
        <f aca="false">(D1150-INDEX('Cohort Summary'!$D$5:$D$14,MATCH($A1150,'Cohort Summary'!$A$5:$A$14,0)))/INDEX('Cohort Summary'!$E$5:$E$14,MATCH($A1150,'Cohort Summary'!$A$5:$A$14,0))</f>
        <v>0.164383561643837</v>
      </c>
      <c r="J1150" s="42" t="n">
        <f aca="false">(E1150-INDEX('Cohort Summary'!$F$5:$F$14,MATCH($A1150,'Cohort Summary'!$A$5:$A$14,0)))/INDEX('Cohort Summary'!$G$5:$G$14,MATCH($A1150,'Cohort Summary'!$A$5:$A$14,0))</f>
        <v>-0.0582524271844648</v>
      </c>
      <c r="K1150" s="42" t="n">
        <f aca="false">(F1150-INDEX('Cohort Summary'!$H$5:$H$14,MATCH($A1150,'Cohort Summary'!$A$5:$A$14,0)))/INDEX('Cohort Summary'!$I$5:$I$14,MATCH($A1150,'Cohort Summary'!$A$5:$A$14,0))</f>
        <v>1.15625</v>
      </c>
      <c r="L1150" s="42" t="n">
        <f aca="false">(G1150-INDEX('Cohort Summary'!$J$5:$J$14,MATCH($A1150,'Cohort Summary'!$A$5:$A$14,0)))/INDEX('Cohort Summary'!$K$5:$K$14,MATCH($A1150,'Cohort Summary'!$A$5:$A$14,0))</f>
        <v>-1.46296296296296</v>
      </c>
      <c r="M1150" s="42" t="n">
        <f aca="false">MAX(I1150:K1150)</f>
        <v>1.15625</v>
      </c>
      <c r="N1150" s="27" t="s">
        <v>197</v>
      </c>
      <c r="O1150" s="27"/>
      <c r="P1150" s="27" t="str">
        <f aca="false">A1150&amp;"|"&amp;N1150</f>
        <v>NURSE-06|normal</v>
      </c>
    </row>
    <row r="1151" customFormat="false" ht="15" hidden="false" customHeight="true" outlineLevel="0" collapsed="false">
      <c r="A1151" s="27" t="s">
        <v>91</v>
      </c>
      <c r="B1151" s="41" t="n">
        <v>46303.3434027778</v>
      </c>
      <c r="C1151" s="27" t="s">
        <v>200</v>
      </c>
      <c r="D1151" s="27" t="n">
        <v>38.2</v>
      </c>
      <c r="E1151" s="27" t="n">
        <v>19.5</v>
      </c>
      <c r="F1151" s="27" t="n">
        <v>27.1</v>
      </c>
      <c r="G1151" s="27" t="n">
        <v>32.7</v>
      </c>
      <c r="H1151" s="27" t="s">
        <v>199</v>
      </c>
      <c r="I1151" s="42" t="n">
        <f aca="false">(D1151-INDEX('Cohort Summary'!$D$5:$D$14,MATCH($A1151,'Cohort Summary'!$A$5:$A$14,0)))/INDEX('Cohort Summary'!$E$5:$E$14,MATCH($A1151,'Cohort Summary'!$A$5:$A$14,0))</f>
        <v>-1.37671232876712</v>
      </c>
      <c r="J1151" s="42" t="n">
        <f aca="false">(E1151-INDEX('Cohort Summary'!$F$5:$F$14,MATCH($A1151,'Cohort Summary'!$A$5:$A$14,0)))/INDEX('Cohort Summary'!$G$5:$G$14,MATCH($A1151,'Cohort Summary'!$A$5:$A$14,0))</f>
        <v>-1.07766990291262</v>
      </c>
      <c r="K1151" s="42" t="n">
        <f aca="false">(F1151-INDEX('Cohort Summary'!$H$5:$H$14,MATCH($A1151,'Cohort Summary'!$A$5:$A$14,0)))/INDEX('Cohort Summary'!$I$5:$I$14,MATCH($A1151,'Cohort Summary'!$A$5:$A$14,0))</f>
        <v>-0.71875</v>
      </c>
      <c r="L1151" s="42" t="n">
        <f aca="false">(G1151-INDEX('Cohort Summary'!$J$5:$J$14,MATCH($A1151,'Cohort Summary'!$A$5:$A$14,0)))/INDEX('Cohort Summary'!$K$5:$K$14,MATCH($A1151,'Cohort Summary'!$A$5:$A$14,0))</f>
        <v>-0.351851851851848</v>
      </c>
      <c r="M1151" s="42" t="n">
        <f aca="false">MAX(I1151:K1151)</f>
        <v>-0.71875</v>
      </c>
      <c r="N1151" s="27" t="s">
        <v>197</v>
      </c>
      <c r="O1151" s="27"/>
      <c r="P1151" s="27" t="str">
        <f aca="false">A1151&amp;"|"&amp;N1151</f>
        <v>NURSE-06|normal</v>
      </c>
    </row>
    <row r="1152" customFormat="false" ht="15" hidden="false" customHeight="true" outlineLevel="0" collapsed="false">
      <c r="A1152" s="27" t="s">
        <v>91</v>
      </c>
      <c r="B1152" s="41" t="n">
        <v>46303.34375</v>
      </c>
      <c r="C1152" s="27" t="s">
        <v>200</v>
      </c>
      <c r="D1152" s="27" t="n">
        <v>37.2</v>
      </c>
      <c r="E1152" s="27" t="n">
        <v>19.6</v>
      </c>
      <c r="F1152" s="27" t="n">
        <v>27.3</v>
      </c>
      <c r="G1152" s="27" t="n">
        <v>32.7</v>
      </c>
      <c r="H1152" s="27" t="s">
        <v>196</v>
      </c>
      <c r="I1152" s="42" t="n">
        <f aca="false">(D1152-INDEX('Cohort Summary'!$D$5:$D$14,MATCH($A1152,'Cohort Summary'!$A$5:$A$14,0)))/INDEX('Cohort Summary'!$E$5:$E$14,MATCH($A1152,'Cohort Summary'!$A$5:$A$14,0))</f>
        <v>-1.71917808219178</v>
      </c>
      <c r="J1152" s="42" t="n">
        <f aca="false">(E1152-INDEX('Cohort Summary'!$F$5:$F$14,MATCH($A1152,'Cohort Summary'!$A$5:$A$14,0)))/INDEX('Cohort Summary'!$G$5:$G$14,MATCH($A1152,'Cohort Summary'!$A$5:$A$14,0))</f>
        <v>-1.02912621359223</v>
      </c>
      <c r="K1152" s="42" t="n">
        <f aca="false">(F1152-INDEX('Cohort Summary'!$H$5:$H$14,MATCH($A1152,'Cohort Summary'!$A$5:$A$14,0)))/INDEX('Cohort Summary'!$I$5:$I$14,MATCH($A1152,'Cohort Summary'!$A$5:$A$14,0))</f>
        <v>-0.649305555555556</v>
      </c>
      <c r="L1152" s="42" t="n">
        <f aca="false">(G1152-INDEX('Cohort Summary'!$J$5:$J$14,MATCH($A1152,'Cohort Summary'!$A$5:$A$14,0)))/INDEX('Cohort Summary'!$K$5:$K$14,MATCH($A1152,'Cohort Summary'!$A$5:$A$14,0))</f>
        <v>-0.351851851851848</v>
      </c>
      <c r="M1152" s="42" t="n">
        <f aca="false">MAX(I1152:K1152)</f>
        <v>-0.649305555555556</v>
      </c>
      <c r="N1152" s="27" t="s">
        <v>197</v>
      </c>
      <c r="O1152" s="27"/>
      <c r="P1152" s="27" t="str">
        <f aca="false">A1152&amp;"|"&amp;N1152</f>
        <v>NURSE-06|normal</v>
      </c>
    </row>
    <row r="1153" customFormat="false" ht="15" hidden="false" customHeight="true" outlineLevel="0" collapsed="false">
      <c r="A1153" s="27" t="s">
        <v>91</v>
      </c>
      <c r="B1153" s="41" t="n">
        <v>46303.3440972222</v>
      </c>
      <c r="C1153" s="27" t="s">
        <v>200</v>
      </c>
      <c r="D1153" s="27" t="n">
        <v>45.6</v>
      </c>
      <c r="E1153" s="27" t="n">
        <v>19.7</v>
      </c>
      <c r="F1153" s="27" t="n">
        <v>29.9</v>
      </c>
      <c r="G1153" s="27" t="n">
        <v>32.7</v>
      </c>
      <c r="H1153" s="27" t="s">
        <v>198</v>
      </c>
      <c r="I1153" s="42" t="n">
        <f aca="false">(D1153-INDEX('Cohort Summary'!$D$5:$D$14,MATCH($A1153,'Cohort Summary'!$A$5:$A$14,0)))/INDEX('Cohort Summary'!$E$5:$E$14,MATCH($A1153,'Cohort Summary'!$A$5:$A$14,0))</f>
        <v>1.15753424657534</v>
      </c>
      <c r="J1153" s="42" t="n">
        <f aca="false">(E1153-INDEX('Cohort Summary'!$F$5:$F$14,MATCH($A1153,'Cohort Summary'!$A$5:$A$14,0)))/INDEX('Cohort Summary'!$G$5:$G$14,MATCH($A1153,'Cohort Summary'!$A$5:$A$14,0))</f>
        <v>-0.980582524271844</v>
      </c>
      <c r="K1153" s="42" t="n">
        <f aca="false">(F1153-INDEX('Cohort Summary'!$H$5:$H$14,MATCH($A1153,'Cohort Summary'!$A$5:$A$14,0)))/INDEX('Cohort Summary'!$I$5:$I$14,MATCH($A1153,'Cohort Summary'!$A$5:$A$14,0))</f>
        <v>0.253472222222221</v>
      </c>
      <c r="L1153" s="42" t="n">
        <f aca="false">(G1153-INDEX('Cohort Summary'!$J$5:$J$14,MATCH($A1153,'Cohort Summary'!$A$5:$A$14,0)))/INDEX('Cohort Summary'!$K$5:$K$14,MATCH($A1153,'Cohort Summary'!$A$5:$A$14,0))</f>
        <v>-0.351851851851848</v>
      </c>
      <c r="M1153" s="42" t="n">
        <f aca="false">MAX(I1153:K1153)</f>
        <v>1.15753424657534</v>
      </c>
      <c r="N1153" s="27" t="s">
        <v>197</v>
      </c>
      <c r="O1153" s="27"/>
      <c r="P1153" s="27" t="str">
        <f aca="false">A1153&amp;"|"&amp;N1153</f>
        <v>NURSE-06|normal</v>
      </c>
    </row>
    <row r="1154" customFormat="false" ht="15" hidden="false" customHeight="true" outlineLevel="0" collapsed="false">
      <c r="A1154" s="27" t="s">
        <v>91</v>
      </c>
      <c r="B1154" s="41" t="n">
        <v>46303.3444444445</v>
      </c>
      <c r="C1154" s="27" t="s">
        <v>200</v>
      </c>
      <c r="D1154" s="27" t="n">
        <v>42.2</v>
      </c>
      <c r="E1154" s="27" t="n">
        <v>21.9</v>
      </c>
      <c r="F1154" s="27" t="n">
        <v>27</v>
      </c>
      <c r="G1154" s="27" t="n">
        <v>32.8</v>
      </c>
      <c r="H1154" s="27" t="s">
        <v>196</v>
      </c>
      <c r="I1154" s="42" t="n">
        <f aca="false">(D1154-INDEX('Cohort Summary'!$D$5:$D$14,MATCH($A1154,'Cohort Summary'!$A$5:$A$14,0)))/INDEX('Cohort Summary'!$E$5:$E$14,MATCH($A1154,'Cohort Summary'!$A$5:$A$14,0))</f>
        <v>-0.00684931506849179</v>
      </c>
      <c r="J1154" s="42" t="n">
        <f aca="false">(E1154-INDEX('Cohort Summary'!$F$5:$F$14,MATCH($A1154,'Cohort Summary'!$A$5:$A$14,0)))/INDEX('Cohort Summary'!$G$5:$G$14,MATCH($A1154,'Cohort Summary'!$A$5:$A$14,0))</f>
        <v>0.0873786407766989</v>
      </c>
      <c r="K1154" s="42" t="n">
        <f aca="false">(F1154-INDEX('Cohort Summary'!$H$5:$H$14,MATCH($A1154,'Cohort Summary'!$A$5:$A$14,0)))/INDEX('Cohort Summary'!$I$5:$I$14,MATCH($A1154,'Cohort Summary'!$A$5:$A$14,0))</f>
        <v>-0.753472222222223</v>
      </c>
      <c r="L1154" s="42" t="n">
        <f aca="false">(G1154-INDEX('Cohort Summary'!$J$5:$J$14,MATCH($A1154,'Cohort Summary'!$A$5:$A$14,0)))/INDEX('Cohort Summary'!$K$5:$K$14,MATCH($A1154,'Cohort Summary'!$A$5:$A$14,0))</f>
        <v>-0.166666666666673</v>
      </c>
      <c r="M1154" s="42" t="n">
        <f aca="false">MAX(I1154:K1154)</f>
        <v>0.0873786407766989</v>
      </c>
      <c r="N1154" s="27" t="s">
        <v>197</v>
      </c>
      <c r="O1154" s="27"/>
      <c r="P1154" s="27" t="str">
        <f aca="false">A1154&amp;"|"&amp;N1154</f>
        <v>NURSE-06|normal</v>
      </c>
    </row>
    <row r="1155" customFormat="false" ht="15" hidden="false" customHeight="true" outlineLevel="0" collapsed="false">
      <c r="A1155" s="27" t="s">
        <v>91</v>
      </c>
      <c r="B1155" s="41" t="n">
        <v>46303.3447916667</v>
      </c>
      <c r="C1155" s="27" t="s">
        <v>200</v>
      </c>
      <c r="D1155" s="27" t="n">
        <v>41.8</v>
      </c>
      <c r="E1155" s="27" t="n">
        <v>24.9</v>
      </c>
      <c r="F1155" s="27" t="n">
        <v>24.5</v>
      </c>
      <c r="G1155" s="27" t="n">
        <v>32.7</v>
      </c>
      <c r="H1155" s="27" t="s">
        <v>198</v>
      </c>
      <c r="I1155" s="42" t="n">
        <f aca="false">(D1155-INDEX('Cohort Summary'!$D$5:$D$14,MATCH($A1155,'Cohort Summary'!$A$5:$A$14,0)))/INDEX('Cohort Summary'!$E$5:$E$14,MATCH($A1155,'Cohort Summary'!$A$5:$A$14,0))</f>
        <v>-0.143835616438357</v>
      </c>
      <c r="J1155" s="42" t="n">
        <f aca="false">(E1155-INDEX('Cohort Summary'!$F$5:$F$14,MATCH($A1155,'Cohort Summary'!$A$5:$A$14,0)))/INDEX('Cohort Summary'!$G$5:$G$14,MATCH($A1155,'Cohort Summary'!$A$5:$A$14,0))</f>
        <v>1.54368932038835</v>
      </c>
      <c r="K1155" s="42" t="n">
        <f aca="false">(F1155-INDEX('Cohort Summary'!$H$5:$H$14,MATCH($A1155,'Cohort Summary'!$A$5:$A$14,0)))/INDEX('Cohort Summary'!$I$5:$I$14,MATCH($A1155,'Cohort Summary'!$A$5:$A$14,0))</f>
        <v>-1.62152777777778</v>
      </c>
      <c r="L1155" s="42" t="n">
        <f aca="false">(G1155-INDEX('Cohort Summary'!$J$5:$J$14,MATCH($A1155,'Cohort Summary'!$A$5:$A$14,0)))/INDEX('Cohort Summary'!$K$5:$K$14,MATCH($A1155,'Cohort Summary'!$A$5:$A$14,0))</f>
        <v>-0.351851851851848</v>
      </c>
      <c r="M1155" s="42" t="n">
        <f aca="false">MAX(I1155:K1155)</f>
        <v>1.54368932038835</v>
      </c>
      <c r="N1155" s="27" t="s">
        <v>197</v>
      </c>
      <c r="O1155" s="27"/>
      <c r="P1155" s="27" t="str">
        <f aca="false">A1155&amp;"|"&amp;N1155</f>
        <v>NURSE-06|normal</v>
      </c>
    </row>
    <row r="1156" customFormat="false" ht="15" hidden="false" customHeight="true" outlineLevel="0" collapsed="false">
      <c r="A1156" s="27" t="s">
        <v>91</v>
      </c>
      <c r="B1156" s="41" t="n">
        <v>46303.3451388889</v>
      </c>
      <c r="C1156" s="27" t="s">
        <v>200</v>
      </c>
      <c r="D1156" s="27" t="n">
        <v>43</v>
      </c>
      <c r="E1156" s="27" t="n">
        <v>19.2</v>
      </c>
      <c r="F1156" s="27" t="n">
        <v>30</v>
      </c>
      <c r="G1156" s="27" t="n">
        <v>32.8</v>
      </c>
      <c r="H1156" s="27" t="s">
        <v>199</v>
      </c>
      <c r="I1156" s="42" t="n">
        <f aca="false">(D1156-INDEX('Cohort Summary'!$D$5:$D$14,MATCH($A1156,'Cohort Summary'!$A$5:$A$14,0)))/INDEX('Cohort Summary'!$E$5:$E$14,MATCH($A1156,'Cohort Summary'!$A$5:$A$14,0))</f>
        <v>0.267123287671233</v>
      </c>
      <c r="J1156" s="42" t="n">
        <f aca="false">(E1156-INDEX('Cohort Summary'!$F$5:$F$14,MATCH($A1156,'Cohort Summary'!$A$5:$A$14,0)))/INDEX('Cohort Summary'!$G$5:$G$14,MATCH($A1156,'Cohort Summary'!$A$5:$A$14,0))</f>
        <v>-1.22330097087379</v>
      </c>
      <c r="K1156" s="42" t="n">
        <f aca="false">(F1156-INDEX('Cohort Summary'!$H$5:$H$14,MATCH($A1156,'Cohort Summary'!$A$5:$A$14,0)))/INDEX('Cohort Summary'!$I$5:$I$14,MATCH($A1156,'Cohort Summary'!$A$5:$A$14,0))</f>
        <v>0.288194444444444</v>
      </c>
      <c r="L1156" s="42" t="n">
        <f aca="false">(G1156-INDEX('Cohort Summary'!$J$5:$J$14,MATCH($A1156,'Cohort Summary'!$A$5:$A$14,0)))/INDEX('Cohort Summary'!$K$5:$K$14,MATCH($A1156,'Cohort Summary'!$A$5:$A$14,0))</f>
        <v>-0.166666666666673</v>
      </c>
      <c r="M1156" s="42" t="n">
        <f aca="false">MAX(I1156:K1156)</f>
        <v>0.288194444444444</v>
      </c>
      <c r="N1156" s="27" t="s">
        <v>197</v>
      </c>
      <c r="O1156" s="27"/>
      <c r="P1156" s="27" t="str">
        <f aca="false">A1156&amp;"|"&amp;N1156</f>
        <v>NURSE-06|normal</v>
      </c>
    </row>
    <row r="1157" customFormat="false" ht="15" hidden="false" customHeight="true" outlineLevel="0" collapsed="false">
      <c r="A1157" s="27" t="s">
        <v>91</v>
      </c>
      <c r="B1157" s="41" t="n">
        <v>46303.3454861111</v>
      </c>
      <c r="C1157" s="27" t="s">
        <v>200</v>
      </c>
      <c r="D1157" s="27" t="n">
        <v>38.6</v>
      </c>
      <c r="E1157" s="27" t="n">
        <v>24.7</v>
      </c>
      <c r="F1157" s="27" t="n">
        <v>33.8</v>
      </c>
      <c r="G1157" s="27" t="n">
        <v>33.4</v>
      </c>
      <c r="H1157" s="27" t="s">
        <v>196</v>
      </c>
      <c r="I1157" s="42" t="n">
        <f aca="false">(D1157-INDEX('Cohort Summary'!$D$5:$D$14,MATCH($A1157,'Cohort Summary'!$A$5:$A$14,0)))/INDEX('Cohort Summary'!$E$5:$E$14,MATCH($A1157,'Cohort Summary'!$A$5:$A$14,0))</f>
        <v>-1.23972602739726</v>
      </c>
      <c r="J1157" s="42" t="n">
        <f aca="false">(E1157-INDEX('Cohort Summary'!$F$5:$F$14,MATCH($A1157,'Cohort Summary'!$A$5:$A$14,0)))/INDEX('Cohort Summary'!$G$5:$G$14,MATCH($A1157,'Cohort Summary'!$A$5:$A$14,0))</f>
        <v>1.44660194174757</v>
      </c>
      <c r="K1157" s="42" t="n">
        <f aca="false">(F1157-INDEX('Cohort Summary'!$H$5:$H$14,MATCH($A1157,'Cohort Summary'!$A$5:$A$14,0)))/INDEX('Cohort Summary'!$I$5:$I$14,MATCH($A1157,'Cohort Summary'!$A$5:$A$14,0))</f>
        <v>1.60763888888889</v>
      </c>
      <c r="L1157" s="42" t="n">
        <f aca="false">(G1157-INDEX('Cohort Summary'!$J$5:$J$14,MATCH($A1157,'Cohort Summary'!$A$5:$A$14,0)))/INDEX('Cohort Summary'!$K$5:$K$14,MATCH($A1157,'Cohort Summary'!$A$5:$A$14,0))</f>
        <v>0.944444444444441</v>
      </c>
      <c r="M1157" s="42" t="n">
        <f aca="false">MAX(I1157:K1157)</f>
        <v>1.60763888888889</v>
      </c>
      <c r="N1157" s="27" t="s">
        <v>197</v>
      </c>
      <c r="O1157" s="27"/>
      <c r="P1157" s="27" t="str">
        <f aca="false">A1157&amp;"|"&amp;N1157</f>
        <v>NURSE-06|normal</v>
      </c>
    </row>
    <row r="1158" customFormat="false" ht="15" hidden="false" customHeight="true" outlineLevel="0" collapsed="false">
      <c r="A1158" s="27" t="s">
        <v>91</v>
      </c>
      <c r="B1158" s="41" t="n">
        <v>46303.3458333333</v>
      </c>
      <c r="C1158" s="27" t="s">
        <v>200</v>
      </c>
      <c r="D1158" s="27" t="n">
        <v>41.4</v>
      </c>
      <c r="E1158" s="27" t="n">
        <v>25</v>
      </c>
      <c r="F1158" s="27" t="n">
        <v>24.9</v>
      </c>
      <c r="G1158" s="27" t="n">
        <v>32.8</v>
      </c>
      <c r="H1158" s="27" t="s">
        <v>198</v>
      </c>
      <c r="I1158" s="42" t="n">
        <f aca="false">(D1158-INDEX('Cohort Summary'!$D$5:$D$14,MATCH($A1158,'Cohort Summary'!$A$5:$A$14,0)))/INDEX('Cohort Summary'!$E$5:$E$14,MATCH($A1158,'Cohort Summary'!$A$5:$A$14,0))</f>
        <v>-0.280821917808219</v>
      </c>
      <c r="J1158" s="42" t="n">
        <f aca="false">(E1158-INDEX('Cohort Summary'!$F$5:$F$14,MATCH($A1158,'Cohort Summary'!$A$5:$A$14,0)))/INDEX('Cohort Summary'!$G$5:$G$14,MATCH($A1158,'Cohort Summary'!$A$5:$A$14,0))</f>
        <v>1.59223300970874</v>
      </c>
      <c r="K1158" s="42" t="n">
        <f aca="false">(F1158-INDEX('Cohort Summary'!$H$5:$H$14,MATCH($A1158,'Cohort Summary'!$A$5:$A$14,0)))/INDEX('Cohort Summary'!$I$5:$I$14,MATCH($A1158,'Cohort Summary'!$A$5:$A$14,0))</f>
        <v>-1.48263888888889</v>
      </c>
      <c r="L1158" s="42" t="n">
        <f aca="false">(G1158-INDEX('Cohort Summary'!$J$5:$J$14,MATCH($A1158,'Cohort Summary'!$A$5:$A$14,0)))/INDEX('Cohort Summary'!$K$5:$K$14,MATCH($A1158,'Cohort Summary'!$A$5:$A$14,0))</f>
        <v>-0.166666666666673</v>
      </c>
      <c r="M1158" s="42" t="n">
        <f aca="false">MAX(I1158:K1158)</f>
        <v>1.59223300970874</v>
      </c>
      <c r="N1158" s="27" t="s">
        <v>197</v>
      </c>
      <c r="O1158" s="27"/>
      <c r="P1158" s="27" t="str">
        <f aca="false">A1158&amp;"|"&amp;N1158</f>
        <v>NURSE-06|normal</v>
      </c>
    </row>
    <row r="1159" customFormat="false" ht="15" hidden="false" customHeight="true" outlineLevel="0" collapsed="false">
      <c r="A1159" s="27" t="s">
        <v>91</v>
      </c>
      <c r="B1159" s="41" t="n">
        <v>46303.3461805556</v>
      </c>
      <c r="C1159" s="27" t="s">
        <v>200</v>
      </c>
      <c r="D1159" s="27" t="n">
        <v>43.9</v>
      </c>
      <c r="E1159" s="27" t="n">
        <v>18.5</v>
      </c>
      <c r="F1159" s="27" t="n">
        <v>33</v>
      </c>
      <c r="G1159" s="27" t="n">
        <v>32.3</v>
      </c>
      <c r="H1159" s="27" t="s">
        <v>198</v>
      </c>
      <c r="I1159" s="42" t="n">
        <f aca="false">(D1159-INDEX('Cohort Summary'!$D$5:$D$14,MATCH($A1159,'Cohort Summary'!$A$5:$A$14,0)))/INDEX('Cohort Summary'!$E$5:$E$14,MATCH($A1159,'Cohort Summary'!$A$5:$A$14,0))</f>
        <v>0.575342465753425</v>
      </c>
      <c r="J1159" s="42" t="n">
        <f aca="false">(E1159-INDEX('Cohort Summary'!$F$5:$F$14,MATCH($A1159,'Cohort Summary'!$A$5:$A$14,0)))/INDEX('Cohort Summary'!$G$5:$G$14,MATCH($A1159,'Cohort Summary'!$A$5:$A$14,0))</f>
        <v>-1.5631067961165</v>
      </c>
      <c r="K1159" s="42" t="n">
        <f aca="false">(F1159-INDEX('Cohort Summary'!$H$5:$H$14,MATCH($A1159,'Cohort Summary'!$A$5:$A$14,0)))/INDEX('Cohort Summary'!$I$5:$I$14,MATCH($A1159,'Cohort Summary'!$A$5:$A$14,0))</f>
        <v>1.32986111111111</v>
      </c>
      <c r="L1159" s="42" t="n">
        <f aca="false">(G1159-INDEX('Cohort Summary'!$J$5:$J$14,MATCH($A1159,'Cohort Summary'!$A$5:$A$14,0)))/INDEX('Cohort Summary'!$K$5:$K$14,MATCH($A1159,'Cohort Summary'!$A$5:$A$14,0))</f>
        <v>-1.0925925925926</v>
      </c>
      <c r="M1159" s="42" t="n">
        <f aca="false">MAX(I1159:K1159)</f>
        <v>1.32986111111111</v>
      </c>
      <c r="N1159" s="27" t="s">
        <v>197</v>
      </c>
      <c r="O1159" s="27"/>
      <c r="P1159" s="27" t="str">
        <f aca="false">A1159&amp;"|"&amp;N1159</f>
        <v>NURSE-06|normal</v>
      </c>
    </row>
    <row r="1160" customFormat="false" ht="15" hidden="false" customHeight="true" outlineLevel="0" collapsed="false">
      <c r="A1160" s="27" t="s">
        <v>91</v>
      </c>
      <c r="B1160" s="41" t="n">
        <v>46303.3465277778</v>
      </c>
      <c r="C1160" s="27" t="s">
        <v>200</v>
      </c>
      <c r="D1160" s="27" t="n">
        <v>41.3</v>
      </c>
      <c r="E1160" s="27" t="n">
        <v>21.6</v>
      </c>
      <c r="F1160" s="27" t="n">
        <v>26.9</v>
      </c>
      <c r="G1160" s="27" t="n">
        <v>33.3</v>
      </c>
      <c r="H1160" s="27" t="s">
        <v>196</v>
      </c>
      <c r="I1160" s="42" t="n">
        <f aca="false">(D1160-INDEX('Cohort Summary'!$D$5:$D$14,MATCH($A1160,'Cohort Summary'!$A$5:$A$14,0)))/INDEX('Cohort Summary'!$E$5:$E$14,MATCH($A1160,'Cohort Summary'!$A$5:$A$14,0))</f>
        <v>-0.315068493150686</v>
      </c>
      <c r="J1160" s="42" t="n">
        <f aca="false">(E1160-INDEX('Cohort Summary'!$F$5:$F$14,MATCH($A1160,'Cohort Summary'!$A$5:$A$14,0)))/INDEX('Cohort Summary'!$G$5:$G$14,MATCH($A1160,'Cohort Summary'!$A$5:$A$14,0))</f>
        <v>-0.0582524271844648</v>
      </c>
      <c r="K1160" s="42" t="n">
        <f aca="false">(F1160-INDEX('Cohort Summary'!$H$5:$H$14,MATCH($A1160,'Cohort Summary'!$A$5:$A$14,0)))/INDEX('Cohort Summary'!$I$5:$I$14,MATCH($A1160,'Cohort Summary'!$A$5:$A$14,0))</f>
        <v>-0.788194444444446</v>
      </c>
      <c r="L1160" s="42" t="n">
        <f aca="false">(G1160-INDEX('Cohort Summary'!$J$5:$J$14,MATCH($A1160,'Cohort Summary'!$A$5:$A$14,0)))/INDEX('Cohort Summary'!$K$5:$K$14,MATCH($A1160,'Cohort Summary'!$A$5:$A$14,0))</f>
        <v>0.759259259259253</v>
      </c>
      <c r="M1160" s="42" t="n">
        <f aca="false">MAX(I1160:K1160)</f>
        <v>-0.0582524271844648</v>
      </c>
      <c r="N1160" s="27" t="s">
        <v>197</v>
      </c>
      <c r="O1160" s="27"/>
      <c r="P1160" s="27" t="str">
        <f aca="false">A1160&amp;"|"&amp;N1160</f>
        <v>NURSE-06|normal</v>
      </c>
    </row>
    <row r="1161" customFormat="false" ht="15" hidden="false" customHeight="true" outlineLevel="0" collapsed="false">
      <c r="A1161" s="27" t="s">
        <v>91</v>
      </c>
      <c r="B1161" s="41" t="n">
        <v>46303.346875</v>
      </c>
      <c r="C1161" s="27" t="s">
        <v>200</v>
      </c>
      <c r="D1161" s="27" t="n">
        <v>40.7</v>
      </c>
      <c r="E1161" s="27" t="n">
        <v>23</v>
      </c>
      <c r="F1161" s="27" t="n">
        <v>25</v>
      </c>
      <c r="G1161" s="27" t="n">
        <v>33</v>
      </c>
      <c r="H1161" s="27" t="s">
        <v>198</v>
      </c>
      <c r="I1161" s="42" t="n">
        <f aca="false">(D1161-INDEX('Cohort Summary'!$D$5:$D$14,MATCH($A1161,'Cohort Summary'!$A$5:$A$14,0)))/INDEX('Cohort Summary'!$E$5:$E$14,MATCH($A1161,'Cohort Summary'!$A$5:$A$14,0))</f>
        <v>-0.520547945205478</v>
      </c>
      <c r="J1161" s="42" t="n">
        <f aca="false">(E1161-INDEX('Cohort Summary'!$F$5:$F$14,MATCH($A1161,'Cohort Summary'!$A$5:$A$14,0)))/INDEX('Cohort Summary'!$G$5:$G$14,MATCH($A1161,'Cohort Summary'!$A$5:$A$14,0))</f>
        <v>0.621359223300971</v>
      </c>
      <c r="K1161" s="42" t="n">
        <f aca="false">(F1161-INDEX('Cohort Summary'!$H$5:$H$14,MATCH($A1161,'Cohort Summary'!$A$5:$A$14,0)))/INDEX('Cohort Summary'!$I$5:$I$14,MATCH($A1161,'Cohort Summary'!$A$5:$A$14,0))</f>
        <v>-1.44791666666667</v>
      </c>
      <c r="L1161" s="42" t="n">
        <f aca="false">(G1161-INDEX('Cohort Summary'!$J$5:$J$14,MATCH($A1161,'Cohort Summary'!$A$5:$A$14,0)))/INDEX('Cohort Summary'!$K$5:$K$14,MATCH($A1161,'Cohort Summary'!$A$5:$A$14,0))</f>
        <v>0.203703703703703</v>
      </c>
      <c r="M1161" s="42" t="n">
        <f aca="false">MAX(I1161:K1161)</f>
        <v>0.621359223300971</v>
      </c>
      <c r="N1161" s="27" t="s">
        <v>197</v>
      </c>
      <c r="O1161" s="27"/>
      <c r="P1161" s="27" t="str">
        <f aca="false">A1161&amp;"|"&amp;N1161</f>
        <v>NURSE-06|normal</v>
      </c>
    </row>
    <row r="1162" customFormat="false" ht="15" hidden="false" customHeight="true" outlineLevel="0" collapsed="false">
      <c r="A1162" s="27" t="s">
        <v>91</v>
      </c>
      <c r="B1162" s="41" t="n">
        <v>46303.3472222222</v>
      </c>
      <c r="C1162" s="27" t="s">
        <v>200</v>
      </c>
      <c r="D1162" s="27" t="n">
        <v>40.7</v>
      </c>
      <c r="E1162" s="27" t="n">
        <v>24</v>
      </c>
      <c r="F1162" s="27" t="n">
        <v>26.1</v>
      </c>
      <c r="G1162" s="27" t="n">
        <v>33.7</v>
      </c>
      <c r="H1162" s="27" t="s">
        <v>199</v>
      </c>
      <c r="I1162" s="42" t="n">
        <f aca="false">(D1162-INDEX('Cohort Summary'!$D$5:$D$14,MATCH($A1162,'Cohort Summary'!$A$5:$A$14,0)))/INDEX('Cohort Summary'!$E$5:$E$14,MATCH($A1162,'Cohort Summary'!$A$5:$A$14,0))</f>
        <v>-0.520547945205478</v>
      </c>
      <c r="J1162" s="42" t="n">
        <f aca="false">(E1162-INDEX('Cohort Summary'!$F$5:$F$14,MATCH($A1162,'Cohort Summary'!$A$5:$A$14,0)))/INDEX('Cohort Summary'!$G$5:$G$14,MATCH($A1162,'Cohort Summary'!$A$5:$A$14,0))</f>
        <v>1.10679611650486</v>
      </c>
      <c r="K1162" s="42" t="n">
        <f aca="false">(F1162-INDEX('Cohort Summary'!$H$5:$H$14,MATCH($A1162,'Cohort Summary'!$A$5:$A$14,0)))/INDEX('Cohort Summary'!$I$5:$I$14,MATCH($A1162,'Cohort Summary'!$A$5:$A$14,0))</f>
        <v>-1.06597222222222</v>
      </c>
      <c r="L1162" s="42" t="n">
        <f aca="false">(G1162-INDEX('Cohort Summary'!$J$5:$J$14,MATCH($A1162,'Cohort Summary'!$A$5:$A$14,0)))/INDEX('Cohort Summary'!$K$5:$K$14,MATCH($A1162,'Cohort Summary'!$A$5:$A$14,0))</f>
        <v>1.5</v>
      </c>
      <c r="M1162" s="42" t="n">
        <f aca="false">MAX(I1162:K1162)</f>
        <v>1.10679611650486</v>
      </c>
      <c r="N1162" s="27" t="s">
        <v>197</v>
      </c>
      <c r="O1162" s="27"/>
      <c r="P1162" s="27" t="str">
        <f aca="false">A1162&amp;"|"&amp;N1162</f>
        <v>NURSE-06|normal</v>
      </c>
    </row>
    <row r="1163" customFormat="false" ht="15" hidden="false" customHeight="true" outlineLevel="0" collapsed="false">
      <c r="A1163" s="27" t="s">
        <v>91</v>
      </c>
      <c r="B1163" s="41" t="n">
        <v>46303.3475694444</v>
      </c>
      <c r="C1163" s="27" t="s">
        <v>200</v>
      </c>
      <c r="D1163" s="27" t="n">
        <v>45.5</v>
      </c>
      <c r="E1163" s="27" t="n">
        <v>22.2</v>
      </c>
      <c r="F1163" s="27" t="n">
        <v>29.6</v>
      </c>
      <c r="G1163" s="27" t="n">
        <v>32.4</v>
      </c>
      <c r="H1163" s="27" t="s">
        <v>198</v>
      </c>
      <c r="I1163" s="42" t="n">
        <f aca="false">(D1163-INDEX('Cohort Summary'!$D$5:$D$14,MATCH($A1163,'Cohort Summary'!$A$5:$A$14,0)))/INDEX('Cohort Summary'!$E$5:$E$14,MATCH($A1163,'Cohort Summary'!$A$5:$A$14,0))</f>
        <v>1.12328767123288</v>
      </c>
      <c r="J1163" s="42" t="n">
        <f aca="false">(E1163-INDEX('Cohort Summary'!$F$5:$F$14,MATCH($A1163,'Cohort Summary'!$A$5:$A$14,0)))/INDEX('Cohort Summary'!$G$5:$G$14,MATCH($A1163,'Cohort Summary'!$A$5:$A$14,0))</f>
        <v>0.233009708737864</v>
      </c>
      <c r="K1163" s="42" t="n">
        <f aca="false">(F1163-INDEX('Cohort Summary'!$H$5:$H$14,MATCH($A1163,'Cohort Summary'!$A$5:$A$14,0)))/INDEX('Cohort Summary'!$I$5:$I$14,MATCH($A1163,'Cohort Summary'!$A$5:$A$14,0))</f>
        <v>0.149305555555555</v>
      </c>
      <c r="L1163" s="42" t="n">
        <f aca="false">(G1163-INDEX('Cohort Summary'!$J$5:$J$14,MATCH($A1163,'Cohort Summary'!$A$5:$A$14,0)))/INDEX('Cohort Summary'!$K$5:$K$14,MATCH($A1163,'Cohort Summary'!$A$5:$A$14,0))</f>
        <v>-0.907407407407411</v>
      </c>
      <c r="M1163" s="42" t="n">
        <f aca="false">MAX(I1163:K1163)</f>
        <v>1.12328767123288</v>
      </c>
      <c r="N1163" s="27" t="s">
        <v>197</v>
      </c>
      <c r="O1163" s="27"/>
      <c r="P1163" s="27" t="str">
        <f aca="false">A1163&amp;"|"&amp;N1163</f>
        <v>NURSE-06|normal</v>
      </c>
    </row>
    <row r="1164" customFormat="false" ht="15" hidden="false" customHeight="true" outlineLevel="0" collapsed="false">
      <c r="A1164" s="27" t="s">
        <v>91</v>
      </c>
      <c r="B1164" s="41" t="n">
        <v>46303.3479166667</v>
      </c>
      <c r="C1164" s="27" t="s">
        <v>200</v>
      </c>
      <c r="D1164" s="27" t="n">
        <v>43.2</v>
      </c>
      <c r="E1164" s="27" t="n">
        <v>23</v>
      </c>
      <c r="F1164" s="27" t="n">
        <v>32.4</v>
      </c>
      <c r="G1164" s="27" t="n">
        <v>32.6</v>
      </c>
      <c r="H1164" s="27" t="s">
        <v>196</v>
      </c>
      <c r="I1164" s="42" t="n">
        <f aca="false">(D1164-INDEX('Cohort Summary'!$D$5:$D$14,MATCH($A1164,'Cohort Summary'!$A$5:$A$14,0)))/INDEX('Cohort Summary'!$E$5:$E$14,MATCH($A1164,'Cohort Summary'!$A$5:$A$14,0))</f>
        <v>0.335616438356166</v>
      </c>
      <c r="J1164" s="42" t="n">
        <f aca="false">(E1164-INDEX('Cohort Summary'!$F$5:$F$14,MATCH($A1164,'Cohort Summary'!$A$5:$A$14,0)))/INDEX('Cohort Summary'!$G$5:$G$14,MATCH($A1164,'Cohort Summary'!$A$5:$A$14,0))</f>
        <v>0.621359223300971</v>
      </c>
      <c r="K1164" s="42" t="n">
        <f aca="false">(F1164-INDEX('Cohort Summary'!$H$5:$H$14,MATCH($A1164,'Cohort Summary'!$A$5:$A$14,0)))/INDEX('Cohort Summary'!$I$5:$I$14,MATCH($A1164,'Cohort Summary'!$A$5:$A$14,0))</f>
        <v>1.12152777777778</v>
      </c>
      <c r="L1164" s="42" t="n">
        <f aca="false">(G1164-INDEX('Cohort Summary'!$J$5:$J$14,MATCH($A1164,'Cohort Summary'!$A$5:$A$14,0)))/INDEX('Cohort Summary'!$K$5:$K$14,MATCH($A1164,'Cohort Summary'!$A$5:$A$14,0))</f>
        <v>-0.537037037037035</v>
      </c>
      <c r="M1164" s="42" t="n">
        <f aca="false">MAX(I1164:K1164)</f>
        <v>1.12152777777778</v>
      </c>
      <c r="N1164" s="27" t="s">
        <v>197</v>
      </c>
      <c r="O1164" s="27"/>
      <c r="P1164" s="27" t="str">
        <f aca="false">A1164&amp;"|"&amp;N1164</f>
        <v>NURSE-06|normal</v>
      </c>
    </row>
    <row r="1165" customFormat="false" ht="15" hidden="false" customHeight="true" outlineLevel="0" collapsed="false">
      <c r="A1165" s="27" t="s">
        <v>91</v>
      </c>
      <c r="B1165" s="41" t="n">
        <v>46303.3482638889</v>
      </c>
      <c r="C1165" s="27" t="s">
        <v>200</v>
      </c>
      <c r="D1165" s="27" t="n">
        <v>43.4</v>
      </c>
      <c r="E1165" s="27" t="n">
        <v>19</v>
      </c>
      <c r="F1165" s="27" t="n">
        <v>30.7</v>
      </c>
      <c r="G1165" s="27" t="n">
        <v>32.1</v>
      </c>
      <c r="H1165" s="27" t="s">
        <v>198</v>
      </c>
      <c r="I1165" s="42" t="n">
        <f aca="false">(D1165-INDEX('Cohort Summary'!$D$5:$D$14,MATCH($A1165,'Cohort Summary'!$A$5:$A$14,0)))/INDEX('Cohort Summary'!$E$5:$E$14,MATCH($A1165,'Cohort Summary'!$A$5:$A$14,0))</f>
        <v>0.404109589041096</v>
      </c>
      <c r="J1165" s="42" t="n">
        <f aca="false">(E1165-INDEX('Cohort Summary'!$F$5:$F$14,MATCH($A1165,'Cohort Summary'!$A$5:$A$14,0)))/INDEX('Cohort Summary'!$G$5:$G$14,MATCH($A1165,'Cohort Summary'!$A$5:$A$14,0))</f>
        <v>-1.32038834951456</v>
      </c>
      <c r="K1165" s="42" t="n">
        <f aca="false">(F1165-INDEX('Cohort Summary'!$H$5:$H$14,MATCH($A1165,'Cohort Summary'!$A$5:$A$14,0)))/INDEX('Cohort Summary'!$I$5:$I$14,MATCH($A1165,'Cohort Summary'!$A$5:$A$14,0))</f>
        <v>0.531249999999999</v>
      </c>
      <c r="L1165" s="42" t="n">
        <f aca="false">(G1165-INDEX('Cohort Summary'!$J$5:$J$14,MATCH($A1165,'Cohort Summary'!$A$5:$A$14,0)))/INDEX('Cohort Summary'!$K$5:$K$14,MATCH($A1165,'Cohort Summary'!$A$5:$A$14,0))</f>
        <v>-1.46296296296296</v>
      </c>
      <c r="M1165" s="42" t="n">
        <f aca="false">MAX(I1165:K1165)</f>
        <v>0.531249999999999</v>
      </c>
      <c r="N1165" s="27" t="s">
        <v>197</v>
      </c>
      <c r="O1165" s="27"/>
      <c r="P1165" s="27" t="str">
        <f aca="false">A1165&amp;"|"&amp;N1165</f>
        <v>NURSE-06|normal</v>
      </c>
    </row>
    <row r="1166" customFormat="false" ht="15" hidden="false" customHeight="true" outlineLevel="0" collapsed="false">
      <c r="A1166" s="27" t="s">
        <v>91</v>
      </c>
      <c r="B1166" s="41" t="n">
        <v>46303.3486111111</v>
      </c>
      <c r="C1166" s="27" t="s">
        <v>200</v>
      </c>
      <c r="D1166" s="27" t="n">
        <v>41.2</v>
      </c>
      <c r="E1166" s="27" t="n">
        <v>24.7</v>
      </c>
      <c r="F1166" s="27" t="n">
        <v>27.6</v>
      </c>
      <c r="G1166" s="27" t="n">
        <v>32.7</v>
      </c>
      <c r="H1166" s="27" t="s">
        <v>198</v>
      </c>
      <c r="I1166" s="42" t="n">
        <f aca="false">(D1166-INDEX('Cohort Summary'!$D$5:$D$14,MATCH($A1166,'Cohort Summary'!$A$5:$A$14,0)))/INDEX('Cohort Summary'!$E$5:$E$14,MATCH($A1166,'Cohort Summary'!$A$5:$A$14,0))</f>
        <v>-0.349315068493149</v>
      </c>
      <c r="J1166" s="42" t="n">
        <f aca="false">(E1166-INDEX('Cohort Summary'!$F$5:$F$14,MATCH($A1166,'Cohort Summary'!$A$5:$A$14,0)))/INDEX('Cohort Summary'!$G$5:$G$14,MATCH($A1166,'Cohort Summary'!$A$5:$A$14,0))</f>
        <v>1.44660194174757</v>
      </c>
      <c r="K1166" s="42" t="n">
        <f aca="false">(F1166-INDEX('Cohort Summary'!$H$5:$H$14,MATCH($A1166,'Cohort Summary'!$A$5:$A$14,0)))/INDEX('Cohort Summary'!$I$5:$I$14,MATCH($A1166,'Cohort Summary'!$A$5:$A$14,0))</f>
        <v>-0.545138888888889</v>
      </c>
      <c r="L1166" s="42" t="n">
        <f aca="false">(G1166-INDEX('Cohort Summary'!$J$5:$J$14,MATCH($A1166,'Cohort Summary'!$A$5:$A$14,0)))/INDEX('Cohort Summary'!$K$5:$K$14,MATCH($A1166,'Cohort Summary'!$A$5:$A$14,0))</f>
        <v>-0.351851851851848</v>
      </c>
      <c r="M1166" s="42" t="n">
        <f aca="false">MAX(I1166:K1166)</f>
        <v>1.44660194174757</v>
      </c>
      <c r="N1166" s="27" t="s">
        <v>197</v>
      </c>
      <c r="O1166" s="27"/>
      <c r="P1166" s="27" t="str">
        <f aca="false">A1166&amp;"|"&amp;N1166</f>
        <v>NURSE-06|normal</v>
      </c>
    </row>
    <row r="1167" customFormat="false" ht="15" hidden="false" customHeight="true" outlineLevel="0" collapsed="false">
      <c r="A1167" s="27" t="s">
        <v>91</v>
      </c>
      <c r="B1167" s="41" t="n">
        <v>46303.3489583333</v>
      </c>
      <c r="C1167" s="27" t="s">
        <v>200</v>
      </c>
      <c r="D1167" s="27" t="n">
        <v>47</v>
      </c>
      <c r="E1167" s="27" t="n">
        <v>19.4</v>
      </c>
      <c r="F1167" s="27" t="n">
        <v>29.3</v>
      </c>
      <c r="G1167" s="27" t="n">
        <v>32.6</v>
      </c>
      <c r="H1167" s="27" t="s">
        <v>199</v>
      </c>
      <c r="I1167" s="42" t="n">
        <f aca="false">(D1167-INDEX('Cohort Summary'!$D$5:$D$14,MATCH($A1167,'Cohort Summary'!$A$5:$A$14,0)))/INDEX('Cohort Summary'!$E$5:$E$14,MATCH($A1167,'Cohort Summary'!$A$5:$A$14,0))</f>
        <v>1.63698630136986</v>
      </c>
      <c r="J1167" s="42" t="n">
        <f aca="false">(E1167-INDEX('Cohort Summary'!$F$5:$F$14,MATCH($A1167,'Cohort Summary'!$A$5:$A$14,0)))/INDEX('Cohort Summary'!$G$5:$G$14,MATCH($A1167,'Cohort Summary'!$A$5:$A$14,0))</f>
        <v>-1.12621359223301</v>
      </c>
      <c r="K1167" s="42" t="n">
        <f aca="false">(F1167-INDEX('Cohort Summary'!$H$5:$H$14,MATCH($A1167,'Cohort Summary'!$A$5:$A$14,0)))/INDEX('Cohort Summary'!$I$5:$I$14,MATCH($A1167,'Cohort Summary'!$A$5:$A$14,0))</f>
        <v>0.0451388888888886</v>
      </c>
      <c r="L1167" s="42" t="n">
        <f aca="false">(G1167-INDEX('Cohort Summary'!$J$5:$J$14,MATCH($A1167,'Cohort Summary'!$A$5:$A$14,0)))/INDEX('Cohort Summary'!$K$5:$K$14,MATCH($A1167,'Cohort Summary'!$A$5:$A$14,0))</f>
        <v>-0.537037037037035</v>
      </c>
      <c r="M1167" s="42" t="n">
        <f aca="false">MAX(I1167:K1167)</f>
        <v>1.63698630136986</v>
      </c>
      <c r="N1167" s="27" t="s">
        <v>197</v>
      </c>
      <c r="O1167" s="27"/>
      <c r="P1167" s="27" t="str">
        <f aca="false">A1167&amp;"|"&amp;N1167</f>
        <v>NURSE-06|normal</v>
      </c>
    </row>
    <row r="1168" customFormat="false" ht="15" hidden="false" customHeight="true" outlineLevel="0" collapsed="false">
      <c r="A1168" s="27" t="s">
        <v>91</v>
      </c>
      <c r="B1168" s="41" t="n">
        <v>46303.3493055556</v>
      </c>
      <c r="C1168" s="27" t="s">
        <v>200</v>
      </c>
      <c r="D1168" s="27" t="n">
        <v>39.3</v>
      </c>
      <c r="E1168" s="27" t="n">
        <v>23.5</v>
      </c>
      <c r="F1168" s="27" t="n">
        <v>28.6</v>
      </c>
      <c r="G1168" s="27" t="n">
        <v>33.6</v>
      </c>
      <c r="H1168" s="27" t="s">
        <v>199</v>
      </c>
      <c r="I1168" s="42" t="n">
        <f aca="false">(D1168-INDEX('Cohort Summary'!$D$5:$D$14,MATCH($A1168,'Cohort Summary'!$A$5:$A$14,0)))/INDEX('Cohort Summary'!$E$5:$E$14,MATCH($A1168,'Cohort Summary'!$A$5:$A$14,0))</f>
        <v>-1</v>
      </c>
      <c r="J1168" s="42" t="n">
        <f aca="false">(E1168-INDEX('Cohort Summary'!$F$5:$F$14,MATCH($A1168,'Cohort Summary'!$A$5:$A$14,0)))/INDEX('Cohort Summary'!$G$5:$G$14,MATCH($A1168,'Cohort Summary'!$A$5:$A$14,0))</f>
        <v>0.864077669902913</v>
      </c>
      <c r="K1168" s="42" t="n">
        <f aca="false">(F1168-INDEX('Cohort Summary'!$H$5:$H$14,MATCH($A1168,'Cohort Summary'!$A$5:$A$14,0)))/INDEX('Cohort Summary'!$I$5:$I$14,MATCH($A1168,'Cohort Summary'!$A$5:$A$14,0))</f>
        <v>-0.197916666666667</v>
      </c>
      <c r="L1168" s="42" t="n">
        <f aca="false">(G1168-INDEX('Cohort Summary'!$J$5:$J$14,MATCH($A1168,'Cohort Summary'!$A$5:$A$14,0)))/INDEX('Cohort Summary'!$K$5:$K$14,MATCH($A1168,'Cohort Summary'!$A$5:$A$14,0))</f>
        <v>1.31481481481482</v>
      </c>
      <c r="M1168" s="42" t="n">
        <f aca="false">MAX(I1168:K1168)</f>
        <v>0.864077669902913</v>
      </c>
      <c r="N1168" s="27" t="s">
        <v>197</v>
      </c>
      <c r="O1168" s="27"/>
      <c r="P1168" s="27" t="str">
        <f aca="false">A1168&amp;"|"&amp;N1168</f>
        <v>NURSE-06|normal</v>
      </c>
    </row>
    <row r="1169" customFormat="false" ht="15" hidden="false" customHeight="true" outlineLevel="0" collapsed="false">
      <c r="A1169" s="27" t="s">
        <v>91</v>
      </c>
      <c r="B1169" s="41" t="n">
        <v>46303.3496527778</v>
      </c>
      <c r="C1169" s="27" t="s">
        <v>200</v>
      </c>
      <c r="D1169" s="27" t="n">
        <v>45.2</v>
      </c>
      <c r="E1169" s="27" t="n">
        <v>18.4</v>
      </c>
      <c r="F1169" s="27" t="n">
        <v>27.8</v>
      </c>
      <c r="G1169" s="27" t="n">
        <v>33.7</v>
      </c>
      <c r="H1169" s="27" t="s">
        <v>199</v>
      </c>
      <c r="I1169" s="42" t="n">
        <f aca="false">(D1169-INDEX('Cohort Summary'!$D$5:$D$14,MATCH($A1169,'Cohort Summary'!$A$5:$A$14,0)))/INDEX('Cohort Summary'!$E$5:$E$14,MATCH($A1169,'Cohort Summary'!$A$5:$A$14,0))</f>
        <v>1.02054794520548</v>
      </c>
      <c r="J1169" s="42" t="n">
        <f aca="false">(E1169-INDEX('Cohort Summary'!$F$5:$F$14,MATCH($A1169,'Cohort Summary'!$A$5:$A$14,0)))/INDEX('Cohort Summary'!$G$5:$G$14,MATCH($A1169,'Cohort Summary'!$A$5:$A$14,0))</f>
        <v>-1.61165048543689</v>
      </c>
      <c r="K1169" s="42" t="n">
        <f aca="false">(F1169-INDEX('Cohort Summary'!$H$5:$H$14,MATCH($A1169,'Cohort Summary'!$A$5:$A$14,0)))/INDEX('Cohort Summary'!$I$5:$I$14,MATCH($A1169,'Cohort Summary'!$A$5:$A$14,0))</f>
        <v>-0.475694444444445</v>
      </c>
      <c r="L1169" s="42" t="n">
        <f aca="false">(G1169-INDEX('Cohort Summary'!$J$5:$J$14,MATCH($A1169,'Cohort Summary'!$A$5:$A$14,0)))/INDEX('Cohort Summary'!$K$5:$K$14,MATCH($A1169,'Cohort Summary'!$A$5:$A$14,0))</f>
        <v>1.5</v>
      </c>
      <c r="M1169" s="42" t="n">
        <f aca="false">MAX(I1169:K1169)</f>
        <v>1.02054794520548</v>
      </c>
      <c r="N1169" s="27" t="s">
        <v>197</v>
      </c>
      <c r="O1169" s="27"/>
      <c r="P1169" s="27" t="str">
        <f aca="false">A1169&amp;"|"&amp;N1169</f>
        <v>NURSE-06|normal</v>
      </c>
    </row>
    <row r="1170" customFormat="false" ht="15" hidden="false" customHeight="true" outlineLevel="0" collapsed="false">
      <c r="A1170" s="27" t="s">
        <v>91</v>
      </c>
      <c r="B1170" s="41" t="n">
        <v>46303.35</v>
      </c>
      <c r="C1170" s="27" t="s">
        <v>200</v>
      </c>
      <c r="D1170" s="27" t="n">
        <v>43.8</v>
      </c>
      <c r="E1170" s="27" t="n">
        <v>22.7</v>
      </c>
      <c r="F1170" s="27" t="n">
        <v>29</v>
      </c>
      <c r="G1170" s="27" t="n">
        <v>32.8</v>
      </c>
      <c r="H1170" s="27" t="s">
        <v>198</v>
      </c>
      <c r="I1170" s="42" t="n">
        <f aca="false">(D1170-INDEX('Cohort Summary'!$D$5:$D$14,MATCH($A1170,'Cohort Summary'!$A$5:$A$14,0)))/INDEX('Cohort Summary'!$E$5:$E$14,MATCH($A1170,'Cohort Summary'!$A$5:$A$14,0))</f>
        <v>0.541095890410958</v>
      </c>
      <c r="J1170" s="42" t="n">
        <f aca="false">(E1170-INDEX('Cohort Summary'!$F$5:$F$14,MATCH($A1170,'Cohort Summary'!$A$5:$A$14,0)))/INDEX('Cohort Summary'!$G$5:$G$14,MATCH($A1170,'Cohort Summary'!$A$5:$A$14,0))</f>
        <v>0.475728155339806</v>
      </c>
      <c r="K1170" s="42" t="n">
        <f aca="false">(F1170-INDEX('Cohort Summary'!$H$5:$H$14,MATCH($A1170,'Cohort Summary'!$A$5:$A$14,0)))/INDEX('Cohort Summary'!$I$5:$I$14,MATCH($A1170,'Cohort Summary'!$A$5:$A$14,0))</f>
        <v>-0.0590277777777784</v>
      </c>
      <c r="L1170" s="42" t="n">
        <f aca="false">(G1170-INDEX('Cohort Summary'!$J$5:$J$14,MATCH($A1170,'Cohort Summary'!$A$5:$A$14,0)))/INDEX('Cohort Summary'!$K$5:$K$14,MATCH($A1170,'Cohort Summary'!$A$5:$A$14,0))</f>
        <v>-0.166666666666673</v>
      </c>
      <c r="M1170" s="42" t="n">
        <f aca="false">MAX(I1170:K1170)</f>
        <v>0.541095890410958</v>
      </c>
      <c r="N1170" s="27" t="s">
        <v>197</v>
      </c>
      <c r="O1170" s="27"/>
      <c r="P1170" s="27" t="str">
        <f aca="false">A1170&amp;"|"&amp;N1170</f>
        <v>NURSE-06|normal</v>
      </c>
    </row>
    <row r="1171" customFormat="false" ht="15" hidden="false" customHeight="true" outlineLevel="0" collapsed="false">
      <c r="A1171" s="27" t="s">
        <v>91</v>
      </c>
      <c r="B1171" s="41" t="n">
        <v>46303.3503472222</v>
      </c>
      <c r="C1171" s="27" t="s">
        <v>200</v>
      </c>
      <c r="D1171" s="27" t="n">
        <v>42.4</v>
      </c>
      <c r="E1171" s="27" t="n">
        <v>18.5</v>
      </c>
      <c r="F1171" s="27" t="n">
        <v>25.7</v>
      </c>
      <c r="G1171" s="27" t="n">
        <v>32.3</v>
      </c>
      <c r="H1171" s="27" t="s">
        <v>196</v>
      </c>
      <c r="I1171" s="42" t="n">
        <f aca="false">(D1171-INDEX('Cohort Summary'!$D$5:$D$14,MATCH($A1171,'Cohort Summary'!$A$5:$A$14,0)))/INDEX('Cohort Summary'!$E$5:$E$14,MATCH($A1171,'Cohort Summary'!$A$5:$A$14,0))</f>
        <v>0.0616438356164383</v>
      </c>
      <c r="J1171" s="42" t="n">
        <f aca="false">(E1171-INDEX('Cohort Summary'!$F$5:$F$14,MATCH($A1171,'Cohort Summary'!$A$5:$A$14,0)))/INDEX('Cohort Summary'!$G$5:$G$14,MATCH($A1171,'Cohort Summary'!$A$5:$A$14,0))</f>
        <v>-1.5631067961165</v>
      </c>
      <c r="K1171" s="42" t="n">
        <f aca="false">(F1171-INDEX('Cohort Summary'!$H$5:$H$14,MATCH($A1171,'Cohort Summary'!$A$5:$A$14,0)))/INDEX('Cohort Summary'!$I$5:$I$14,MATCH($A1171,'Cohort Summary'!$A$5:$A$14,0))</f>
        <v>-1.20486111111111</v>
      </c>
      <c r="L1171" s="42" t="n">
        <f aca="false">(G1171-INDEX('Cohort Summary'!$J$5:$J$14,MATCH($A1171,'Cohort Summary'!$A$5:$A$14,0)))/INDEX('Cohort Summary'!$K$5:$K$14,MATCH($A1171,'Cohort Summary'!$A$5:$A$14,0))</f>
        <v>-1.0925925925926</v>
      </c>
      <c r="M1171" s="42" t="n">
        <f aca="false">MAX(I1171:K1171)</f>
        <v>0.0616438356164383</v>
      </c>
      <c r="N1171" s="27" t="s">
        <v>197</v>
      </c>
      <c r="O1171" s="27"/>
      <c r="P1171" s="27" t="str">
        <f aca="false">A1171&amp;"|"&amp;N1171</f>
        <v>NURSE-06|normal</v>
      </c>
    </row>
    <row r="1172" customFormat="false" ht="15" hidden="false" customHeight="true" outlineLevel="0" collapsed="false">
      <c r="A1172" s="27" t="s">
        <v>91</v>
      </c>
      <c r="B1172" s="41" t="n">
        <v>46303.3506944445</v>
      </c>
      <c r="C1172" s="27" t="s">
        <v>200</v>
      </c>
      <c r="D1172" s="27" t="n">
        <v>42</v>
      </c>
      <c r="E1172" s="27" t="n">
        <v>22.9</v>
      </c>
      <c r="F1172" s="27" t="n">
        <v>31.7</v>
      </c>
      <c r="G1172" s="27" t="n">
        <v>33.2</v>
      </c>
      <c r="H1172" s="27" t="s">
        <v>199</v>
      </c>
      <c r="I1172" s="42" t="n">
        <f aca="false">(D1172-INDEX('Cohort Summary'!$D$5:$D$14,MATCH($A1172,'Cohort Summary'!$A$5:$A$14,0)))/INDEX('Cohort Summary'!$E$5:$E$14,MATCH($A1172,'Cohort Summary'!$A$5:$A$14,0))</f>
        <v>-0.0753424657534243</v>
      </c>
      <c r="J1172" s="42" t="n">
        <f aca="false">(E1172-INDEX('Cohort Summary'!$F$5:$F$14,MATCH($A1172,'Cohort Summary'!$A$5:$A$14,0)))/INDEX('Cohort Summary'!$G$5:$G$14,MATCH($A1172,'Cohort Summary'!$A$5:$A$14,0))</f>
        <v>0.572815533980582</v>
      </c>
      <c r="K1172" s="42" t="n">
        <f aca="false">(F1172-INDEX('Cohort Summary'!$H$5:$H$14,MATCH($A1172,'Cohort Summary'!$A$5:$A$14,0)))/INDEX('Cohort Summary'!$I$5:$I$14,MATCH($A1172,'Cohort Summary'!$A$5:$A$14,0))</f>
        <v>0.878472222222221</v>
      </c>
      <c r="L1172" s="42" t="n">
        <f aca="false">(G1172-INDEX('Cohort Summary'!$J$5:$J$14,MATCH($A1172,'Cohort Summary'!$A$5:$A$14,0)))/INDEX('Cohort Summary'!$K$5:$K$14,MATCH($A1172,'Cohort Summary'!$A$5:$A$14,0))</f>
        <v>0.574074074074078</v>
      </c>
      <c r="M1172" s="42" t="n">
        <f aca="false">MAX(I1172:K1172)</f>
        <v>0.878472222222221</v>
      </c>
      <c r="N1172" s="27" t="s">
        <v>197</v>
      </c>
      <c r="O1172" s="27"/>
      <c r="P1172" s="27" t="str">
        <f aca="false">A1172&amp;"|"&amp;N1172</f>
        <v>NURSE-06|normal</v>
      </c>
    </row>
    <row r="1173" customFormat="false" ht="15" hidden="false" customHeight="true" outlineLevel="0" collapsed="false">
      <c r="A1173" s="27" t="s">
        <v>91</v>
      </c>
      <c r="B1173" s="41" t="n">
        <v>46303.3510416667</v>
      </c>
      <c r="C1173" s="27" t="s">
        <v>200</v>
      </c>
      <c r="D1173" s="27" t="n">
        <v>39.9</v>
      </c>
      <c r="E1173" s="27" t="n">
        <v>21.7</v>
      </c>
      <c r="F1173" s="27" t="n">
        <v>31.2</v>
      </c>
      <c r="G1173" s="27" t="n">
        <v>33.4</v>
      </c>
      <c r="H1173" s="27" t="s">
        <v>198</v>
      </c>
      <c r="I1173" s="42" t="n">
        <f aca="false">(D1173-INDEX('Cohort Summary'!$D$5:$D$14,MATCH($A1173,'Cohort Summary'!$A$5:$A$14,0)))/INDEX('Cohort Summary'!$E$5:$E$14,MATCH($A1173,'Cohort Summary'!$A$5:$A$14,0))</f>
        <v>-0.794520547945206</v>
      </c>
      <c r="J1173" s="42" t="n">
        <f aca="false">(E1173-INDEX('Cohort Summary'!$F$5:$F$14,MATCH($A1173,'Cohort Summary'!$A$5:$A$14,0)))/INDEX('Cohort Summary'!$G$5:$G$14,MATCH($A1173,'Cohort Summary'!$A$5:$A$14,0))</f>
        <v>-0.00970873786407746</v>
      </c>
      <c r="K1173" s="42" t="n">
        <f aca="false">(F1173-INDEX('Cohort Summary'!$H$5:$H$14,MATCH($A1173,'Cohort Summary'!$A$5:$A$14,0)))/INDEX('Cohort Summary'!$I$5:$I$14,MATCH($A1173,'Cohort Summary'!$A$5:$A$14,0))</f>
        <v>0.70486111111111</v>
      </c>
      <c r="L1173" s="42" t="n">
        <f aca="false">(G1173-INDEX('Cohort Summary'!$J$5:$J$14,MATCH($A1173,'Cohort Summary'!$A$5:$A$14,0)))/INDEX('Cohort Summary'!$K$5:$K$14,MATCH($A1173,'Cohort Summary'!$A$5:$A$14,0))</f>
        <v>0.944444444444441</v>
      </c>
      <c r="M1173" s="42" t="n">
        <f aca="false">MAX(I1173:K1173)</f>
        <v>0.70486111111111</v>
      </c>
      <c r="N1173" s="27" t="s">
        <v>197</v>
      </c>
      <c r="O1173" s="27"/>
      <c r="P1173" s="27" t="str">
        <f aca="false">A1173&amp;"|"&amp;N1173</f>
        <v>NURSE-06|normal</v>
      </c>
    </row>
    <row r="1174" customFormat="false" ht="15" hidden="false" customHeight="true" outlineLevel="0" collapsed="false">
      <c r="A1174" s="27" t="s">
        <v>91</v>
      </c>
      <c r="B1174" s="41" t="n">
        <v>46303.3513888889</v>
      </c>
      <c r="C1174" s="27" t="s">
        <v>200</v>
      </c>
      <c r="D1174" s="27" t="n">
        <v>38.3</v>
      </c>
      <c r="E1174" s="27" t="n">
        <v>20.2</v>
      </c>
      <c r="F1174" s="27" t="n">
        <v>30.8</v>
      </c>
      <c r="G1174" s="27" t="n">
        <v>33</v>
      </c>
      <c r="H1174" s="27" t="s">
        <v>196</v>
      </c>
      <c r="I1174" s="42" t="n">
        <f aca="false">(D1174-INDEX('Cohort Summary'!$D$5:$D$14,MATCH($A1174,'Cohort Summary'!$A$5:$A$14,0)))/INDEX('Cohort Summary'!$E$5:$E$14,MATCH($A1174,'Cohort Summary'!$A$5:$A$14,0))</f>
        <v>-1.34246575342466</v>
      </c>
      <c r="J1174" s="42" t="n">
        <f aca="false">(E1174-INDEX('Cohort Summary'!$F$5:$F$14,MATCH($A1174,'Cohort Summary'!$A$5:$A$14,0)))/INDEX('Cohort Summary'!$G$5:$G$14,MATCH($A1174,'Cohort Summary'!$A$5:$A$14,0))</f>
        <v>-0.737864077669903</v>
      </c>
      <c r="K1174" s="42" t="n">
        <f aca="false">(F1174-INDEX('Cohort Summary'!$H$5:$H$14,MATCH($A1174,'Cohort Summary'!$A$5:$A$14,0)))/INDEX('Cohort Summary'!$I$5:$I$14,MATCH($A1174,'Cohort Summary'!$A$5:$A$14,0))</f>
        <v>0.565972222222222</v>
      </c>
      <c r="L1174" s="42" t="n">
        <f aca="false">(G1174-INDEX('Cohort Summary'!$J$5:$J$14,MATCH($A1174,'Cohort Summary'!$A$5:$A$14,0)))/INDEX('Cohort Summary'!$K$5:$K$14,MATCH($A1174,'Cohort Summary'!$A$5:$A$14,0))</f>
        <v>0.203703703703703</v>
      </c>
      <c r="M1174" s="42" t="n">
        <f aca="false">MAX(I1174:K1174)</f>
        <v>0.565972222222222</v>
      </c>
      <c r="N1174" s="27" t="s">
        <v>197</v>
      </c>
      <c r="O1174" s="27"/>
      <c r="P1174" s="27" t="str">
        <f aca="false">A1174&amp;"|"&amp;N1174</f>
        <v>NURSE-06|normal</v>
      </c>
    </row>
    <row r="1175" customFormat="false" ht="15" hidden="false" customHeight="true" outlineLevel="0" collapsed="false">
      <c r="A1175" s="27" t="s">
        <v>91</v>
      </c>
      <c r="B1175" s="41" t="n">
        <v>46303.3517361111</v>
      </c>
      <c r="C1175" s="27" t="s">
        <v>200</v>
      </c>
      <c r="D1175" s="27" t="n">
        <v>44.9</v>
      </c>
      <c r="E1175" s="27" t="n">
        <v>24.6</v>
      </c>
      <c r="F1175" s="27" t="n">
        <v>32.3</v>
      </c>
      <c r="G1175" s="27" t="n">
        <v>33.2</v>
      </c>
      <c r="H1175" s="27" t="s">
        <v>196</v>
      </c>
      <c r="I1175" s="42" t="n">
        <f aca="false">(D1175-INDEX('Cohort Summary'!$D$5:$D$14,MATCH($A1175,'Cohort Summary'!$A$5:$A$14,0)))/INDEX('Cohort Summary'!$E$5:$E$14,MATCH($A1175,'Cohort Summary'!$A$5:$A$14,0))</f>
        <v>0.917808219178082</v>
      </c>
      <c r="J1175" s="42" t="n">
        <f aca="false">(E1175-INDEX('Cohort Summary'!$F$5:$F$14,MATCH($A1175,'Cohort Summary'!$A$5:$A$14,0)))/INDEX('Cohort Summary'!$G$5:$G$14,MATCH($A1175,'Cohort Summary'!$A$5:$A$14,0))</f>
        <v>1.39805825242719</v>
      </c>
      <c r="K1175" s="42" t="n">
        <f aca="false">(F1175-INDEX('Cohort Summary'!$H$5:$H$14,MATCH($A1175,'Cohort Summary'!$A$5:$A$14,0)))/INDEX('Cohort Summary'!$I$5:$I$14,MATCH($A1175,'Cohort Summary'!$A$5:$A$14,0))</f>
        <v>1.08680555555555</v>
      </c>
      <c r="L1175" s="42" t="n">
        <f aca="false">(G1175-INDEX('Cohort Summary'!$J$5:$J$14,MATCH($A1175,'Cohort Summary'!$A$5:$A$14,0)))/INDEX('Cohort Summary'!$K$5:$K$14,MATCH($A1175,'Cohort Summary'!$A$5:$A$14,0))</f>
        <v>0.574074074074078</v>
      </c>
      <c r="M1175" s="42" t="n">
        <f aca="false">MAX(I1175:K1175)</f>
        <v>1.39805825242719</v>
      </c>
      <c r="N1175" s="27" t="s">
        <v>197</v>
      </c>
      <c r="O1175" s="27"/>
      <c r="P1175" s="27" t="str">
        <f aca="false">A1175&amp;"|"&amp;N1175</f>
        <v>NURSE-06|normal</v>
      </c>
    </row>
    <row r="1176" customFormat="false" ht="15" hidden="false" customHeight="true" outlineLevel="0" collapsed="false">
      <c r="A1176" s="27" t="s">
        <v>91</v>
      </c>
      <c r="B1176" s="41" t="n">
        <v>46303.3520833333</v>
      </c>
      <c r="C1176" s="27" t="s">
        <v>200</v>
      </c>
      <c r="D1176" s="27" t="n">
        <v>45.3</v>
      </c>
      <c r="E1176" s="27" t="n">
        <v>22</v>
      </c>
      <c r="F1176" s="27" t="n">
        <v>31.5</v>
      </c>
      <c r="G1176" s="27" t="n">
        <v>32.6</v>
      </c>
      <c r="H1176" s="27" t="s">
        <v>199</v>
      </c>
      <c r="I1176" s="42" t="n">
        <f aca="false">(D1176-INDEX('Cohort Summary'!$D$5:$D$14,MATCH($A1176,'Cohort Summary'!$A$5:$A$14,0)))/INDEX('Cohort Summary'!$E$5:$E$14,MATCH($A1176,'Cohort Summary'!$A$5:$A$14,0))</f>
        <v>1.05479452054794</v>
      </c>
      <c r="J1176" s="42" t="n">
        <f aca="false">(E1176-INDEX('Cohort Summary'!$F$5:$F$14,MATCH($A1176,'Cohort Summary'!$A$5:$A$14,0)))/INDEX('Cohort Summary'!$G$5:$G$14,MATCH($A1176,'Cohort Summary'!$A$5:$A$14,0))</f>
        <v>0.135922330097088</v>
      </c>
      <c r="K1176" s="42" t="n">
        <f aca="false">(F1176-INDEX('Cohort Summary'!$H$5:$H$14,MATCH($A1176,'Cohort Summary'!$A$5:$A$14,0)))/INDEX('Cohort Summary'!$I$5:$I$14,MATCH($A1176,'Cohort Summary'!$A$5:$A$14,0))</f>
        <v>0.809027777777777</v>
      </c>
      <c r="L1176" s="42" t="n">
        <f aca="false">(G1176-INDEX('Cohort Summary'!$J$5:$J$14,MATCH($A1176,'Cohort Summary'!$A$5:$A$14,0)))/INDEX('Cohort Summary'!$K$5:$K$14,MATCH($A1176,'Cohort Summary'!$A$5:$A$14,0))</f>
        <v>-0.537037037037035</v>
      </c>
      <c r="M1176" s="42" t="n">
        <f aca="false">MAX(I1176:K1176)</f>
        <v>1.05479452054794</v>
      </c>
      <c r="N1176" s="27" t="s">
        <v>197</v>
      </c>
      <c r="O1176" s="27"/>
      <c r="P1176" s="27" t="str">
        <f aca="false">A1176&amp;"|"&amp;N1176</f>
        <v>NURSE-06|normal</v>
      </c>
    </row>
    <row r="1177" customFormat="false" ht="15" hidden="false" customHeight="true" outlineLevel="0" collapsed="false">
      <c r="A1177" s="27" t="s">
        <v>91</v>
      </c>
      <c r="B1177" s="41" t="n">
        <v>46303.3524305556</v>
      </c>
      <c r="C1177" s="27" t="s">
        <v>200</v>
      </c>
      <c r="D1177" s="27" t="n">
        <v>42.5</v>
      </c>
      <c r="E1177" s="27" t="n">
        <v>19.1</v>
      </c>
      <c r="F1177" s="27" t="n">
        <v>32.6</v>
      </c>
      <c r="G1177" s="27" t="n">
        <v>33.8</v>
      </c>
      <c r="H1177" s="27" t="s">
        <v>198</v>
      </c>
      <c r="I1177" s="42" t="n">
        <f aca="false">(D1177-INDEX('Cohort Summary'!$D$5:$D$14,MATCH($A1177,'Cohort Summary'!$A$5:$A$14,0)))/INDEX('Cohort Summary'!$E$5:$E$14,MATCH($A1177,'Cohort Summary'!$A$5:$A$14,0))</f>
        <v>0.0958904109589045</v>
      </c>
      <c r="J1177" s="42" t="n">
        <f aca="false">(E1177-INDEX('Cohort Summary'!$F$5:$F$14,MATCH($A1177,'Cohort Summary'!$A$5:$A$14,0)))/INDEX('Cohort Summary'!$G$5:$G$14,MATCH($A1177,'Cohort Summary'!$A$5:$A$14,0))</f>
        <v>-1.27184466019417</v>
      </c>
      <c r="K1177" s="42" t="n">
        <f aca="false">(F1177-INDEX('Cohort Summary'!$H$5:$H$14,MATCH($A1177,'Cohort Summary'!$A$5:$A$14,0)))/INDEX('Cohort Summary'!$I$5:$I$14,MATCH($A1177,'Cohort Summary'!$A$5:$A$14,0))</f>
        <v>1.19097222222222</v>
      </c>
      <c r="L1177" s="42" t="n">
        <f aca="false">(G1177-INDEX('Cohort Summary'!$J$5:$J$14,MATCH($A1177,'Cohort Summary'!$A$5:$A$14,0)))/INDEX('Cohort Summary'!$K$5:$K$14,MATCH($A1177,'Cohort Summary'!$A$5:$A$14,0))</f>
        <v>1.68518518518518</v>
      </c>
      <c r="M1177" s="42" t="n">
        <f aca="false">MAX(I1177:K1177)</f>
        <v>1.19097222222222</v>
      </c>
      <c r="N1177" s="27" t="s">
        <v>197</v>
      </c>
      <c r="O1177" s="27"/>
      <c r="P1177" s="27" t="str">
        <f aca="false">A1177&amp;"|"&amp;N1177</f>
        <v>NURSE-06|normal</v>
      </c>
    </row>
    <row r="1178" customFormat="false" ht="15" hidden="false" customHeight="true" outlineLevel="0" collapsed="false">
      <c r="A1178" s="27" t="s">
        <v>91</v>
      </c>
      <c r="B1178" s="41" t="n">
        <v>46303.3527777778</v>
      </c>
      <c r="C1178" s="27" t="s">
        <v>200</v>
      </c>
      <c r="D1178" s="27" t="n">
        <v>43.1</v>
      </c>
      <c r="E1178" s="27" t="n">
        <v>18.2</v>
      </c>
      <c r="F1178" s="27" t="n">
        <v>41.3</v>
      </c>
      <c r="G1178" s="27" t="n">
        <v>33.8</v>
      </c>
      <c r="H1178" s="27" t="s">
        <v>196</v>
      </c>
      <c r="I1178" s="42" t="n">
        <f aca="false">(D1178-INDEX('Cohort Summary'!$D$5:$D$14,MATCH($A1178,'Cohort Summary'!$A$5:$A$14,0)))/INDEX('Cohort Summary'!$E$5:$E$14,MATCH($A1178,'Cohort Summary'!$A$5:$A$14,0))</f>
        <v>0.3013698630137</v>
      </c>
      <c r="J1178" s="42" t="n">
        <f aca="false">(E1178-INDEX('Cohort Summary'!$F$5:$F$14,MATCH($A1178,'Cohort Summary'!$A$5:$A$14,0)))/INDEX('Cohort Summary'!$G$5:$G$14,MATCH($A1178,'Cohort Summary'!$A$5:$A$14,0))</f>
        <v>-1.70873786407767</v>
      </c>
      <c r="K1178" s="42" t="n">
        <f aca="false">(F1178-INDEX('Cohort Summary'!$H$5:$H$14,MATCH($A1178,'Cohort Summary'!$A$5:$A$14,0)))/INDEX('Cohort Summary'!$I$5:$I$14,MATCH($A1178,'Cohort Summary'!$A$5:$A$14,0))</f>
        <v>4.21180555555555</v>
      </c>
      <c r="L1178" s="42" t="n">
        <f aca="false">(G1178-INDEX('Cohort Summary'!$J$5:$J$14,MATCH($A1178,'Cohort Summary'!$A$5:$A$14,0)))/INDEX('Cohort Summary'!$K$5:$K$14,MATCH($A1178,'Cohort Summary'!$A$5:$A$14,0))</f>
        <v>1.68518518518518</v>
      </c>
      <c r="M1178" s="42" t="n">
        <f aca="false">MAX(I1178:K1178)</f>
        <v>4.21180555555555</v>
      </c>
      <c r="N1178" s="27" t="s">
        <v>201</v>
      </c>
      <c r="O1178" s="27" t="s">
        <v>268</v>
      </c>
      <c r="P1178" s="27" t="str">
        <f aca="false">A1178&amp;"|"&amp;N1178</f>
        <v>NURSE-06|caution</v>
      </c>
    </row>
    <row r="1179" customFormat="false" ht="15" hidden="false" customHeight="true" outlineLevel="0" collapsed="false">
      <c r="A1179" s="27" t="s">
        <v>91</v>
      </c>
      <c r="B1179" s="41" t="n">
        <v>46303.353125</v>
      </c>
      <c r="C1179" s="27" t="s">
        <v>200</v>
      </c>
      <c r="D1179" s="27" t="n">
        <v>38.5</v>
      </c>
      <c r="E1179" s="27" t="n">
        <v>23.6</v>
      </c>
      <c r="F1179" s="27" t="n">
        <v>32.7</v>
      </c>
      <c r="G1179" s="27" t="n">
        <v>33.7</v>
      </c>
      <c r="H1179" s="27" t="s">
        <v>196</v>
      </c>
      <c r="I1179" s="42" t="n">
        <f aca="false">(D1179-INDEX('Cohort Summary'!$D$5:$D$14,MATCH($A1179,'Cohort Summary'!$A$5:$A$14,0)))/INDEX('Cohort Summary'!$E$5:$E$14,MATCH($A1179,'Cohort Summary'!$A$5:$A$14,0))</f>
        <v>-1.27397260273973</v>
      </c>
      <c r="J1179" s="42" t="n">
        <f aca="false">(E1179-INDEX('Cohort Summary'!$F$5:$F$14,MATCH($A1179,'Cohort Summary'!$A$5:$A$14,0)))/INDEX('Cohort Summary'!$G$5:$G$14,MATCH($A1179,'Cohort Summary'!$A$5:$A$14,0))</f>
        <v>0.912621359223302</v>
      </c>
      <c r="K1179" s="42" t="n">
        <f aca="false">(F1179-INDEX('Cohort Summary'!$H$5:$H$14,MATCH($A1179,'Cohort Summary'!$A$5:$A$14,0)))/INDEX('Cohort Summary'!$I$5:$I$14,MATCH($A1179,'Cohort Summary'!$A$5:$A$14,0))</f>
        <v>1.22569444444444</v>
      </c>
      <c r="L1179" s="42" t="n">
        <f aca="false">(G1179-INDEX('Cohort Summary'!$J$5:$J$14,MATCH($A1179,'Cohort Summary'!$A$5:$A$14,0)))/INDEX('Cohort Summary'!$K$5:$K$14,MATCH($A1179,'Cohort Summary'!$A$5:$A$14,0))</f>
        <v>1.5</v>
      </c>
      <c r="M1179" s="42" t="n">
        <f aca="false">MAX(I1179:K1179)</f>
        <v>1.22569444444444</v>
      </c>
      <c r="N1179" s="27" t="s">
        <v>197</v>
      </c>
      <c r="O1179" s="27"/>
      <c r="P1179" s="27" t="str">
        <f aca="false">A1179&amp;"|"&amp;N1179</f>
        <v>NURSE-06|normal</v>
      </c>
    </row>
    <row r="1180" customFormat="false" ht="15" hidden="false" customHeight="true" outlineLevel="0" collapsed="false">
      <c r="A1180" s="27" t="s">
        <v>91</v>
      </c>
      <c r="B1180" s="41" t="n">
        <v>46303.3534722222</v>
      </c>
      <c r="C1180" s="27" t="s">
        <v>200</v>
      </c>
      <c r="D1180" s="27" t="n">
        <v>37.2</v>
      </c>
      <c r="E1180" s="27" t="n">
        <v>22.3</v>
      </c>
      <c r="F1180" s="27" t="n">
        <v>34.3</v>
      </c>
      <c r="G1180" s="27" t="n">
        <v>32.1</v>
      </c>
      <c r="H1180" s="27" t="s">
        <v>196</v>
      </c>
      <c r="I1180" s="42" t="n">
        <f aca="false">(D1180-INDEX('Cohort Summary'!$D$5:$D$14,MATCH($A1180,'Cohort Summary'!$A$5:$A$14,0)))/INDEX('Cohort Summary'!$E$5:$E$14,MATCH($A1180,'Cohort Summary'!$A$5:$A$14,0))</f>
        <v>-1.71917808219178</v>
      </c>
      <c r="J1180" s="42" t="n">
        <f aca="false">(E1180-INDEX('Cohort Summary'!$F$5:$F$14,MATCH($A1180,'Cohort Summary'!$A$5:$A$14,0)))/INDEX('Cohort Summary'!$G$5:$G$14,MATCH($A1180,'Cohort Summary'!$A$5:$A$14,0))</f>
        <v>0.281553398058253</v>
      </c>
      <c r="K1180" s="42" t="n">
        <f aca="false">(F1180-INDEX('Cohort Summary'!$H$5:$H$14,MATCH($A1180,'Cohort Summary'!$A$5:$A$14,0)))/INDEX('Cohort Summary'!$I$5:$I$14,MATCH($A1180,'Cohort Summary'!$A$5:$A$14,0))</f>
        <v>1.78125</v>
      </c>
      <c r="L1180" s="42" t="n">
        <f aca="false">(G1180-INDEX('Cohort Summary'!$J$5:$J$14,MATCH($A1180,'Cohort Summary'!$A$5:$A$14,0)))/INDEX('Cohort Summary'!$K$5:$K$14,MATCH($A1180,'Cohort Summary'!$A$5:$A$14,0))</f>
        <v>-1.46296296296296</v>
      </c>
      <c r="M1180" s="42" t="n">
        <f aca="false">MAX(I1180:K1180)</f>
        <v>1.78125</v>
      </c>
      <c r="N1180" s="27" t="s">
        <v>197</v>
      </c>
      <c r="O1180" s="27"/>
      <c r="P1180" s="27" t="str">
        <f aca="false">A1180&amp;"|"&amp;N1180</f>
        <v>NURSE-06|normal</v>
      </c>
    </row>
    <row r="1181" customFormat="false" ht="15" hidden="false" customHeight="true" outlineLevel="0" collapsed="false">
      <c r="A1181" s="27" t="s">
        <v>91</v>
      </c>
      <c r="B1181" s="41" t="n">
        <v>46303.3538194444</v>
      </c>
      <c r="C1181" s="27" t="s">
        <v>200</v>
      </c>
      <c r="D1181" s="27" t="n">
        <v>41.5</v>
      </c>
      <c r="E1181" s="27" t="n">
        <v>19.7</v>
      </c>
      <c r="F1181" s="27" t="n">
        <v>33.8</v>
      </c>
      <c r="G1181" s="27" t="n">
        <v>32.5</v>
      </c>
      <c r="H1181" s="27" t="s">
        <v>196</v>
      </c>
      <c r="I1181" s="42" t="n">
        <f aca="false">(D1181-INDEX('Cohort Summary'!$D$5:$D$14,MATCH($A1181,'Cohort Summary'!$A$5:$A$14,0)))/INDEX('Cohort Summary'!$E$5:$E$14,MATCH($A1181,'Cohort Summary'!$A$5:$A$14,0))</f>
        <v>-0.246575342465753</v>
      </c>
      <c r="J1181" s="42" t="n">
        <f aca="false">(E1181-INDEX('Cohort Summary'!$F$5:$F$14,MATCH($A1181,'Cohort Summary'!$A$5:$A$14,0)))/INDEX('Cohort Summary'!$G$5:$G$14,MATCH($A1181,'Cohort Summary'!$A$5:$A$14,0))</f>
        <v>-0.980582524271844</v>
      </c>
      <c r="K1181" s="42" t="n">
        <f aca="false">(F1181-INDEX('Cohort Summary'!$H$5:$H$14,MATCH($A1181,'Cohort Summary'!$A$5:$A$14,0)))/INDEX('Cohort Summary'!$I$5:$I$14,MATCH($A1181,'Cohort Summary'!$A$5:$A$14,0))</f>
        <v>1.60763888888889</v>
      </c>
      <c r="L1181" s="42" t="n">
        <f aca="false">(G1181-INDEX('Cohort Summary'!$J$5:$J$14,MATCH($A1181,'Cohort Summary'!$A$5:$A$14,0)))/INDEX('Cohort Summary'!$K$5:$K$14,MATCH($A1181,'Cohort Summary'!$A$5:$A$14,0))</f>
        <v>-0.722222222222223</v>
      </c>
      <c r="M1181" s="42" t="n">
        <f aca="false">MAX(I1181:K1181)</f>
        <v>1.60763888888889</v>
      </c>
      <c r="N1181" s="27" t="s">
        <v>197</v>
      </c>
      <c r="O1181" s="27"/>
      <c r="P1181" s="27" t="str">
        <f aca="false">A1181&amp;"|"&amp;N1181</f>
        <v>NURSE-06|normal</v>
      </c>
    </row>
    <row r="1182" customFormat="false" ht="15" hidden="false" customHeight="true" outlineLevel="0" collapsed="false">
      <c r="A1182" s="27" t="s">
        <v>91</v>
      </c>
      <c r="B1182" s="41" t="n">
        <v>46303.3541666667</v>
      </c>
      <c r="C1182" s="27" t="s">
        <v>200</v>
      </c>
      <c r="D1182" s="27" t="n">
        <v>40.4</v>
      </c>
      <c r="E1182" s="27" t="n">
        <v>18.2</v>
      </c>
      <c r="F1182" s="27" t="n">
        <v>27.4</v>
      </c>
      <c r="G1182" s="27" t="n">
        <v>32</v>
      </c>
      <c r="H1182" s="27" t="s">
        <v>198</v>
      </c>
      <c r="I1182" s="42" t="n">
        <f aca="false">(D1182-INDEX('Cohort Summary'!$D$5:$D$14,MATCH($A1182,'Cohort Summary'!$A$5:$A$14,0)))/INDEX('Cohort Summary'!$E$5:$E$14,MATCH($A1182,'Cohort Summary'!$A$5:$A$14,0))</f>
        <v>-0.623287671232877</v>
      </c>
      <c r="J1182" s="42" t="n">
        <f aca="false">(E1182-INDEX('Cohort Summary'!$F$5:$F$14,MATCH($A1182,'Cohort Summary'!$A$5:$A$14,0)))/INDEX('Cohort Summary'!$G$5:$G$14,MATCH($A1182,'Cohort Summary'!$A$5:$A$14,0))</f>
        <v>-1.70873786407767</v>
      </c>
      <c r="K1182" s="42" t="n">
        <f aca="false">(F1182-INDEX('Cohort Summary'!$H$5:$H$14,MATCH($A1182,'Cohort Summary'!$A$5:$A$14,0)))/INDEX('Cohort Summary'!$I$5:$I$14,MATCH($A1182,'Cohort Summary'!$A$5:$A$14,0))</f>
        <v>-0.614583333333335</v>
      </c>
      <c r="L1182" s="42" t="n">
        <f aca="false">(G1182-INDEX('Cohort Summary'!$J$5:$J$14,MATCH($A1182,'Cohort Summary'!$A$5:$A$14,0)))/INDEX('Cohort Summary'!$K$5:$K$14,MATCH($A1182,'Cohort Summary'!$A$5:$A$14,0))</f>
        <v>-1.64814814814815</v>
      </c>
      <c r="M1182" s="42" t="n">
        <f aca="false">MAX(I1182:K1182)</f>
        <v>-0.614583333333335</v>
      </c>
      <c r="N1182" s="27" t="s">
        <v>197</v>
      </c>
      <c r="O1182" s="27"/>
      <c r="P1182" s="27" t="str">
        <f aca="false">A1182&amp;"|"&amp;N1182</f>
        <v>NURSE-06|normal</v>
      </c>
    </row>
    <row r="1183" customFormat="false" ht="15" hidden="false" customHeight="true" outlineLevel="0" collapsed="false">
      <c r="A1183" s="27" t="s">
        <v>91</v>
      </c>
      <c r="B1183" s="41" t="n">
        <v>46303.3545138889</v>
      </c>
      <c r="C1183" s="27" t="s">
        <v>200</v>
      </c>
      <c r="D1183" s="27" t="n">
        <v>37.2</v>
      </c>
      <c r="E1183" s="27" t="n">
        <v>23</v>
      </c>
      <c r="F1183" s="27" t="n">
        <v>24.5</v>
      </c>
      <c r="G1183" s="27" t="n">
        <v>33.3</v>
      </c>
      <c r="H1183" s="27" t="s">
        <v>196</v>
      </c>
      <c r="I1183" s="42" t="n">
        <f aca="false">(D1183-INDEX('Cohort Summary'!$D$5:$D$14,MATCH($A1183,'Cohort Summary'!$A$5:$A$14,0)))/INDEX('Cohort Summary'!$E$5:$E$14,MATCH($A1183,'Cohort Summary'!$A$5:$A$14,0))</f>
        <v>-1.71917808219178</v>
      </c>
      <c r="J1183" s="42" t="n">
        <f aca="false">(E1183-INDEX('Cohort Summary'!$F$5:$F$14,MATCH($A1183,'Cohort Summary'!$A$5:$A$14,0)))/INDEX('Cohort Summary'!$G$5:$G$14,MATCH($A1183,'Cohort Summary'!$A$5:$A$14,0))</f>
        <v>0.621359223300971</v>
      </c>
      <c r="K1183" s="42" t="n">
        <f aca="false">(F1183-INDEX('Cohort Summary'!$H$5:$H$14,MATCH($A1183,'Cohort Summary'!$A$5:$A$14,0)))/INDEX('Cohort Summary'!$I$5:$I$14,MATCH($A1183,'Cohort Summary'!$A$5:$A$14,0))</f>
        <v>-1.62152777777778</v>
      </c>
      <c r="L1183" s="42" t="n">
        <f aca="false">(G1183-INDEX('Cohort Summary'!$J$5:$J$14,MATCH($A1183,'Cohort Summary'!$A$5:$A$14,0)))/INDEX('Cohort Summary'!$K$5:$K$14,MATCH($A1183,'Cohort Summary'!$A$5:$A$14,0))</f>
        <v>0.759259259259253</v>
      </c>
      <c r="M1183" s="42" t="n">
        <f aca="false">MAX(I1183:K1183)</f>
        <v>0.621359223300971</v>
      </c>
      <c r="N1183" s="27" t="s">
        <v>197</v>
      </c>
      <c r="O1183" s="27"/>
      <c r="P1183" s="27" t="str">
        <f aca="false">A1183&amp;"|"&amp;N1183</f>
        <v>NURSE-06|normal</v>
      </c>
    </row>
    <row r="1184" customFormat="false" ht="15" hidden="false" customHeight="true" outlineLevel="0" collapsed="false">
      <c r="A1184" s="27" t="s">
        <v>91</v>
      </c>
      <c r="B1184" s="41" t="n">
        <v>46303.3548611111</v>
      </c>
      <c r="C1184" s="27" t="s">
        <v>200</v>
      </c>
      <c r="D1184" s="27" t="n">
        <v>39.8</v>
      </c>
      <c r="E1184" s="27" t="n">
        <v>24.4</v>
      </c>
      <c r="F1184" s="27" t="n">
        <v>33.1</v>
      </c>
      <c r="G1184" s="27" t="n">
        <v>33.6</v>
      </c>
      <c r="H1184" s="27" t="s">
        <v>199</v>
      </c>
      <c r="I1184" s="42" t="n">
        <f aca="false">(D1184-INDEX('Cohort Summary'!$D$5:$D$14,MATCH($A1184,'Cohort Summary'!$A$5:$A$14,0)))/INDEX('Cohort Summary'!$E$5:$E$14,MATCH($A1184,'Cohort Summary'!$A$5:$A$14,0))</f>
        <v>-0.828767123287672</v>
      </c>
      <c r="J1184" s="42" t="n">
        <f aca="false">(E1184-INDEX('Cohort Summary'!$F$5:$F$14,MATCH($A1184,'Cohort Summary'!$A$5:$A$14,0)))/INDEX('Cohort Summary'!$G$5:$G$14,MATCH($A1184,'Cohort Summary'!$A$5:$A$14,0))</f>
        <v>1.30097087378641</v>
      </c>
      <c r="K1184" s="42" t="n">
        <f aca="false">(F1184-INDEX('Cohort Summary'!$H$5:$H$14,MATCH($A1184,'Cohort Summary'!$A$5:$A$14,0)))/INDEX('Cohort Summary'!$I$5:$I$14,MATCH($A1184,'Cohort Summary'!$A$5:$A$14,0))</f>
        <v>1.36458333333333</v>
      </c>
      <c r="L1184" s="42" t="n">
        <f aca="false">(G1184-INDEX('Cohort Summary'!$J$5:$J$14,MATCH($A1184,'Cohort Summary'!$A$5:$A$14,0)))/INDEX('Cohort Summary'!$K$5:$K$14,MATCH($A1184,'Cohort Summary'!$A$5:$A$14,0))</f>
        <v>1.31481481481482</v>
      </c>
      <c r="M1184" s="42" t="n">
        <f aca="false">MAX(I1184:K1184)</f>
        <v>1.36458333333333</v>
      </c>
      <c r="N1184" s="27" t="s">
        <v>197</v>
      </c>
      <c r="O1184" s="27"/>
      <c r="P1184" s="27" t="str">
        <f aca="false">A1184&amp;"|"&amp;N1184</f>
        <v>NURSE-06|normal</v>
      </c>
    </row>
    <row r="1185" customFormat="false" ht="15" hidden="false" customHeight="true" outlineLevel="0" collapsed="false">
      <c r="A1185" s="27" t="s">
        <v>91</v>
      </c>
      <c r="B1185" s="41" t="n">
        <v>46303.3552083333</v>
      </c>
      <c r="C1185" s="27" t="s">
        <v>200</v>
      </c>
      <c r="D1185" s="27" t="n">
        <v>43</v>
      </c>
      <c r="E1185" s="27" t="n">
        <v>24.8</v>
      </c>
      <c r="F1185" s="27" t="n">
        <v>29.5</v>
      </c>
      <c r="G1185" s="27" t="n">
        <v>31.9</v>
      </c>
      <c r="H1185" s="27" t="s">
        <v>198</v>
      </c>
      <c r="I1185" s="42" t="n">
        <f aca="false">(D1185-INDEX('Cohort Summary'!$D$5:$D$14,MATCH($A1185,'Cohort Summary'!$A$5:$A$14,0)))/INDEX('Cohort Summary'!$E$5:$E$14,MATCH($A1185,'Cohort Summary'!$A$5:$A$14,0))</f>
        <v>0.267123287671233</v>
      </c>
      <c r="J1185" s="42" t="n">
        <f aca="false">(E1185-INDEX('Cohort Summary'!$F$5:$F$14,MATCH($A1185,'Cohort Summary'!$A$5:$A$14,0)))/INDEX('Cohort Summary'!$G$5:$G$14,MATCH($A1185,'Cohort Summary'!$A$5:$A$14,0))</f>
        <v>1.49514563106796</v>
      </c>
      <c r="K1185" s="42" t="n">
        <f aca="false">(F1185-INDEX('Cohort Summary'!$H$5:$H$14,MATCH($A1185,'Cohort Summary'!$A$5:$A$14,0)))/INDEX('Cohort Summary'!$I$5:$I$14,MATCH($A1185,'Cohort Summary'!$A$5:$A$14,0))</f>
        <v>0.114583333333333</v>
      </c>
      <c r="L1185" s="42" t="n">
        <f aca="false">(G1185-INDEX('Cohort Summary'!$J$5:$J$14,MATCH($A1185,'Cohort Summary'!$A$5:$A$14,0)))/INDEX('Cohort Summary'!$K$5:$K$14,MATCH($A1185,'Cohort Summary'!$A$5:$A$14,0))</f>
        <v>-1.83333333333334</v>
      </c>
      <c r="M1185" s="42" t="n">
        <f aca="false">MAX(I1185:K1185)</f>
        <v>1.49514563106796</v>
      </c>
      <c r="N1185" s="27" t="s">
        <v>197</v>
      </c>
      <c r="O1185" s="27"/>
      <c r="P1185" s="27" t="str">
        <f aca="false">A1185&amp;"|"&amp;N1185</f>
        <v>NURSE-06|normal</v>
      </c>
    </row>
    <row r="1186" customFormat="false" ht="15" hidden="false" customHeight="true" outlineLevel="0" collapsed="false">
      <c r="A1186" s="27" t="s">
        <v>91</v>
      </c>
      <c r="B1186" s="41" t="n">
        <v>46303.3555555556</v>
      </c>
      <c r="C1186" s="27" t="s">
        <v>200</v>
      </c>
      <c r="D1186" s="27" t="n">
        <v>44.3</v>
      </c>
      <c r="E1186" s="27" t="n">
        <v>19.6</v>
      </c>
      <c r="F1186" s="27" t="n">
        <v>24.9</v>
      </c>
      <c r="G1186" s="27" t="n">
        <v>33.8</v>
      </c>
      <c r="H1186" s="27" t="s">
        <v>196</v>
      </c>
      <c r="I1186" s="42" t="n">
        <f aca="false">(D1186-INDEX('Cohort Summary'!$D$5:$D$14,MATCH($A1186,'Cohort Summary'!$A$5:$A$14,0)))/INDEX('Cohort Summary'!$E$5:$E$14,MATCH($A1186,'Cohort Summary'!$A$5:$A$14,0))</f>
        <v>0.712328767123287</v>
      </c>
      <c r="J1186" s="42" t="n">
        <f aca="false">(E1186-INDEX('Cohort Summary'!$F$5:$F$14,MATCH($A1186,'Cohort Summary'!$A$5:$A$14,0)))/INDEX('Cohort Summary'!$G$5:$G$14,MATCH($A1186,'Cohort Summary'!$A$5:$A$14,0))</f>
        <v>-1.02912621359223</v>
      </c>
      <c r="K1186" s="42" t="n">
        <f aca="false">(F1186-INDEX('Cohort Summary'!$H$5:$H$14,MATCH($A1186,'Cohort Summary'!$A$5:$A$14,0)))/INDEX('Cohort Summary'!$I$5:$I$14,MATCH($A1186,'Cohort Summary'!$A$5:$A$14,0))</f>
        <v>-1.48263888888889</v>
      </c>
      <c r="L1186" s="42" t="n">
        <f aca="false">(G1186-INDEX('Cohort Summary'!$J$5:$J$14,MATCH($A1186,'Cohort Summary'!$A$5:$A$14,0)))/INDEX('Cohort Summary'!$K$5:$K$14,MATCH($A1186,'Cohort Summary'!$A$5:$A$14,0))</f>
        <v>1.68518518518518</v>
      </c>
      <c r="M1186" s="42" t="n">
        <f aca="false">MAX(I1186:K1186)</f>
        <v>0.712328767123287</v>
      </c>
      <c r="N1186" s="27" t="s">
        <v>197</v>
      </c>
      <c r="O1186" s="27"/>
      <c r="P1186" s="27" t="str">
        <f aca="false">A1186&amp;"|"&amp;N1186</f>
        <v>NURSE-06|normal</v>
      </c>
    </row>
    <row r="1187" customFormat="false" ht="15" hidden="false" customHeight="true" outlineLevel="0" collapsed="false">
      <c r="A1187" s="27" t="s">
        <v>91</v>
      </c>
      <c r="B1187" s="41" t="n">
        <v>46303.3559027778</v>
      </c>
      <c r="C1187" s="27" t="s">
        <v>200</v>
      </c>
      <c r="D1187" s="27" t="n">
        <v>41.8</v>
      </c>
      <c r="E1187" s="27" t="n">
        <v>22.2</v>
      </c>
      <c r="F1187" s="27" t="n">
        <v>32.8</v>
      </c>
      <c r="G1187" s="27" t="n">
        <v>32.7</v>
      </c>
      <c r="H1187" s="27" t="s">
        <v>196</v>
      </c>
      <c r="I1187" s="42" t="n">
        <f aca="false">(D1187-INDEX('Cohort Summary'!$D$5:$D$14,MATCH($A1187,'Cohort Summary'!$A$5:$A$14,0)))/INDEX('Cohort Summary'!$E$5:$E$14,MATCH($A1187,'Cohort Summary'!$A$5:$A$14,0))</f>
        <v>-0.143835616438357</v>
      </c>
      <c r="J1187" s="42" t="n">
        <f aca="false">(E1187-INDEX('Cohort Summary'!$F$5:$F$14,MATCH($A1187,'Cohort Summary'!$A$5:$A$14,0)))/INDEX('Cohort Summary'!$G$5:$G$14,MATCH($A1187,'Cohort Summary'!$A$5:$A$14,0))</f>
        <v>0.233009708737864</v>
      </c>
      <c r="K1187" s="42" t="n">
        <f aca="false">(F1187-INDEX('Cohort Summary'!$H$5:$H$14,MATCH($A1187,'Cohort Summary'!$A$5:$A$14,0)))/INDEX('Cohort Summary'!$I$5:$I$14,MATCH($A1187,'Cohort Summary'!$A$5:$A$14,0))</f>
        <v>1.26041666666667</v>
      </c>
      <c r="L1187" s="42" t="n">
        <f aca="false">(G1187-INDEX('Cohort Summary'!$J$5:$J$14,MATCH($A1187,'Cohort Summary'!$A$5:$A$14,0)))/INDEX('Cohort Summary'!$K$5:$K$14,MATCH($A1187,'Cohort Summary'!$A$5:$A$14,0))</f>
        <v>-0.351851851851848</v>
      </c>
      <c r="M1187" s="42" t="n">
        <f aca="false">MAX(I1187:K1187)</f>
        <v>1.26041666666667</v>
      </c>
      <c r="N1187" s="27" t="s">
        <v>197</v>
      </c>
      <c r="O1187" s="27"/>
      <c r="P1187" s="27" t="str">
        <f aca="false">A1187&amp;"|"&amp;N1187</f>
        <v>NURSE-06|normal</v>
      </c>
    </row>
    <row r="1188" customFormat="false" ht="15" hidden="false" customHeight="true" outlineLevel="0" collapsed="false">
      <c r="A1188" s="27" t="s">
        <v>91</v>
      </c>
      <c r="B1188" s="41" t="n">
        <v>46303.35625</v>
      </c>
      <c r="C1188" s="27" t="s">
        <v>200</v>
      </c>
      <c r="D1188" s="27" t="n">
        <v>41.6</v>
      </c>
      <c r="E1188" s="27" t="n">
        <v>23.5</v>
      </c>
      <c r="F1188" s="27" t="n">
        <v>28.6</v>
      </c>
      <c r="G1188" s="27" t="n">
        <v>32.3</v>
      </c>
      <c r="H1188" s="27" t="s">
        <v>198</v>
      </c>
      <c r="I1188" s="42" t="n">
        <f aca="false">(D1188-INDEX('Cohort Summary'!$D$5:$D$14,MATCH($A1188,'Cohort Summary'!$A$5:$A$14,0)))/INDEX('Cohort Summary'!$E$5:$E$14,MATCH($A1188,'Cohort Summary'!$A$5:$A$14,0))</f>
        <v>-0.212328767123287</v>
      </c>
      <c r="J1188" s="42" t="n">
        <f aca="false">(E1188-INDEX('Cohort Summary'!$F$5:$F$14,MATCH($A1188,'Cohort Summary'!$A$5:$A$14,0)))/INDEX('Cohort Summary'!$G$5:$G$14,MATCH($A1188,'Cohort Summary'!$A$5:$A$14,0))</f>
        <v>0.864077669902913</v>
      </c>
      <c r="K1188" s="42" t="n">
        <f aca="false">(F1188-INDEX('Cohort Summary'!$H$5:$H$14,MATCH($A1188,'Cohort Summary'!$A$5:$A$14,0)))/INDEX('Cohort Summary'!$I$5:$I$14,MATCH($A1188,'Cohort Summary'!$A$5:$A$14,0))</f>
        <v>-0.197916666666667</v>
      </c>
      <c r="L1188" s="42" t="n">
        <f aca="false">(G1188-INDEX('Cohort Summary'!$J$5:$J$14,MATCH($A1188,'Cohort Summary'!$A$5:$A$14,0)))/INDEX('Cohort Summary'!$K$5:$K$14,MATCH($A1188,'Cohort Summary'!$A$5:$A$14,0))</f>
        <v>-1.0925925925926</v>
      </c>
      <c r="M1188" s="42" t="n">
        <f aca="false">MAX(I1188:K1188)</f>
        <v>0.864077669902913</v>
      </c>
      <c r="N1188" s="27" t="s">
        <v>197</v>
      </c>
      <c r="O1188" s="27"/>
      <c r="P1188" s="27" t="str">
        <f aca="false">A1188&amp;"|"&amp;N1188</f>
        <v>NURSE-06|normal</v>
      </c>
    </row>
    <row r="1189" customFormat="false" ht="15" hidden="false" customHeight="true" outlineLevel="0" collapsed="false">
      <c r="A1189" s="27" t="s">
        <v>91</v>
      </c>
      <c r="B1189" s="41" t="n">
        <v>46303.3565972222</v>
      </c>
      <c r="C1189" s="27" t="s">
        <v>200</v>
      </c>
      <c r="D1189" s="27" t="n">
        <v>39.8</v>
      </c>
      <c r="E1189" s="27" t="n">
        <v>23.2</v>
      </c>
      <c r="F1189" s="27" t="n">
        <v>32.3</v>
      </c>
      <c r="G1189" s="27" t="n">
        <v>32.4</v>
      </c>
      <c r="H1189" s="27" t="s">
        <v>196</v>
      </c>
      <c r="I1189" s="42" t="n">
        <f aca="false">(D1189-INDEX('Cohort Summary'!$D$5:$D$14,MATCH($A1189,'Cohort Summary'!$A$5:$A$14,0)))/INDEX('Cohort Summary'!$E$5:$E$14,MATCH($A1189,'Cohort Summary'!$A$5:$A$14,0))</f>
        <v>-0.828767123287672</v>
      </c>
      <c r="J1189" s="42" t="n">
        <f aca="false">(E1189-INDEX('Cohort Summary'!$F$5:$F$14,MATCH($A1189,'Cohort Summary'!$A$5:$A$14,0)))/INDEX('Cohort Summary'!$G$5:$G$14,MATCH($A1189,'Cohort Summary'!$A$5:$A$14,0))</f>
        <v>0.718446601941748</v>
      </c>
      <c r="K1189" s="42" t="n">
        <f aca="false">(F1189-INDEX('Cohort Summary'!$H$5:$H$14,MATCH($A1189,'Cohort Summary'!$A$5:$A$14,0)))/INDEX('Cohort Summary'!$I$5:$I$14,MATCH($A1189,'Cohort Summary'!$A$5:$A$14,0))</f>
        <v>1.08680555555555</v>
      </c>
      <c r="L1189" s="42" t="n">
        <f aca="false">(G1189-INDEX('Cohort Summary'!$J$5:$J$14,MATCH($A1189,'Cohort Summary'!$A$5:$A$14,0)))/INDEX('Cohort Summary'!$K$5:$K$14,MATCH($A1189,'Cohort Summary'!$A$5:$A$14,0))</f>
        <v>-0.907407407407411</v>
      </c>
      <c r="M1189" s="42" t="n">
        <f aca="false">MAX(I1189:K1189)</f>
        <v>1.08680555555555</v>
      </c>
      <c r="N1189" s="27" t="s">
        <v>197</v>
      </c>
      <c r="O1189" s="27"/>
      <c r="P1189" s="27" t="str">
        <f aca="false">A1189&amp;"|"&amp;N1189</f>
        <v>NURSE-06|normal</v>
      </c>
    </row>
    <row r="1190" customFormat="false" ht="15" hidden="false" customHeight="true" outlineLevel="0" collapsed="false">
      <c r="A1190" s="27" t="s">
        <v>91</v>
      </c>
      <c r="B1190" s="41" t="n">
        <v>46303.3569444444</v>
      </c>
      <c r="C1190" s="27" t="s">
        <v>200</v>
      </c>
      <c r="D1190" s="27" t="n">
        <v>40.1</v>
      </c>
      <c r="E1190" s="27" t="n">
        <v>18.3</v>
      </c>
      <c r="F1190" s="27" t="n">
        <v>24.9</v>
      </c>
      <c r="G1190" s="27" t="n">
        <v>32.8</v>
      </c>
      <c r="H1190" s="27" t="s">
        <v>199</v>
      </c>
      <c r="I1190" s="42" t="n">
        <f aca="false">(D1190-INDEX('Cohort Summary'!$D$5:$D$14,MATCH($A1190,'Cohort Summary'!$A$5:$A$14,0)))/INDEX('Cohort Summary'!$E$5:$E$14,MATCH($A1190,'Cohort Summary'!$A$5:$A$14,0))</f>
        <v>-0.726027397260273</v>
      </c>
      <c r="J1190" s="42" t="n">
        <f aca="false">(E1190-INDEX('Cohort Summary'!$F$5:$F$14,MATCH($A1190,'Cohort Summary'!$A$5:$A$14,0)))/INDEX('Cohort Summary'!$G$5:$G$14,MATCH($A1190,'Cohort Summary'!$A$5:$A$14,0))</f>
        <v>-1.66019417475728</v>
      </c>
      <c r="K1190" s="42" t="n">
        <f aca="false">(F1190-INDEX('Cohort Summary'!$H$5:$H$14,MATCH($A1190,'Cohort Summary'!$A$5:$A$14,0)))/INDEX('Cohort Summary'!$I$5:$I$14,MATCH($A1190,'Cohort Summary'!$A$5:$A$14,0))</f>
        <v>-1.48263888888889</v>
      </c>
      <c r="L1190" s="42" t="n">
        <f aca="false">(G1190-INDEX('Cohort Summary'!$J$5:$J$14,MATCH($A1190,'Cohort Summary'!$A$5:$A$14,0)))/INDEX('Cohort Summary'!$K$5:$K$14,MATCH($A1190,'Cohort Summary'!$A$5:$A$14,0))</f>
        <v>-0.166666666666673</v>
      </c>
      <c r="M1190" s="42" t="n">
        <f aca="false">MAX(I1190:K1190)</f>
        <v>-0.726027397260273</v>
      </c>
      <c r="N1190" s="27" t="s">
        <v>197</v>
      </c>
      <c r="O1190" s="27"/>
      <c r="P1190" s="27" t="str">
        <f aca="false">A1190&amp;"|"&amp;N1190</f>
        <v>NURSE-06|normal</v>
      </c>
    </row>
    <row r="1191" customFormat="false" ht="15" hidden="false" customHeight="true" outlineLevel="0" collapsed="false">
      <c r="A1191" s="27" t="s">
        <v>91</v>
      </c>
      <c r="B1191" s="41" t="n">
        <v>46303.3572916667</v>
      </c>
      <c r="C1191" s="27" t="s">
        <v>200</v>
      </c>
      <c r="D1191" s="27" t="n">
        <v>41.6</v>
      </c>
      <c r="E1191" s="27" t="n">
        <v>20.4</v>
      </c>
      <c r="F1191" s="27" t="n">
        <v>28.8</v>
      </c>
      <c r="G1191" s="27" t="n">
        <v>33.1</v>
      </c>
      <c r="H1191" s="27" t="s">
        <v>196</v>
      </c>
      <c r="I1191" s="42" t="n">
        <f aca="false">(D1191-INDEX('Cohort Summary'!$D$5:$D$14,MATCH($A1191,'Cohort Summary'!$A$5:$A$14,0)))/INDEX('Cohort Summary'!$E$5:$E$14,MATCH($A1191,'Cohort Summary'!$A$5:$A$14,0))</f>
        <v>-0.212328767123287</v>
      </c>
      <c r="J1191" s="42" t="n">
        <f aca="false">(E1191-INDEX('Cohort Summary'!$F$5:$F$14,MATCH($A1191,'Cohort Summary'!$A$5:$A$14,0)))/INDEX('Cohort Summary'!$G$5:$G$14,MATCH($A1191,'Cohort Summary'!$A$5:$A$14,0))</f>
        <v>-0.640776699029126</v>
      </c>
      <c r="K1191" s="42" t="n">
        <f aca="false">(F1191-INDEX('Cohort Summary'!$H$5:$H$14,MATCH($A1191,'Cohort Summary'!$A$5:$A$14,0)))/INDEX('Cohort Summary'!$I$5:$I$14,MATCH($A1191,'Cohort Summary'!$A$5:$A$14,0))</f>
        <v>-0.128472222222223</v>
      </c>
      <c r="L1191" s="42" t="n">
        <f aca="false">(G1191-INDEX('Cohort Summary'!$J$5:$J$14,MATCH($A1191,'Cohort Summary'!$A$5:$A$14,0)))/INDEX('Cohort Summary'!$K$5:$K$14,MATCH($A1191,'Cohort Summary'!$A$5:$A$14,0))</f>
        <v>0.38888888888889</v>
      </c>
      <c r="M1191" s="42" t="n">
        <f aca="false">MAX(I1191:K1191)</f>
        <v>-0.128472222222223</v>
      </c>
      <c r="N1191" s="27" t="s">
        <v>197</v>
      </c>
      <c r="O1191" s="27"/>
      <c r="P1191" s="27" t="str">
        <f aca="false">A1191&amp;"|"&amp;N1191</f>
        <v>NURSE-06|normal</v>
      </c>
    </row>
    <row r="1192" customFormat="false" ht="15" hidden="false" customHeight="true" outlineLevel="0" collapsed="false">
      <c r="A1192" s="27" t="s">
        <v>91</v>
      </c>
      <c r="B1192" s="41" t="n">
        <v>46303.3576388889</v>
      </c>
      <c r="C1192" s="27" t="s">
        <v>200</v>
      </c>
      <c r="D1192" s="27" t="n">
        <v>45</v>
      </c>
      <c r="E1192" s="27" t="n">
        <v>23</v>
      </c>
      <c r="F1192" s="27" t="n">
        <v>28</v>
      </c>
      <c r="G1192" s="27" t="n">
        <v>32.2</v>
      </c>
      <c r="H1192" s="27" t="s">
        <v>199</v>
      </c>
      <c r="I1192" s="42" t="n">
        <f aca="false">(D1192-INDEX('Cohort Summary'!$D$5:$D$14,MATCH($A1192,'Cohort Summary'!$A$5:$A$14,0)))/INDEX('Cohort Summary'!$E$5:$E$14,MATCH($A1192,'Cohort Summary'!$A$5:$A$14,0))</f>
        <v>0.952054794520548</v>
      </c>
      <c r="J1192" s="42" t="n">
        <f aca="false">(E1192-INDEX('Cohort Summary'!$F$5:$F$14,MATCH($A1192,'Cohort Summary'!$A$5:$A$14,0)))/INDEX('Cohort Summary'!$G$5:$G$14,MATCH($A1192,'Cohort Summary'!$A$5:$A$14,0))</f>
        <v>0.621359223300971</v>
      </c>
      <c r="K1192" s="42" t="n">
        <f aca="false">(F1192-INDEX('Cohort Summary'!$H$5:$H$14,MATCH($A1192,'Cohort Summary'!$A$5:$A$14,0)))/INDEX('Cohort Summary'!$I$5:$I$14,MATCH($A1192,'Cohort Summary'!$A$5:$A$14,0))</f>
        <v>-0.406250000000001</v>
      </c>
      <c r="L1192" s="42" t="n">
        <f aca="false">(G1192-INDEX('Cohort Summary'!$J$5:$J$14,MATCH($A1192,'Cohort Summary'!$A$5:$A$14,0)))/INDEX('Cohort Summary'!$K$5:$K$14,MATCH($A1192,'Cohort Summary'!$A$5:$A$14,0))</f>
        <v>-1.27777777777777</v>
      </c>
      <c r="M1192" s="42" t="n">
        <f aca="false">MAX(I1192:K1192)</f>
        <v>0.952054794520548</v>
      </c>
      <c r="N1192" s="27" t="s">
        <v>197</v>
      </c>
      <c r="O1192" s="27"/>
      <c r="P1192" s="27" t="str">
        <f aca="false">A1192&amp;"|"&amp;N1192</f>
        <v>NURSE-06|normal</v>
      </c>
    </row>
    <row r="1193" customFormat="false" ht="15" hidden="false" customHeight="true" outlineLevel="0" collapsed="false">
      <c r="A1193" s="27" t="s">
        <v>91</v>
      </c>
      <c r="B1193" s="41" t="n">
        <v>46303.3579861111</v>
      </c>
      <c r="C1193" s="27" t="s">
        <v>200</v>
      </c>
      <c r="D1193" s="27" t="n">
        <v>44.3</v>
      </c>
      <c r="E1193" s="27" t="n">
        <v>22.6</v>
      </c>
      <c r="F1193" s="27" t="n">
        <v>28.1</v>
      </c>
      <c r="G1193" s="27" t="n">
        <v>32.9</v>
      </c>
      <c r="H1193" s="27" t="s">
        <v>198</v>
      </c>
      <c r="I1193" s="42" t="n">
        <f aca="false">(D1193-INDEX('Cohort Summary'!$D$5:$D$14,MATCH($A1193,'Cohort Summary'!$A$5:$A$14,0)))/INDEX('Cohort Summary'!$E$5:$E$14,MATCH($A1193,'Cohort Summary'!$A$5:$A$14,0))</f>
        <v>0.712328767123287</v>
      </c>
      <c r="J1193" s="42" t="n">
        <f aca="false">(E1193-INDEX('Cohort Summary'!$F$5:$F$14,MATCH($A1193,'Cohort Summary'!$A$5:$A$14,0)))/INDEX('Cohort Summary'!$G$5:$G$14,MATCH($A1193,'Cohort Summary'!$A$5:$A$14,0))</f>
        <v>0.427184466019419</v>
      </c>
      <c r="K1193" s="42" t="n">
        <f aca="false">(F1193-INDEX('Cohort Summary'!$H$5:$H$14,MATCH($A1193,'Cohort Summary'!$A$5:$A$14,0)))/INDEX('Cohort Summary'!$I$5:$I$14,MATCH($A1193,'Cohort Summary'!$A$5:$A$14,0))</f>
        <v>-0.371527777777778</v>
      </c>
      <c r="L1193" s="42" t="n">
        <f aca="false">(G1193-INDEX('Cohort Summary'!$J$5:$J$14,MATCH($A1193,'Cohort Summary'!$A$5:$A$14,0)))/INDEX('Cohort Summary'!$K$5:$K$14,MATCH($A1193,'Cohort Summary'!$A$5:$A$14,0))</f>
        <v>0.0185185185185148</v>
      </c>
      <c r="M1193" s="42" t="n">
        <f aca="false">MAX(I1193:K1193)</f>
        <v>0.712328767123287</v>
      </c>
      <c r="N1193" s="27" t="s">
        <v>197</v>
      </c>
      <c r="O1193" s="27"/>
      <c r="P1193" s="27" t="str">
        <f aca="false">A1193&amp;"|"&amp;N1193</f>
        <v>NURSE-06|normal</v>
      </c>
    </row>
    <row r="1194" customFormat="false" ht="15" hidden="false" customHeight="true" outlineLevel="0" collapsed="false">
      <c r="A1194" s="27" t="s">
        <v>91</v>
      </c>
      <c r="B1194" s="41" t="n">
        <v>46303.3583333333</v>
      </c>
      <c r="C1194" s="27" t="s">
        <v>200</v>
      </c>
      <c r="D1194" s="27" t="n">
        <v>41.3</v>
      </c>
      <c r="E1194" s="27" t="n">
        <v>19.3</v>
      </c>
      <c r="F1194" s="27" t="n">
        <v>33.7</v>
      </c>
      <c r="G1194" s="27" t="n">
        <v>32.3</v>
      </c>
      <c r="H1194" s="27" t="s">
        <v>198</v>
      </c>
      <c r="I1194" s="42" t="n">
        <f aca="false">(D1194-INDEX('Cohort Summary'!$D$5:$D$14,MATCH($A1194,'Cohort Summary'!$A$5:$A$14,0)))/INDEX('Cohort Summary'!$E$5:$E$14,MATCH($A1194,'Cohort Summary'!$A$5:$A$14,0))</f>
        <v>-0.315068493150686</v>
      </c>
      <c r="J1194" s="42" t="n">
        <f aca="false">(E1194-INDEX('Cohort Summary'!$F$5:$F$14,MATCH($A1194,'Cohort Summary'!$A$5:$A$14,0)))/INDEX('Cohort Summary'!$G$5:$G$14,MATCH($A1194,'Cohort Summary'!$A$5:$A$14,0))</f>
        <v>-1.1747572815534</v>
      </c>
      <c r="K1194" s="42" t="n">
        <f aca="false">(F1194-INDEX('Cohort Summary'!$H$5:$H$14,MATCH($A1194,'Cohort Summary'!$A$5:$A$14,0)))/INDEX('Cohort Summary'!$I$5:$I$14,MATCH($A1194,'Cohort Summary'!$A$5:$A$14,0))</f>
        <v>1.57291666666667</v>
      </c>
      <c r="L1194" s="42" t="n">
        <f aca="false">(G1194-INDEX('Cohort Summary'!$J$5:$J$14,MATCH($A1194,'Cohort Summary'!$A$5:$A$14,0)))/INDEX('Cohort Summary'!$K$5:$K$14,MATCH($A1194,'Cohort Summary'!$A$5:$A$14,0))</f>
        <v>-1.0925925925926</v>
      </c>
      <c r="M1194" s="42" t="n">
        <f aca="false">MAX(I1194:K1194)</f>
        <v>1.57291666666667</v>
      </c>
      <c r="N1194" s="27" t="s">
        <v>197</v>
      </c>
      <c r="O1194" s="27"/>
      <c r="P1194" s="27" t="str">
        <f aca="false">A1194&amp;"|"&amp;N1194</f>
        <v>NURSE-06|normal</v>
      </c>
    </row>
    <row r="1195" customFormat="false" ht="15" hidden="false" customHeight="true" outlineLevel="0" collapsed="false">
      <c r="A1195" s="27" t="s">
        <v>91</v>
      </c>
      <c r="B1195" s="41" t="n">
        <v>46303.3586805556</v>
      </c>
      <c r="C1195" s="27" t="s">
        <v>200</v>
      </c>
      <c r="D1195" s="27" t="n">
        <v>43.5</v>
      </c>
      <c r="E1195" s="27" t="n">
        <v>19.7</v>
      </c>
      <c r="F1195" s="27" t="n">
        <v>29.7</v>
      </c>
      <c r="G1195" s="27" t="n">
        <v>33.7</v>
      </c>
      <c r="H1195" s="27" t="s">
        <v>199</v>
      </c>
      <c r="I1195" s="42" t="n">
        <f aca="false">(D1195-INDEX('Cohort Summary'!$D$5:$D$14,MATCH($A1195,'Cohort Summary'!$A$5:$A$14,0)))/INDEX('Cohort Summary'!$E$5:$E$14,MATCH($A1195,'Cohort Summary'!$A$5:$A$14,0))</f>
        <v>0.438356164383562</v>
      </c>
      <c r="J1195" s="42" t="n">
        <f aca="false">(E1195-INDEX('Cohort Summary'!$F$5:$F$14,MATCH($A1195,'Cohort Summary'!$A$5:$A$14,0)))/INDEX('Cohort Summary'!$G$5:$G$14,MATCH($A1195,'Cohort Summary'!$A$5:$A$14,0))</f>
        <v>-0.980582524271844</v>
      </c>
      <c r="K1195" s="42" t="n">
        <f aca="false">(F1195-INDEX('Cohort Summary'!$H$5:$H$14,MATCH($A1195,'Cohort Summary'!$A$5:$A$14,0)))/INDEX('Cohort Summary'!$I$5:$I$14,MATCH($A1195,'Cohort Summary'!$A$5:$A$14,0))</f>
        <v>0.184027777777777</v>
      </c>
      <c r="L1195" s="42" t="n">
        <f aca="false">(G1195-INDEX('Cohort Summary'!$J$5:$J$14,MATCH($A1195,'Cohort Summary'!$A$5:$A$14,0)))/INDEX('Cohort Summary'!$K$5:$K$14,MATCH($A1195,'Cohort Summary'!$A$5:$A$14,0))</f>
        <v>1.5</v>
      </c>
      <c r="M1195" s="42" t="n">
        <f aca="false">MAX(I1195:K1195)</f>
        <v>0.438356164383562</v>
      </c>
      <c r="N1195" s="27" t="s">
        <v>197</v>
      </c>
      <c r="O1195" s="27"/>
      <c r="P1195" s="27" t="str">
        <f aca="false">A1195&amp;"|"&amp;N1195</f>
        <v>NURSE-06|normal</v>
      </c>
    </row>
    <row r="1196" customFormat="false" ht="15" hidden="false" customHeight="true" outlineLevel="0" collapsed="false">
      <c r="A1196" s="27" t="s">
        <v>91</v>
      </c>
      <c r="B1196" s="41" t="n">
        <v>46303.3590277778</v>
      </c>
      <c r="C1196" s="27" t="s">
        <v>200</v>
      </c>
      <c r="D1196" s="27" t="n">
        <v>39.8</v>
      </c>
      <c r="E1196" s="27" t="n">
        <v>22.4</v>
      </c>
      <c r="F1196" s="27" t="n">
        <v>28.8</v>
      </c>
      <c r="G1196" s="27" t="n">
        <v>32.7</v>
      </c>
      <c r="H1196" s="27" t="s">
        <v>196</v>
      </c>
      <c r="I1196" s="42" t="n">
        <f aca="false">(D1196-INDEX('Cohort Summary'!$D$5:$D$14,MATCH($A1196,'Cohort Summary'!$A$5:$A$14,0)))/INDEX('Cohort Summary'!$E$5:$E$14,MATCH($A1196,'Cohort Summary'!$A$5:$A$14,0))</f>
        <v>-0.828767123287672</v>
      </c>
      <c r="J1196" s="42" t="n">
        <f aca="false">(E1196-INDEX('Cohort Summary'!$F$5:$F$14,MATCH($A1196,'Cohort Summary'!$A$5:$A$14,0)))/INDEX('Cohort Summary'!$G$5:$G$14,MATCH($A1196,'Cohort Summary'!$A$5:$A$14,0))</f>
        <v>0.330097087378641</v>
      </c>
      <c r="K1196" s="42" t="n">
        <f aca="false">(F1196-INDEX('Cohort Summary'!$H$5:$H$14,MATCH($A1196,'Cohort Summary'!$A$5:$A$14,0)))/INDEX('Cohort Summary'!$I$5:$I$14,MATCH($A1196,'Cohort Summary'!$A$5:$A$14,0))</f>
        <v>-0.128472222222223</v>
      </c>
      <c r="L1196" s="42" t="n">
        <f aca="false">(G1196-INDEX('Cohort Summary'!$J$5:$J$14,MATCH($A1196,'Cohort Summary'!$A$5:$A$14,0)))/INDEX('Cohort Summary'!$K$5:$K$14,MATCH($A1196,'Cohort Summary'!$A$5:$A$14,0))</f>
        <v>-0.351851851851848</v>
      </c>
      <c r="M1196" s="42" t="n">
        <f aca="false">MAX(I1196:K1196)</f>
        <v>0.330097087378641</v>
      </c>
      <c r="N1196" s="27" t="s">
        <v>197</v>
      </c>
      <c r="O1196" s="27"/>
      <c r="P1196" s="27" t="str">
        <f aca="false">A1196&amp;"|"&amp;N1196</f>
        <v>NURSE-06|normal</v>
      </c>
    </row>
    <row r="1197" customFormat="false" ht="15" hidden="false" customHeight="true" outlineLevel="0" collapsed="false">
      <c r="A1197" s="27" t="s">
        <v>91</v>
      </c>
      <c r="B1197" s="41" t="n">
        <v>46303.359375</v>
      </c>
      <c r="C1197" s="27" t="s">
        <v>200</v>
      </c>
      <c r="D1197" s="27" t="n">
        <v>45.4</v>
      </c>
      <c r="E1197" s="27" t="n">
        <v>20.2</v>
      </c>
      <c r="F1197" s="27" t="n">
        <v>32.1</v>
      </c>
      <c r="G1197" s="27" t="n">
        <v>33.6</v>
      </c>
      <c r="H1197" s="27" t="s">
        <v>199</v>
      </c>
      <c r="I1197" s="42" t="n">
        <f aca="false">(D1197-INDEX('Cohort Summary'!$D$5:$D$14,MATCH($A1197,'Cohort Summary'!$A$5:$A$14,0)))/INDEX('Cohort Summary'!$E$5:$E$14,MATCH($A1197,'Cohort Summary'!$A$5:$A$14,0))</f>
        <v>1.08904109589041</v>
      </c>
      <c r="J1197" s="42" t="n">
        <f aca="false">(E1197-INDEX('Cohort Summary'!$F$5:$F$14,MATCH($A1197,'Cohort Summary'!$A$5:$A$14,0)))/INDEX('Cohort Summary'!$G$5:$G$14,MATCH($A1197,'Cohort Summary'!$A$5:$A$14,0))</f>
        <v>-0.737864077669903</v>
      </c>
      <c r="K1197" s="42" t="n">
        <f aca="false">(F1197-INDEX('Cohort Summary'!$H$5:$H$14,MATCH($A1197,'Cohort Summary'!$A$5:$A$14,0)))/INDEX('Cohort Summary'!$I$5:$I$14,MATCH($A1197,'Cohort Summary'!$A$5:$A$14,0))</f>
        <v>1.01736111111111</v>
      </c>
      <c r="L1197" s="42" t="n">
        <f aca="false">(G1197-INDEX('Cohort Summary'!$J$5:$J$14,MATCH($A1197,'Cohort Summary'!$A$5:$A$14,0)))/INDEX('Cohort Summary'!$K$5:$K$14,MATCH($A1197,'Cohort Summary'!$A$5:$A$14,0))</f>
        <v>1.31481481481482</v>
      </c>
      <c r="M1197" s="42" t="n">
        <f aca="false">MAX(I1197:K1197)</f>
        <v>1.08904109589041</v>
      </c>
      <c r="N1197" s="27" t="s">
        <v>197</v>
      </c>
      <c r="O1197" s="27"/>
      <c r="P1197" s="27" t="str">
        <f aca="false">A1197&amp;"|"&amp;N1197</f>
        <v>NURSE-06|normal</v>
      </c>
    </row>
    <row r="1198" customFormat="false" ht="15" hidden="false" customHeight="true" outlineLevel="0" collapsed="false">
      <c r="A1198" s="27" t="s">
        <v>91</v>
      </c>
      <c r="B1198" s="41" t="n">
        <v>46303.3597222222</v>
      </c>
      <c r="C1198" s="27" t="s">
        <v>200</v>
      </c>
      <c r="D1198" s="27" t="n">
        <v>39.5</v>
      </c>
      <c r="E1198" s="27" t="n">
        <v>23.8</v>
      </c>
      <c r="F1198" s="27" t="n">
        <v>29.5</v>
      </c>
      <c r="G1198" s="27" t="n">
        <v>33.1</v>
      </c>
      <c r="H1198" s="27" t="s">
        <v>196</v>
      </c>
      <c r="I1198" s="42" t="n">
        <f aca="false">(D1198-INDEX('Cohort Summary'!$D$5:$D$14,MATCH($A1198,'Cohort Summary'!$A$5:$A$14,0)))/INDEX('Cohort Summary'!$E$5:$E$14,MATCH($A1198,'Cohort Summary'!$A$5:$A$14,0))</f>
        <v>-0.931506849315068</v>
      </c>
      <c r="J1198" s="42" t="n">
        <f aca="false">(E1198-INDEX('Cohort Summary'!$F$5:$F$14,MATCH($A1198,'Cohort Summary'!$A$5:$A$14,0)))/INDEX('Cohort Summary'!$G$5:$G$14,MATCH($A1198,'Cohort Summary'!$A$5:$A$14,0))</f>
        <v>1.00970873786408</v>
      </c>
      <c r="K1198" s="42" t="n">
        <f aca="false">(F1198-INDEX('Cohort Summary'!$H$5:$H$14,MATCH($A1198,'Cohort Summary'!$A$5:$A$14,0)))/INDEX('Cohort Summary'!$I$5:$I$14,MATCH($A1198,'Cohort Summary'!$A$5:$A$14,0))</f>
        <v>0.114583333333333</v>
      </c>
      <c r="L1198" s="42" t="n">
        <f aca="false">(G1198-INDEX('Cohort Summary'!$J$5:$J$14,MATCH($A1198,'Cohort Summary'!$A$5:$A$14,0)))/INDEX('Cohort Summary'!$K$5:$K$14,MATCH($A1198,'Cohort Summary'!$A$5:$A$14,0))</f>
        <v>0.38888888888889</v>
      </c>
      <c r="M1198" s="42" t="n">
        <f aca="false">MAX(I1198:K1198)</f>
        <v>1.00970873786408</v>
      </c>
      <c r="N1198" s="27" t="s">
        <v>197</v>
      </c>
      <c r="O1198" s="27"/>
      <c r="P1198" s="27" t="str">
        <f aca="false">A1198&amp;"|"&amp;N1198</f>
        <v>NURSE-06|normal</v>
      </c>
    </row>
    <row r="1199" customFormat="false" ht="15" hidden="false" customHeight="true" outlineLevel="0" collapsed="false">
      <c r="A1199" s="27" t="s">
        <v>91</v>
      </c>
      <c r="B1199" s="41" t="n">
        <v>46303.3600694445</v>
      </c>
      <c r="C1199" s="27" t="s">
        <v>200</v>
      </c>
      <c r="D1199" s="27" t="n">
        <v>46</v>
      </c>
      <c r="E1199" s="27" t="n">
        <v>22.9</v>
      </c>
      <c r="F1199" s="27" t="n">
        <v>25.7</v>
      </c>
      <c r="G1199" s="27" t="n">
        <v>33.2</v>
      </c>
      <c r="H1199" s="27" t="s">
        <v>198</v>
      </c>
      <c r="I1199" s="42" t="n">
        <f aca="false">(D1199-INDEX('Cohort Summary'!$D$5:$D$14,MATCH($A1199,'Cohort Summary'!$A$5:$A$14,0)))/INDEX('Cohort Summary'!$E$5:$E$14,MATCH($A1199,'Cohort Summary'!$A$5:$A$14,0))</f>
        <v>1.29452054794521</v>
      </c>
      <c r="J1199" s="42" t="n">
        <f aca="false">(E1199-INDEX('Cohort Summary'!$F$5:$F$14,MATCH($A1199,'Cohort Summary'!$A$5:$A$14,0)))/INDEX('Cohort Summary'!$G$5:$G$14,MATCH($A1199,'Cohort Summary'!$A$5:$A$14,0))</f>
        <v>0.572815533980582</v>
      </c>
      <c r="K1199" s="42" t="n">
        <f aca="false">(F1199-INDEX('Cohort Summary'!$H$5:$H$14,MATCH($A1199,'Cohort Summary'!$A$5:$A$14,0)))/INDEX('Cohort Summary'!$I$5:$I$14,MATCH($A1199,'Cohort Summary'!$A$5:$A$14,0))</f>
        <v>-1.20486111111111</v>
      </c>
      <c r="L1199" s="42" t="n">
        <f aca="false">(G1199-INDEX('Cohort Summary'!$J$5:$J$14,MATCH($A1199,'Cohort Summary'!$A$5:$A$14,0)))/INDEX('Cohort Summary'!$K$5:$K$14,MATCH($A1199,'Cohort Summary'!$A$5:$A$14,0))</f>
        <v>0.574074074074078</v>
      </c>
      <c r="M1199" s="42" t="n">
        <f aca="false">MAX(I1199:K1199)</f>
        <v>1.29452054794521</v>
      </c>
      <c r="N1199" s="27" t="s">
        <v>197</v>
      </c>
      <c r="O1199" s="27"/>
      <c r="P1199" s="27" t="str">
        <f aca="false">A1199&amp;"|"&amp;N1199</f>
        <v>NURSE-06|normal</v>
      </c>
    </row>
    <row r="1200" customFormat="false" ht="15" hidden="false" customHeight="true" outlineLevel="0" collapsed="false">
      <c r="A1200" s="27" t="s">
        <v>91</v>
      </c>
      <c r="B1200" s="41" t="n">
        <v>46303.3604166667</v>
      </c>
      <c r="C1200" s="27" t="s">
        <v>200</v>
      </c>
      <c r="D1200" s="27" t="n">
        <v>44.9</v>
      </c>
      <c r="E1200" s="27" t="n">
        <v>22.7</v>
      </c>
      <c r="F1200" s="27" t="n">
        <v>32.2</v>
      </c>
      <c r="G1200" s="27" t="n">
        <v>32.8</v>
      </c>
      <c r="H1200" s="27" t="s">
        <v>196</v>
      </c>
      <c r="I1200" s="42" t="n">
        <f aca="false">(D1200-INDEX('Cohort Summary'!$D$5:$D$14,MATCH($A1200,'Cohort Summary'!$A$5:$A$14,0)))/INDEX('Cohort Summary'!$E$5:$E$14,MATCH($A1200,'Cohort Summary'!$A$5:$A$14,0))</f>
        <v>0.917808219178082</v>
      </c>
      <c r="J1200" s="42" t="n">
        <f aca="false">(E1200-INDEX('Cohort Summary'!$F$5:$F$14,MATCH($A1200,'Cohort Summary'!$A$5:$A$14,0)))/INDEX('Cohort Summary'!$G$5:$G$14,MATCH($A1200,'Cohort Summary'!$A$5:$A$14,0))</f>
        <v>0.475728155339806</v>
      </c>
      <c r="K1200" s="42" t="n">
        <f aca="false">(F1200-INDEX('Cohort Summary'!$H$5:$H$14,MATCH($A1200,'Cohort Summary'!$A$5:$A$14,0)))/INDEX('Cohort Summary'!$I$5:$I$14,MATCH($A1200,'Cohort Summary'!$A$5:$A$14,0))</f>
        <v>1.05208333333333</v>
      </c>
      <c r="L1200" s="42" t="n">
        <f aca="false">(G1200-INDEX('Cohort Summary'!$J$5:$J$14,MATCH($A1200,'Cohort Summary'!$A$5:$A$14,0)))/INDEX('Cohort Summary'!$K$5:$K$14,MATCH($A1200,'Cohort Summary'!$A$5:$A$14,0))</f>
        <v>-0.166666666666673</v>
      </c>
      <c r="M1200" s="42" t="n">
        <f aca="false">MAX(I1200:K1200)</f>
        <v>1.05208333333333</v>
      </c>
      <c r="N1200" s="27" t="s">
        <v>197</v>
      </c>
      <c r="O1200" s="27"/>
      <c r="P1200" s="27" t="str">
        <f aca="false">A1200&amp;"|"&amp;N1200</f>
        <v>NURSE-06|normal</v>
      </c>
    </row>
    <row r="1201" customFormat="false" ht="15" hidden="false" customHeight="true" outlineLevel="0" collapsed="false">
      <c r="A1201" s="27" t="s">
        <v>91</v>
      </c>
      <c r="B1201" s="41" t="n">
        <v>46303.3607638889</v>
      </c>
      <c r="C1201" s="27" t="s">
        <v>200</v>
      </c>
      <c r="D1201" s="27" t="n">
        <v>44.1</v>
      </c>
      <c r="E1201" s="27" t="n">
        <v>21.1</v>
      </c>
      <c r="F1201" s="27" t="n">
        <v>32.5</v>
      </c>
      <c r="G1201" s="27" t="n">
        <v>32.2</v>
      </c>
      <c r="H1201" s="27" t="s">
        <v>198</v>
      </c>
      <c r="I1201" s="42" t="n">
        <f aca="false">(D1201-INDEX('Cohort Summary'!$D$5:$D$14,MATCH($A1201,'Cohort Summary'!$A$5:$A$14,0)))/INDEX('Cohort Summary'!$E$5:$E$14,MATCH($A1201,'Cohort Summary'!$A$5:$A$14,0))</f>
        <v>0.643835616438357</v>
      </c>
      <c r="J1201" s="42" t="n">
        <f aca="false">(E1201-INDEX('Cohort Summary'!$F$5:$F$14,MATCH($A1201,'Cohort Summary'!$A$5:$A$14,0)))/INDEX('Cohort Summary'!$G$5:$G$14,MATCH($A1201,'Cohort Summary'!$A$5:$A$14,0))</f>
        <v>-0.300970873786407</v>
      </c>
      <c r="K1201" s="42" t="n">
        <f aca="false">(F1201-INDEX('Cohort Summary'!$H$5:$H$14,MATCH($A1201,'Cohort Summary'!$A$5:$A$14,0)))/INDEX('Cohort Summary'!$I$5:$I$14,MATCH($A1201,'Cohort Summary'!$A$5:$A$14,0))</f>
        <v>1.15625</v>
      </c>
      <c r="L1201" s="42" t="n">
        <f aca="false">(G1201-INDEX('Cohort Summary'!$J$5:$J$14,MATCH($A1201,'Cohort Summary'!$A$5:$A$14,0)))/INDEX('Cohort Summary'!$K$5:$K$14,MATCH($A1201,'Cohort Summary'!$A$5:$A$14,0))</f>
        <v>-1.27777777777777</v>
      </c>
      <c r="M1201" s="42" t="n">
        <f aca="false">MAX(I1201:K1201)</f>
        <v>1.15625</v>
      </c>
      <c r="N1201" s="27" t="s">
        <v>197</v>
      </c>
      <c r="O1201" s="27"/>
      <c r="P1201" s="27" t="str">
        <f aca="false">A1201&amp;"|"&amp;N1201</f>
        <v>NURSE-06|normal</v>
      </c>
    </row>
    <row r="1202" customFormat="false" ht="15" hidden="false" customHeight="true" outlineLevel="0" collapsed="false">
      <c r="A1202" s="27" t="s">
        <v>95</v>
      </c>
      <c r="B1202" s="41" t="n">
        <v>46303.2916666667</v>
      </c>
      <c r="C1202" s="27" t="s">
        <v>195</v>
      </c>
      <c r="D1202" s="27" t="n">
        <v>48.1</v>
      </c>
      <c r="E1202" s="27" t="n">
        <v>16</v>
      </c>
      <c r="F1202" s="27" t="n">
        <v>32.2</v>
      </c>
      <c r="G1202" s="27" t="n">
        <v>34.1</v>
      </c>
      <c r="H1202" s="27" t="s">
        <v>199</v>
      </c>
      <c r="I1202" s="42" t="n">
        <f aca="false">(D1202-INDEX('Cohort Summary'!$D$5:$D$14,MATCH($A1202,'Cohort Summary'!$A$5:$A$14,0)))/INDEX('Cohort Summary'!$E$5:$E$14,MATCH($A1202,'Cohort Summary'!$A$5:$A$14,0))</f>
        <v>0.034602076124568</v>
      </c>
      <c r="J1202" s="42" t="n">
        <f aca="false">(E1202-INDEX('Cohort Summary'!$F$5:$F$14,MATCH($A1202,'Cohort Summary'!$A$5:$A$14,0)))/INDEX('Cohort Summary'!$G$5:$G$14,MATCH($A1202,'Cohort Summary'!$A$5:$A$14,0))</f>
        <v>-1.28272251308901</v>
      </c>
      <c r="K1202" s="42" t="n">
        <f aca="false">(F1202-INDEX('Cohort Summary'!$H$5:$H$14,MATCH($A1202,'Cohort Summary'!$A$5:$A$14,0)))/INDEX('Cohort Summary'!$I$5:$I$14,MATCH($A1202,'Cohort Summary'!$A$5:$A$14,0))</f>
        <v>-0.904942965779466</v>
      </c>
      <c r="L1202" s="42" t="n">
        <f aca="false">(G1202-INDEX('Cohort Summary'!$J$5:$J$14,MATCH($A1202,'Cohort Summary'!$A$5:$A$14,0)))/INDEX('Cohort Summary'!$K$5:$K$14,MATCH($A1202,'Cohort Summary'!$A$5:$A$14,0))</f>
        <v>1.04918032786885</v>
      </c>
      <c r="M1202" s="42" t="n">
        <f aca="false">MAX(I1202:K1202)</f>
        <v>0.034602076124568</v>
      </c>
      <c r="N1202" s="27" t="s">
        <v>197</v>
      </c>
      <c r="O1202" s="27"/>
      <c r="P1202" s="27" t="str">
        <f aca="false">A1202&amp;"|"&amp;N1202</f>
        <v>NURSE-07|normal</v>
      </c>
    </row>
    <row r="1203" customFormat="false" ht="15" hidden="false" customHeight="true" outlineLevel="0" collapsed="false">
      <c r="A1203" s="27" t="s">
        <v>95</v>
      </c>
      <c r="B1203" s="41" t="n">
        <v>46303.2920138889</v>
      </c>
      <c r="C1203" s="27" t="s">
        <v>195</v>
      </c>
      <c r="D1203" s="27" t="n">
        <v>45.8</v>
      </c>
      <c r="E1203" s="27" t="n">
        <v>15.7</v>
      </c>
      <c r="F1203" s="27" t="n">
        <v>37.2</v>
      </c>
      <c r="G1203" s="27" t="n">
        <v>34.1</v>
      </c>
      <c r="H1203" s="27" t="s">
        <v>198</v>
      </c>
      <c r="I1203" s="42" t="n">
        <f aca="false">(D1203-INDEX('Cohort Summary'!$D$5:$D$14,MATCH($A1203,'Cohort Summary'!$A$5:$A$14,0)))/INDEX('Cohort Summary'!$E$5:$E$14,MATCH($A1203,'Cohort Summary'!$A$5:$A$14,0))</f>
        <v>-0.761245674740485</v>
      </c>
      <c r="J1203" s="42" t="n">
        <f aca="false">(E1203-INDEX('Cohort Summary'!$F$5:$F$14,MATCH($A1203,'Cohort Summary'!$A$5:$A$14,0)))/INDEX('Cohort Summary'!$G$5:$G$14,MATCH($A1203,'Cohort Summary'!$A$5:$A$14,0))</f>
        <v>-1.43979057591623</v>
      </c>
      <c r="K1203" s="42" t="n">
        <f aca="false">(F1203-INDEX('Cohort Summary'!$H$5:$H$14,MATCH($A1203,'Cohort Summary'!$A$5:$A$14,0)))/INDEX('Cohort Summary'!$I$5:$I$14,MATCH($A1203,'Cohort Summary'!$A$5:$A$14,0))</f>
        <v>0.996197718631181</v>
      </c>
      <c r="L1203" s="42" t="n">
        <f aca="false">(G1203-INDEX('Cohort Summary'!$J$5:$J$14,MATCH($A1203,'Cohort Summary'!$A$5:$A$14,0)))/INDEX('Cohort Summary'!$K$5:$K$14,MATCH($A1203,'Cohort Summary'!$A$5:$A$14,0))</f>
        <v>1.04918032786885</v>
      </c>
      <c r="M1203" s="42" t="n">
        <f aca="false">MAX(I1203:K1203)</f>
        <v>0.996197718631181</v>
      </c>
      <c r="N1203" s="27" t="s">
        <v>197</v>
      </c>
      <c r="O1203" s="27"/>
      <c r="P1203" s="27" t="str">
        <f aca="false">A1203&amp;"|"&amp;N1203</f>
        <v>NURSE-07|normal</v>
      </c>
    </row>
    <row r="1204" customFormat="false" ht="15" hidden="false" customHeight="true" outlineLevel="0" collapsed="false">
      <c r="A1204" s="27" t="s">
        <v>95</v>
      </c>
      <c r="B1204" s="41" t="n">
        <v>46303.2923611111</v>
      </c>
      <c r="C1204" s="27" t="s">
        <v>195</v>
      </c>
      <c r="D1204" s="27" t="n">
        <v>47.8</v>
      </c>
      <c r="E1204" s="27" t="n">
        <v>18.8</v>
      </c>
      <c r="F1204" s="27" t="n">
        <v>34.4</v>
      </c>
      <c r="G1204" s="27" t="n">
        <v>33.4</v>
      </c>
      <c r="H1204" s="27" t="s">
        <v>198</v>
      </c>
      <c r="I1204" s="42" t="n">
        <f aca="false">(D1204-INDEX('Cohort Summary'!$D$5:$D$14,MATCH($A1204,'Cohort Summary'!$A$5:$A$14,0)))/INDEX('Cohort Summary'!$E$5:$E$14,MATCH($A1204,'Cohort Summary'!$A$5:$A$14,0))</f>
        <v>-0.0692041522491359</v>
      </c>
      <c r="J1204" s="42" t="n">
        <f aca="false">(E1204-INDEX('Cohort Summary'!$F$5:$F$14,MATCH($A1204,'Cohort Summary'!$A$5:$A$14,0)))/INDEX('Cohort Summary'!$G$5:$G$14,MATCH($A1204,'Cohort Summary'!$A$5:$A$14,0))</f>
        <v>0.18324607329843</v>
      </c>
      <c r="K1204" s="42" t="n">
        <f aca="false">(F1204-INDEX('Cohort Summary'!$H$5:$H$14,MATCH($A1204,'Cohort Summary'!$A$5:$A$14,0)))/INDEX('Cohort Summary'!$I$5:$I$14,MATCH($A1204,'Cohort Summary'!$A$5:$A$14,0))</f>
        <v>-0.0684410646387832</v>
      </c>
      <c r="L1204" s="42" t="n">
        <f aca="false">(G1204-INDEX('Cohort Summary'!$J$5:$J$14,MATCH($A1204,'Cohort Summary'!$A$5:$A$14,0)))/INDEX('Cohort Summary'!$K$5:$K$14,MATCH($A1204,'Cohort Summary'!$A$5:$A$14,0))</f>
        <v>-0.0983606557377087</v>
      </c>
      <c r="M1204" s="42" t="n">
        <f aca="false">MAX(I1204:K1204)</f>
        <v>0.18324607329843</v>
      </c>
      <c r="N1204" s="27" t="s">
        <v>197</v>
      </c>
      <c r="O1204" s="27"/>
      <c r="P1204" s="27" t="str">
        <f aca="false">A1204&amp;"|"&amp;N1204</f>
        <v>NURSE-07|normal</v>
      </c>
    </row>
    <row r="1205" customFormat="false" ht="15" hidden="false" customHeight="true" outlineLevel="0" collapsed="false">
      <c r="A1205" s="27" t="s">
        <v>95</v>
      </c>
      <c r="B1205" s="41" t="n">
        <v>46303.2927083333</v>
      </c>
      <c r="C1205" s="27" t="s">
        <v>195</v>
      </c>
      <c r="D1205" s="27" t="n">
        <v>43.2</v>
      </c>
      <c r="E1205" s="27" t="n">
        <v>21.5</v>
      </c>
      <c r="F1205" s="27" t="n">
        <v>32</v>
      </c>
      <c r="G1205" s="27" t="n">
        <v>32.5</v>
      </c>
      <c r="H1205" s="27" t="s">
        <v>196</v>
      </c>
      <c r="I1205" s="42" t="n">
        <f aca="false">(D1205-INDEX('Cohort Summary'!$D$5:$D$14,MATCH($A1205,'Cohort Summary'!$A$5:$A$14,0)))/INDEX('Cohort Summary'!$E$5:$E$14,MATCH($A1205,'Cohort Summary'!$A$5:$A$14,0))</f>
        <v>-1.66089965397924</v>
      </c>
      <c r="J1205" s="42" t="n">
        <f aca="false">(E1205-INDEX('Cohort Summary'!$F$5:$F$14,MATCH($A1205,'Cohort Summary'!$A$5:$A$14,0)))/INDEX('Cohort Summary'!$G$5:$G$14,MATCH($A1205,'Cohort Summary'!$A$5:$A$14,0))</f>
        <v>1.59685863874346</v>
      </c>
      <c r="K1205" s="42" t="n">
        <f aca="false">(F1205-INDEX('Cohort Summary'!$H$5:$H$14,MATCH($A1205,'Cohort Summary'!$A$5:$A$14,0)))/INDEX('Cohort Summary'!$I$5:$I$14,MATCH($A1205,'Cohort Summary'!$A$5:$A$14,0))</f>
        <v>-0.980988593155893</v>
      </c>
      <c r="L1205" s="42" t="n">
        <f aca="false">(G1205-INDEX('Cohort Summary'!$J$5:$J$14,MATCH($A1205,'Cohort Summary'!$A$5:$A$14,0)))/INDEX('Cohort Summary'!$K$5:$K$14,MATCH($A1205,'Cohort Summary'!$A$5:$A$14,0))</f>
        <v>-1.57377049180328</v>
      </c>
      <c r="M1205" s="42" t="n">
        <f aca="false">MAX(I1205:K1205)</f>
        <v>1.59685863874346</v>
      </c>
      <c r="N1205" s="27" t="s">
        <v>197</v>
      </c>
      <c r="O1205" s="27"/>
      <c r="P1205" s="27" t="str">
        <f aca="false">A1205&amp;"|"&amp;N1205</f>
        <v>NURSE-07|normal</v>
      </c>
    </row>
    <row r="1206" customFormat="false" ht="15" hidden="false" customHeight="true" outlineLevel="0" collapsed="false">
      <c r="A1206" s="27" t="s">
        <v>95</v>
      </c>
      <c r="B1206" s="41" t="n">
        <v>46303.2930555556</v>
      </c>
      <c r="C1206" s="27" t="s">
        <v>195</v>
      </c>
      <c r="D1206" s="27" t="n">
        <v>48.7</v>
      </c>
      <c r="E1206" s="27" t="n">
        <v>18.8</v>
      </c>
      <c r="F1206" s="27" t="n">
        <v>32.2</v>
      </c>
      <c r="G1206" s="27" t="n">
        <v>34</v>
      </c>
      <c r="H1206" s="27" t="s">
        <v>199</v>
      </c>
      <c r="I1206" s="42" t="n">
        <f aca="false">(D1206-INDEX('Cohort Summary'!$D$5:$D$14,MATCH($A1206,'Cohort Summary'!$A$5:$A$14,0)))/INDEX('Cohort Summary'!$E$5:$E$14,MATCH($A1206,'Cohort Summary'!$A$5:$A$14,0))</f>
        <v>0.242214532871973</v>
      </c>
      <c r="J1206" s="42" t="n">
        <f aca="false">(E1206-INDEX('Cohort Summary'!$F$5:$F$14,MATCH($A1206,'Cohort Summary'!$A$5:$A$14,0)))/INDEX('Cohort Summary'!$G$5:$G$14,MATCH($A1206,'Cohort Summary'!$A$5:$A$14,0))</f>
        <v>0.18324607329843</v>
      </c>
      <c r="K1206" s="42" t="n">
        <f aca="false">(F1206-INDEX('Cohort Summary'!$H$5:$H$14,MATCH($A1206,'Cohort Summary'!$A$5:$A$14,0)))/INDEX('Cohort Summary'!$I$5:$I$14,MATCH($A1206,'Cohort Summary'!$A$5:$A$14,0))</f>
        <v>-0.904942965779466</v>
      </c>
      <c r="L1206" s="42" t="n">
        <f aca="false">(G1206-INDEX('Cohort Summary'!$J$5:$J$14,MATCH($A1206,'Cohort Summary'!$A$5:$A$14,0)))/INDEX('Cohort Summary'!$K$5:$K$14,MATCH($A1206,'Cohort Summary'!$A$5:$A$14,0))</f>
        <v>0.885245901639343</v>
      </c>
      <c r="M1206" s="42" t="n">
        <f aca="false">MAX(I1206:K1206)</f>
        <v>0.242214532871973</v>
      </c>
      <c r="N1206" s="27" t="s">
        <v>197</v>
      </c>
      <c r="O1206" s="27"/>
      <c r="P1206" s="27" t="str">
        <f aca="false">A1206&amp;"|"&amp;N1206</f>
        <v>NURSE-07|normal</v>
      </c>
    </row>
    <row r="1207" customFormat="false" ht="15" hidden="false" customHeight="true" outlineLevel="0" collapsed="false">
      <c r="A1207" s="27" t="s">
        <v>95</v>
      </c>
      <c r="B1207" s="41" t="n">
        <v>46303.2934027778</v>
      </c>
      <c r="C1207" s="27" t="s">
        <v>195</v>
      </c>
      <c r="D1207" s="27" t="n">
        <v>49.3</v>
      </c>
      <c r="E1207" s="27" t="n">
        <v>19.2</v>
      </c>
      <c r="F1207" s="27" t="n">
        <v>39.4</v>
      </c>
      <c r="G1207" s="27" t="n">
        <v>32.7</v>
      </c>
      <c r="H1207" s="27" t="s">
        <v>199</v>
      </c>
      <c r="I1207" s="42" t="n">
        <f aca="false">(D1207-INDEX('Cohort Summary'!$D$5:$D$14,MATCH($A1207,'Cohort Summary'!$A$5:$A$14,0)))/INDEX('Cohort Summary'!$E$5:$E$14,MATCH($A1207,'Cohort Summary'!$A$5:$A$14,0))</f>
        <v>0.449826989619376</v>
      </c>
      <c r="J1207" s="42" t="n">
        <f aca="false">(E1207-INDEX('Cohort Summary'!$F$5:$F$14,MATCH($A1207,'Cohort Summary'!$A$5:$A$14,0)))/INDEX('Cohort Summary'!$G$5:$G$14,MATCH($A1207,'Cohort Summary'!$A$5:$A$14,0))</f>
        <v>0.392670157068063</v>
      </c>
      <c r="K1207" s="42" t="n">
        <f aca="false">(F1207-INDEX('Cohort Summary'!$H$5:$H$14,MATCH($A1207,'Cohort Summary'!$A$5:$A$14,0)))/INDEX('Cohort Summary'!$I$5:$I$14,MATCH($A1207,'Cohort Summary'!$A$5:$A$14,0))</f>
        <v>1.83269961977186</v>
      </c>
      <c r="L1207" s="42" t="n">
        <f aca="false">(G1207-INDEX('Cohort Summary'!$J$5:$J$14,MATCH($A1207,'Cohort Summary'!$A$5:$A$14,0)))/INDEX('Cohort Summary'!$K$5:$K$14,MATCH($A1207,'Cohort Summary'!$A$5:$A$14,0))</f>
        <v>-1.24590163934426</v>
      </c>
      <c r="M1207" s="42" t="n">
        <f aca="false">MAX(I1207:K1207)</f>
        <v>1.83269961977186</v>
      </c>
      <c r="N1207" s="27" t="s">
        <v>197</v>
      </c>
      <c r="O1207" s="27"/>
      <c r="P1207" s="27" t="str">
        <f aca="false">A1207&amp;"|"&amp;N1207</f>
        <v>NURSE-07|normal</v>
      </c>
    </row>
    <row r="1208" customFormat="false" ht="15" hidden="false" customHeight="true" outlineLevel="0" collapsed="false">
      <c r="A1208" s="27" t="s">
        <v>95</v>
      </c>
      <c r="B1208" s="41" t="n">
        <v>46303.29375</v>
      </c>
      <c r="C1208" s="27" t="s">
        <v>195</v>
      </c>
      <c r="D1208" s="27" t="n">
        <v>46.7</v>
      </c>
      <c r="E1208" s="27" t="n">
        <v>18.4</v>
      </c>
      <c r="F1208" s="27" t="n">
        <v>30.7</v>
      </c>
      <c r="G1208" s="27" t="n">
        <v>33.7</v>
      </c>
      <c r="H1208" s="27" t="s">
        <v>196</v>
      </c>
      <c r="I1208" s="42" t="n">
        <f aca="false">(D1208-INDEX('Cohort Summary'!$D$5:$D$14,MATCH($A1208,'Cohort Summary'!$A$5:$A$14,0)))/INDEX('Cohort Summary'!$E$5:$E$14,MATCH($A1208,'Cohort Summary'!$A$5:$A$14,0))</f>
        <v>-0.449826989619376</v>
      </c>
      <c r="J1208" s="42" t="n">
        <f aca="false">(E1208-INDEX('Cohort Summary'!$F$5:$F$14,MATCH($A1208,'Cohort Summary'!$A$5:$A$14,0)))/INDEX('Cohort Summary'!$G$5:$G$14,MATCH($A1208,'Cohort Summary'!$A$5:$A$14,0))</f>
        <v>-0.0261780104712046</v>
      </c>
      <c r="K1208" s="42" t="n">
        <f aca="false">(F1208-INDEX('Cohort Summary'!$H$5:$H$14,MATCH($A1208,'Cohort Summary'!$A$5:$A$14,0)))/INDEX('Cohort Summary'!$I$5:$I$14,MATCH($A1208,'Cohort Summary'!$A$5:$A$14,0))</f>
        <v>-1.47528517110266</v>
      </c>
      <c r="L1208" s="42" t="n">
        <f aca="false">(G1208-INDEX('Cohort Summary'!$J$5:$J$14,MATCH($A1208,'Cohort Summary'!$A$5:$A$14,0)))/INDEX('Cohort Summary'!$K$5:$K$14,MATCH($A1208,'Cohort Summary'!$A$5:$A$14,0))</f>
        <v>0.393442622950823</v>
      </c>
      <c r="M1208" s="42" t="n">
        <f aca="false">MAX(I1208:K1208)</f>
        <v>-0.0261780104712046</v>
      </c>
      <c r="N1208" s="27" t="s">
        <v>197</v>
      </c>
      <c r="O1208" s="27"/>
      <c r="P1208" s="27" t="str">
        <f aca="false">A1208&amp;"|"&amp;N1208</f>
        <v>NURSE-07|normal</v>
      </c>
    </row>
    <row r="1209" customFormat="false" ht="15" hidden="false" customHeight="true" outlineLevel="0" collapsed="false">
      <c r="A1209" s="27" t="s">
        <v>95</v>
      </c>
      <c r="B1209" s="41" t="n">
        <v>46303.2940972222</v>
      </c>
      <c r="C1209" s="27" t="s">
        <v>195</v>
      </c>
      <c r="D1209" s="27" t="n">
        <v>46.1</v>
      </c>
      <c r="E1209" s="27" t="n">
        <v>16.8</v>
      </c>
      <c r="F1209" s="27" t="n">
        <v>38.1</v>
      </c>
      <c r="G1209" s="27" t="n">
        <v>34</v>
      </c>
      <c r="H1209" s="27" t="s">
        <v>198</v>
      </c>
      <c r="I1209" s="42" t="n">
        <f aca="false">(D1209-INDEX('Cohort Summary'!$D$5:$D$14,MATCH($A1209,'Cohort Summary'!$A$5:$A$14,0)))/INDEX('Cohort Summary'!$E$5:$E$14,MATCH($A1209,'Cohort Summary'!$A$5:$A$14,0))</f>
        <v>-0.657439446366782</v>
      </c>
      <c r="J1209" s="42" t="n">
        <f aca="false">(E1209-INDEX('Cohort Summary'!$F$5:$F$14,MATCH($A1209,'Cohort Summary'!$A$5:$A$14,0)))/INDEX('Cohort Summary'!$G$5:$G$14,MATCH($A1209,'Cohort Summary'!$A$5:$A$14,0))</f>
        <v>-0.863874345549738</v>
      </c>
      <c r="K1209" s="42" t="n">
        <f aca="false">(F1209-INDEX('Cohort Summary'!$H$5:$H$14,MATCH($A1209,'Cohort Summary'!$A$5:$A$14,0)))/INDEX('Cohort Summary'!$I$5:$I$14,MATCH($A1209,'Cohort Summary'!$A$5:$A$14,0))</f>
        <v>1.3384030418251</v>
      </c>
      <c r="L1209" s="42" t="n">
        <f aca="false">(G1209-INDEX('Cohort Summary'!$J$5:$J$14,MATCH($A1209,'Cohort Summary'!$A$5:$A$14,0)))/INDEX('Cohort Summary'!$K$5:$K$14,MATCH($A1209,'Cohort Summary'!$A$5:$A$14,0))</f>
        <v>0.885245901639343</v>
      </c>
      <c r="M1209" s="42" t="n">
        <f aca="false">MAX(I1209:K1209)</f>
        <v>1.3384030418251</v>
      </c>
      <c r="N1209" s="27" t="s">
        <v>197</v>
      </c>
      <c r="O1209" s="27"/>
      <c r="P1209" s="27" t="str">
        <f aca="false">A1209&amp;"|"&amp;N1209</f>
        <v>NURSE-07|normal</v>
      </c>
    </row>
    <row r="1210" customFormat="false" ht="15" hidden="false" customHeight="true" outlineLevel="0" collapsed="false">
      <c r="A1210" s="27" t="s">
        <v>95</v>
      </c>
      <c r="B1210" s="41" t="n">
        <v>46303.2944444444</v>
      </c>
      <c r="C1210" s="27" t="s">
        <v>195</v>
      </c>
      <c r="D1210" s="27" t="n">
        <v>51.4</v>
      </c>
      <c r="E1210" s="27" t="n">
        <v>21.1</v>
      </c>
      <c r="F1210" s="27" t="n">
        <v>30.5</v>
      </c>
      <c r="G1210" s="27" t="n">
        <v>32.9</v>
      </c>
      <c r="H1210" s="27" t="s">
        <v>198</v>
      </c>
      <c r="I1210" s="42" t="n">
        <f aca="false">(D1210-INDEX('Cohort Summary'!$D$5:$D$14,MATCH($A1210,'Cohort Summary'!$A$5:$A$14,0)))/INDEX('Cohort Summary'!$E$5:$E$14,MATCH($A1210,'Cohort Summary'!$A$5:$A$14,0))</f>
        <v>1.17647058823529</v>
      </c>
      <c r="J1210" s="42" t="n">
        <f aca="false">(E1210-INDEX('Cohort Summary'!$F$5:$F$14,MATCH($A1210,'Cohort Summary'!$A$5:$A$14,0)))/INDEX('Cohort Summary'!$G$5:$G$14,MATCH($A1210,'Cohort Summary'!$A$5:$A$14,0))</f>
        <v>1.38743455497382</v>
      </c>
      <c r="K1210" s="42" t="n">
        <f aca="false">(F1210-INDEX('Cohort Summary'!$H$5:$H$14,MATCH($A1210,'Cohort Summary'!$A$5:$A$14,0)))/INDEX('Cohort Summary'!$I$5:$I$14,MATCH($A1210,'Cohort Summary'!$A$5:$A$14,0))</f>
        <v>-1.55133079847909</v>
      </c>
      <c r="L1210" s="42" t="n">
        <f aca="false">(G1210-INDEX('Cohort Summary'!$J$5:$J$14,MATCH($A1210,'Cohort Summary'!$A$5:$A$14,0)))/INDEX('Cohort Summary'!$K$5:$K$14,MATCH($A1210,'Cohort Summary'!$A$5:$A$14,0))</f>
        <v>-0.91803278688525</v>
      </c>
      <c r="M1210" s="42" t="n">
        <f aca="false">MAX(I1210:K1210)</f>
        <v>1.38743455497382</v>
      </c>
      <c r="N1210" s="27" t="s">
        <v>197</v>
      </c>
      <c r="O1210" s="27"/>
      <c r="P1210" s="27" t="str">
        <f aca="false">A1210&amp;"|"&amp;N1210</f>
        <v>NURSE-07|normal</v>
      </c>
    </row>
    <row r="1211" customFormat="false" ht="15" hidden="false" customHeight="true" outlineLevel="0" collapsed="false">
      <c r="A1211" s="27" t="s">
        <v>95</v>
      </c>
      <c r="B1211" s="41" t="n">
        <v>46303.2947916667</v>
      </c>
      <c r="C1211" s="27" t="s">
        <v>195</v>
      </c>
      <c r="D1211" s="27" t="n">
        <v>45.6</v>
      </c>
      <c r="E1211" s="27" t="n">
        <v>20.8</v>
      </c>
      <c r="F1211" s="27" t="n">
        <v>32.6</v>
      </c>
      <c r="G1211" s="27" t="n">
        <v>32.8</v>
      </c>
      <c r="H1211" s="27" t="s">
        <v>198</v>
      </c>
      <c r="I1211" s="42" t="n">
        <f aca="false">(D1211-INDEX('Cohort Summary'!$D$5:$D$14,MATCH($A1211,'Cohort Summary'!$A$5:$A$14,0)))/INDEX('Cohort Summary'!$E$5:$E$14,MATCH($A1211,'Cohort Summary'!$A$5:$A$14,0))</f>
        <v>-0.830449826989619</v>
      </c>
      <c r="J1211" s="42" t="n">
        <f aca="false">(E1211-INDEX('Cohort Summary'!$F$5:$F$14,MATCH($A1211,'Cohort Summary'!$A$5:$A$14,0)))/INDEX('Cohort Summary'!$G$5:$G$14,MATCH($A1211,'Cohort Summary'!$A$5:$A$14,0))</f>
        <v>1.2303664921466</v>
      </c>
      <c r="K1211" s="42" t="n">
        <f aca="false">(F1211-INDEX('Cohort Summary'!$H$5:$H$14,MATCH($A1211,'Cohort Summary'!$A$5:$A$14,0)))/INDEX('Cohort Summary'!$I$5:$I$14,MATCH($A1211,'Cohort Summary'!$A$5:$A$14,0))</f>
        <v>-0.752851711026615</v>
      </c>
      <c r="L1211" s="42" t="n">
        <f aca="false">(G1211-INDEX('Cohort Summary'!$J$5:$J$14,MATCH($A1211,'Cohort Summary'!$A$5:$A$14,0)))/INDEX('Cohort Summary'!$K$5:$K$14,MATCH($A1211,'Cohort Summary'!$A$5:$A$14,0))</f>
        <v>-1.08196721311476</v>
      </c>
      <c r="M1211" s="42" t="n">
        <f aca="false">MAX(I1211:K1211)</f>
        <v>1.2303664921466</v>
      </c>
      <c r="N1211" s="27" t="s">
        <v>197</v>
      </c>
      <c r="O1211" s="27"/>
      <c r="P1211" s="27" t="str">
        <f aca="false">A1211&amp;"|"&amp;N1211</f>
        <v>NURSE-07|normal</v>
      </c>
    </row>
    <row r="1212" customFormat="false" ht="15" hidden="false" customHeight="true" outlineLevel="0" collapsed="false">
      <c r="A1212" s="27" t="s">
        <v>95</v>
      </c>
      <c r="B1212" s="41" t="n">
        <v>46303.2951388889</v>
      </c>
      <c r="C1212" s="27" t="s">
        <v>195</v>
      </c>
      <c r="D1212" s="27" t="n">
        <v>46</v>
      </c>
      <c r="E1212" s="27" t="n">
        <v>18.2</v>
      </c>
      <c r="F1212" s="27" t="n">
        <v>33.7</v>
      </c>
      <c r="G1212" s="27" t="n">
        <v>34</v>
      </c>
      <c r="H1212" s="27" t="s">
        <v>196</v>
      </c>
      <c r="I1212" s="42" t="n">
        <f aca="false">(D1212-INDEX('Cohort Summary'!$D$5:$D$14,MATCH($A1212,'Cohort Summary'!$A$5:$A$14,0)))/INDEX('Cohort Summary'!$E$5:$E$14,MATCH($A1212,'Cohort Summary'!$A$5:$A$14,0))</f>
        <v>-0.692041522491349</v>
      </c>
      <c r="J1212" s="42" t="n">
        <f aca="false">(E1212-INDEX('Cohort Summary'!$F$5:$F$14,MATCH($A1212,'Cohort Summary'!$A$5:$A$14,0)))/INDEX('Cohort Summary'!$G$5:$G$14,MATCH($A1212,'Cohort Summary'!$A$5:$A$14,0))</f>
        <v>-0.130890052356021</v>
      </c>
      <c r="K1212" s="42" t="n">
        <f aca="false">(F1212-INDEX('Cohort Summary'!$H$5:$H$14,MATCH($A1212,'Cohort Summary'!$A$5:$A$14,0)))/INDEX('Cohort Summary'!$I$5:$I$14,MATCH($A1212,'Cohort Summary'!$A$5:$A$14,0))</f>
        <v>-0.334600760456272</v>
      </c>
      <c r="L1212" s="42" t="n">
        <f aca="false">(G1212-INDEX('Cohort Summary'!$J$5:$J$14,MATCH($A1212,'Cohort Summary'!$A$5:$A$14,0)))/INDEX('Cohort Summary'!$K$5:$K$14,MATCH($A1212,'Cohort Summary'!$A$5:$A$14,0))</f>
        <v>0.885245901639343</v>
      </c>
      <c r="M1212" s="42" t="n">
        <f aca="false">MAX(I1212:K1212)</f>
        <v>-0.130890052356021</v>
      </c>
      <c r="N1212" s="27" t="s">
        <v>197</v>
      </c>
      <c r="O1212" s="27"/>
      <c r="P1212" s="27" t="str">
        <f aca="false">A1212&amp;"|"&amp;N1212</f>
        <v>NURSE-07|normal</v>
      </c>
    </row>
    <row r="1213" customFormat="false" ht="15" hidden="false" customHeight="true" outlineLevel="0" collapsed="false">
      <c r="A1213" s="27" t="s">
        <v>95</v>
      </c>
      <c r="B1213" s="41" t="n">
        <v>46303.2954861111</v>
      </c>
      <c r="C1213" s="27" t="s">
        <v>195</v>
      </c>
      <c r="D1213" s="27" t="n">
        <v>47.1</v>
      </c>
      <c r="E1213" s="27" t="n">
        <v>20.3</v>
      </c>
      <c r="F1213" s="27" t="n">
        <v>38.6</v>
      </c>
      <c r="G1213" s="27" t="n">
        <v>32.6</v>
      </c>
      <c r="H1213" s="27" t="s">
        <v>196</v>
      </c>
      <c r="I1213" s="42" t="n">
        <f aca="false">(D1213-INDEX('Cohort Summary'!$D$5:$D$14,MATCH($A1213,'Cohort Summary'!$A$5:$A$14,0)))/INDEX('Cohort Summary'!$E$5:$E$14,MATCH($A1213,'Cohort Summary'!$A$5:$A$14,0))</f>
        <v>-0.311418685121107</v>
      </c>
      <c r="J1213" s="42" t="n">
        <f aca="false">(E1213-INDEX('Cohort Summary'!$F$5:$F$14,MATCH($A1213,'Cohort Summary'!$A$5:$A$14,0)))/INDEX('Cohort Summary'!$G$5:$G$14,MATCH($A1213,'Cohort Summary'!$A$5:$A$14,0))</f>
        <v>0.968586387434556</v>
      </c>
      <c r="K1213" s="42" t="n">
        <f aca="false">(F1213-INDEX('Cohort Summary'!$H$5:$H$14,MATCH($A1213,'Cohort Summary'!$A$5:$A$14,0)))/INDEX('Cohort Summary'!$I$5:$I$14,MATCH($A1213,'Cohort Summary'!$A$5:$A$14,0))</f>
        <v>1.52851711026616</v>
      </c>
      <c r="L1213" s="42" t="n">
        <f aca="false">(G1213-INDEX('Cohort Summary'!$J$5:$J$14,MATCH($A1213,'Cohort Summary'!$A$5:$A$14,0)))/INDEX('Cohort Summary'!$K$5:$K$14,MATCH($A1213,'Cohort Summary'!$A$5:$A$14,0))</f>
        <v>-1.40983606557377</v>
      </c>
      <c r="M1213" s="42" t="n">
        <f aca="false">MAX(I1213:K1213)</f>
        <v>1.52851711026616</v>
      </c>
      <c r="N1213" s="27" t="s">
        <v>197</v>
      </c>
      <c r="O1213" s="27"/>
      <c r="P1213" s="27" t="str">
        <f aca="false">A1213&amp;"|"&amp;N1213</f>
        <v>NURSE-07|normal</v>
      </c>
    </row>
    <row r="1214" customFormat="false" ht="15" hidden="false" customHeight="true" outlineLevel="0" collapsed="false">
      <c r="A1214" s="27" t="s">
        <v>95</v>
      </c>
      <c r="B1214" s="41" t="n">
        <v>46303.2958333333</v>
      </c>
      <c r="C1214" s="27" t="s">
        <v>195</v>
      </c>
      <c r="D1214" s="27" t="n">
        <v>44.1</v>
      </c>
      <c r="E1214" s="27" t="n">
        <v>19.9</v>
      </c>
      <c r="F1214" s="27" t="n">
        <v>37.8</v>
      </c>
      <c r="G1214" s="27" t="n">
        <v>34.4</v>
      </c>
      <c r="H1214" s="27" t="s">
        <v>198</v>
      </c>
      <c r="I1214" s="42" t="n">
        <f aca="false">(D1214-INDEX('Cohort Summary'!$D$5:$D$14,MATCH($A1214,'Cohort Summary'!$A$5:$A$14,0)))/INDEX('Cohort Summary'!$E$5:$E$14,MATCH($A1214,'Cohort Summary'!$A$5:$A$14,0))</f>
        <v>-1.34948096885813</v>
      </c>
      <c r="J1214" s="42" t="n">
        <f aca="false">(E1214-INDEX('Cohort Summary'!$F$5:$F$14,MATCH($A1214,'Cohort Summary'!$A$5:$A$14,0)))/INDEX('Cohort Summary'!$G$5:$G$14,MATCH($A1214,'Cohort Summary'!$A$5:$A$14,0))</f>
        <v>0.759162303664921</v>
      </c>
      <c r="K1214" s="42" t="n">
        <f aca="false">(F1214-INDEX('Cohort Summary'!$H$5:$H$14,MATCH($A1214,'Cohort Summary'!$A$5:$A$14,0)))/INDEX('Cohort Summary'!$I$5:$I$14,MATCH($A1214,'Cohort Summary'!$A$5:$A$14,0))</f>
        <v>1.22433460076046</v>
      </c>
      <c r="L1214" s="42" t="n">
        <f aca="false">(G1214-INDEX('Cohort Summary'!$J$5:$J$14,MATCH($A1214,'Cohort Summary'!$A$5:$A$14,0)))/INDEX('Cohort Summary'!$K$5:$K$14,MATCH($A1214,'Cohort Summary'!$A$5:$A$14,0))</f>
        <v>1.54098360655737</v>
      </c>
      <c r="M1214" s="42" t="n">
        <f aca="false">MAX(I1214:K1214)</f>
        <v>1.22433460076046</v>
      </c>
      <c r="N1214" s="27" t="s">
        <v>197</v>
      </c>
      <c r="O1214" s="27"/>
      <c r="P1214" s="27" t="str">
        <f aca="false">A1214&amp;"|"&amp;N1214</f>
        <v>NURSE-07|normal</v>
      </c>
    </row>
    <row r="1215" customFormat="false" ht="15" hidden="false" customHeight="true" outlineLevel="0" collapsed="false">
      <c r="A1215" s="27" t="s">
        <v>95</v>
      </c>
      <c r="B1215" s="41" t="n">
        <v>46303.2961805556</v>
      </c>
      <c r="C1215" s="27" t="s">
        <v>195</v>
      </c>
      <c r="D1215" s="27" t="n">
        <v>46.5</v>
      </c>
      <c r="E1215" s="27" t="n">
        <v>17.2</v>
      </c>
      <c r="F1215" s="27" t="n">
        <v>33.9</v>
      </c>
      <c r="G1215" s="27" t="n">
        <v>33.7</v>
      </c>
      <c r="H1215" s="27" t="s">
        <v>196</v>
      </c>
      <c r="I1215" s="42" t="n">
        <f aca="false">(D1215-INDEX('Cohort Summary'!$D$5:$D$14,MATCH($A1215,'Cohort Summary'!$A$5:$A$14,0)))/INDEX('Cohort Summary'!$E$5:$E$14,MATCH($A1215,'Cohort Summary'!$A$5:$A$14,0))</f>
        <v>-0.519031141868512</v>
      </c>
      <c r="J1215" s="42" t="n">
        <f aca="false">(E1215-INDEX('Cohort Summary'!$F$5:$F$14,MATCH($A1215,'Cohort Summary'!$A$5:$A$14,0)))/INDEX('Cohort Summary'!$G$5:$G$14,MATCH($A1215,'Cohort Summary'!$A$5:$A$14,0))</f>
        <v>-0.654450261780105</v>
      </c>
      <c r="K1215" s="42" t="n">
        <f aca="false">(F1215-INDEX('Cohort Summary'!$H$5:$H$14,MATCH($A1215,'Cohort Summary'!$A$5:$A$14,0)))/INDEX('Cohort Summary'!$I$5:$I$14,MATCH($A1215,'Cohort Summary'!$A$5:$A$14,0))</f>
        <v>-0.258555133079848</v>
      </c>
      <c r="L1215" s="42" t="n">
        <f aca="false">(G1215-INDEX('Cohort Summary'!$J$5:$J$14,MATCH($A1215,'Cohort Summary'!$A$5:$A$14,0)))/INDEX('Cohort Summary'!$K$5:$K$14,MATCH($A1215,'Cohort Summary'!$A$5:$A$14,0))</f>
        <v>0.393442622950823</v>
      </c>
      <c r="M1215" s="42" t="n">
        <f aca="false">MAX(I1215:K1215)</f>
        <v>-0.258555133079848</v>
      </c>
      <c r="N1215" s="27" t="s">
        <v>197</v>
      </c>
      <c r="O1215" s="27"/>
      <c r="P1215" s="27" t="str">
        <f aca="false">A1215&amp;"|"&amp;N1215</f>
        <v>NURSE-07|normal</v>
      </c>
    </row>
    <row r="1216" customFormat="false" ht="15" hidden="false" customHeight="true" outlineLevel="0" collapsed="false">
      <c r="A1216" s="27" t="s">
        <v>95</v>
      </c>
      <c r="B1216" s="41" t="n">
        <v>46303.2965277778</v>
      </c>
      <c r="C1216" s="27" t="s">
        <v>195</v>
      </c>
      <c r="D1216" s="27" t="n">
        <v>46.9</v>
      </c>
      <c r="E1216" s="27" t="n">
        <v>17.2</v>
      </c>
      <c r="F1216" s="27" t="n">
        <v>30.7</v>
      </c>
      <c r="G1216" s="27" t="n">
        <v>34.3</v>
      </c>
      <c r="H1216" s="27" t="s">
        <v>196</v>
      </c>
      <c r="I1216" s="42" t="n">
        <f aca="false">(D1216-INDEX('Cohort Summary'!$D$5:$D$14,MATCH($A1216,'Cohort Summary'!$A$5:$A$14,0)))/INDEX('Cohort Summary'!$E$5:$E$14,MATCH($A1216,'Cohort Summary'!$A$5:$A$14,0))</f>
        <v>-0.380622837370243</v>
      </c>
      <c r="J1216" s="42" t="n">
        <f aca="false">(E1216-INDEX('Cohort Summary'!$F$5:$F$14,MATCH($A1216,'Cohort Summary'!$A$5:$A$14,0)))/INDEX('Cohort Summary'!$G$5:$G$14,MATCH($A1216,'Cohort Summary'!$A$5:$A$14,0))</f>
        <v>-0.654450261780105</v>
      </c>
      <c r="K1216" s="42" t="n">
        <f aca="false">(F1216-INDEX('Cohort Summary'!$H$5:$H$14,MATCH($A1216,'Cohort Summary'!$A$5:$A$14,0)))/INDEX('Cohort Summary'!$I$5:$I$14,MATCH($A1216,'Cohort Summary'!$A$5:$A$14,0))</f>
        <v>-1.47528517110266</v>
      </c>
      <c r="L1216" s="42" t="n">
        <f aca="false">(G1216-INDEX('Cohort Summary'!$J$5:$J$14,MATCH($A1216,'Cohort Summary'!$A$5:$A$14,0)))/INDEX('Cohort Summary'!$K$5:$K$14,MATCH($A1216,'Cohort Summary'!$A$5:$A$14,0))</f>
        <v>1.37704918032786</v>
      </c>
      <c r="M1216" s="42" t="n">
        <f aca="false">MAX(I1216:K1216)</f>
        <v>-0.380622837370243</v>
      </c>
      <c r="N1216" s="27" t="s">
        <v>197</v>
      </c>
      <c r="O1216" s="27"/>
      <c r="P1216" s="27" t="str">
        <f aca="false">A1216&amp;"|"&amp;N1216</f>
        <v>NURSE-07|normal</v>
      </c>
    </row>
    <row r="1217" customFormat="false" ht="15" hidden="false" customHeight="true" outlineLevel="0" collapsed="false">
      <c r="A1217" s="27" t="s">
        <v>95</v>
      </c>
      <c r="B1217" s="41" t="n">
        <v>46303.296875</v>
      </c>
      <c r="C1217" s="27" t="s">
        <v>195</v>
      </c>
      <c r="D1217" s="27" t="n">
        <v>50.5</v>
      </c>
      <c r="E1217" s="27" t="n">
        <v>19.7</v>
      </c>
      <c r="F1217" s="27" t="n">
        <v>35.8</v>
      </c>
      <c r="G1217" s="27" t="n">
        <v>33.5</v>
      </c>
      <c r="H1217" s="27" t="s">
        <v>199</v>
      </c>
      <c r="I1217" s="42" t="n">
        <f aca="false">(D1217-INDEX('Cohort Summary'!$D$5:$D$14,MATCH($A1217,'Cohort Summary'!$A$5:$A$14,0)))/INDEX('Cohort Summary'!$E$5:$E$14,MATCH($A1217,'Cohort Summary'!$A$5:$A$14,0))</f>
        <v>0.865051903114187</v>
      </c>
      <c r="J1217" s="42" t="n">
        <f aca="false">(E1217-INDEX('Cohort Summary'!$F$5:$F$14,MATCH($A1217,'Cohort Summary'!$A$5:$A$14,0)))/INDEX('Cohort Summary'!$G$5:$G$14,MATCH($A1217,'Cohort Summary'!$A$5:$A$14,0))</f>
        <v>0.654450261780105</v>
      </c>
      <c r="K1217" s="42" t="n">
        <f aca="false">(F1217-INDEX('Cohort Summary'!$H$5:$H$14,MATCH($A1217,'Cohort Summary'!$A$5:$A$14,0)))/INDEX('Cohort Summary'!$I$5:$I$14,MATCH($A1217,'Cohort Summary'!$A$5:$A$14,0))</f>
        <v>0.463878326996197</v>
      </c>
      <c r="L1217" s="42" t="n">
        <f aca="false">(G1217-INDEX('Cohort Summary'!$J$5:$J$14,MATCH($A1217,'Cohort Summary'!$A$5:$A$14,0)))/INDEX('Cohort Summary'!$K$5:$K$14,MATCH($A1217,'Cohort Summary'!$A$5:$A$14,0))</f>
        <v>0.0655737704918019</v>
      </c>
      <c r="M1217" s="42" t="n">
        <f aca="false">MAX(I1217:K1217)</f>
        <v>0.865051903114187</v>
      </c>
      <c r="N1217" s="27" t="s">
        <v>197</v>
      </c>
      <c r="O1217" s="27"/>
      <c r="P1217" s="27" t="str">
        <f aca="false">A1217&amp;"|"&amp;N1217</f>
        <v>NURSE-07|normal</v>
      </c>
    </row>
    <row r="1218" customFormat="false" ht="15" hidden="false" customHeight="true" outlineLevel="0" collapsed="false">
      <c r="A1218" s="27" t="s">
        <v>95</v>
      </c>
      <c r="B1218" s="41" t="n">
        <v>46303.2972222222</v>
      </c>
      <c r="C1218" s="27" t="s">
        <v>195</v>
      </c>
      <c r="D1218" s="27" t="n">
        <v>45.7</v>
      </c>
      <c r="E1218" s="27" t="n">
        <v>20.8</v>
      </c>
      <c r="F1218" s="27" t="n">
        <v>39.1</v>
      </c>
      <c r="G1218" s="27" t="n">
        <v>34</v>
      </c>
      <c r="H1218" s="27" t="s">
        <v>198</v>
      </c>
      <c r="I1218" s="42" t="n">
        <f aca="false">(D1218-INDEX('Cohort Summary'!$D$5:$D$14,MATCH($A1218,'Cohort Summary'!$A$5:$A$14,0)))/INDEX('Cohort Summary'!$E$5:$E$14,MATCH($A1218,'Cohort Summary'!$A$5:$A$14,0))</f>
        <v>-0.795847750865051</v>
      </c>
      <c r="J1218" s="42" t="n">
        <f aca="false">(E1218-INDEX('Cohort Summary'!$F$5:$F$14,MATCH($A1218,'Cohort Summary'!$A$5:$A$14,0)))/INDEX('Cohort Summary'!$G$5:$G$14,MATCH($A1218,'Cohort Summary'!$A$5:$A$14,0))</f>
        <v>1.2303664921466</v>
      </c>
      <c r="K1218" s="42" t="n">
        <f aca="false">(F1218-INDEX('Cohort Summary'!$H$5:$H$14,MATCH($A1218,'Cohort Summary'!$A$5:$A$14,0)))/INDEX('Cohort Summary'!$I$5:$I$14,MATCH($A1218,'Cohort Summary'!$A$5:$A$14,0))</f>
        <v>1.71863117870723</v>
      </c>
      <c r="L1218" s="42" t="n">
        <f aca="false">(G1218-INDEX('Cohort Summary'!$J$5:$J$14,MATCH($A1218,'Cohort Summary'!$A$5:$A$14,0)))/INDEX('Cohort Summary'!$K$5:$K$14,MATCH($A1218,'Cohort Summary'!$A$5:$A$14,0))</f>
        <v>0.885245901639343</v>
      </c>
      <c r="M1218" s="42" t="n">
        <f aca="false">MAX(I1218:K1218)</f>
        <v>1.71863117870723</v>
      </c>
      <c r="N1218" s="27" t="s">
        <v>197</v>
      </c>
      <c r="O1218" s="27"/>
      <c r="P1218" s="27" t="str">
        <f aca="false">A1218&amp;"|"&amp;N1218</f>
        <v>NURSE-07|normal</v>
      </c>
    </row>
    <row r="1219" customFormat="false" ht="15" hidden="false" customHeight="true" outlineLevel="0" collapsed="false">
      <c r="A1219" s="27" t="s">
        <v>95</v>
      </c>
      <c r="B1219" s="41" t="n">
        <v>46303.2975694445</v>
      </c>
      <c r="C1219" s="27" t="s">
        <v>195</v>
      </c>
      <c r="D1219" s="27" t="n">
        <v>49.6</v>
      </c>
      <c r="E1219" s="27" t="n">
        <v>18.9</v>
      </c>
      <c r="F1219" s="27" t="n">
        <v>34.6</v>
      </c>
      <c r="G1219" s="27" t="n">
        <v>33.5</v>
      </c>
      <c r="H1219" s="27" t="s">
        <v>198</v>
      </c>
      <c r="I1219" s="42" t="n">
        <f aca="false">(D1219-INDEX('Cohort Summary'!$D$5:$D$14,MATCH($A1219,'Cohort Summary'!$A$5:$A$14,0)))/INDEX('Cohort Summary'!$E$5:$E$14,MATCH($A1219,'Cohort Summary'!$A$5:$A$14,0))</f>
        <v>0.55363321799308</v>
      </c>
      <c r="J1219" s="42" t="n">
        <f aca="false">(E1219-INDEX('Cohort Summary'!$F$5:$F$14,MATCH($A1219,'Cohort Summary'!$A$5:$A$14,0)))/INDEX('Cohort Summary'!$G$5:$G$14,MATCH($A1219,'Cohort Summary'!$A$5:$A$14,0))</f>
        <v>0.235602094240837</v>
      </c>
      <c r="K1219" s="42" t="n">
        <f aca="false">(F1219-INDEX('Cohort Summary'!$H$5:$H$14,MATCH($A1219,'Cohort Summary'!$A$5:$A$14,0)))/INDEX('Cohort Summary'!$I$5:$I$14,MATCH($A1219,'Cohort Summary'!$A$5:$A$14,0))</f>
        <v>0.00760456273764378</v>
      </c>
      <c r="L1219" s="42" t="n">
        <f aca="false">(G1219-INDEX('Cohort Summary'!$J$5:$J$14,MATCH($A1219,'Cohort Summary'!$A$5:$A$14,0)))/INDEX('Cohort Summary'!$K$5:$K$14,MATCH($A1219,'Cohort Summary'!$A$5:$A$14,0))</f>
        <v>0.0655737704918019</v>
      </c>
      <c r="M1219" s="42" t="n">
        <f aca="false">MAX(I1219:K1219)</f>
        <v>0.55363321799308</v>
      </c>
      <c r="N1219" s="27" t="s">
        <v>197</v>
      </c>
      <c r="O1219" s="27"/>
      <c r="P1219" s="27" t="str">
        <f aca="false">A1219&amp;"|"&amp;N1219</f>
        <v>NURSE-07|normal</v>
      </c>
    </row>
    <row r="1220" customFormat="false" ht="15" hidden="false" customHeight="true" outlineLevel="0" collapsed="false">
      <c r="A1220" s="27" t="s">
        <v>95</v>
      </c>
      <c r="B1220" s="41" t="n">
        <v>46303.2979166667</v>
      </c>
      <c r="C1220" s="27" t="s">
        <v>195</v>
      </c>
      <c r="D1220" s="27" t="n">
        <v>53</v>
      </c>
      <c r="E1220" s="27" t="n">
        <v>18.6</v>
      </c>
      <c r="F1220" s="27" t="n">
        <v>31.2</v>
      </c>
      <c r="G1220" s="27" t="n">
        <v>33.8</v>
      </c>
      <c r="H1220" s="27" t="s">
        <v>199</v>
      </c>
      <c r="I1220" s="42" t="n">
        <f aca="false">(D1220-INDEX('Cohort Summary'!$D$5:$D$14,MATCH($A1220,'Cohort Summary'!$A$5:$A$14,0)))/INDEX('Cohort Summary'!$E$5:$E$14,MATCH($A1220,'Cohort Summary'!$A$5:$A$14,0))</f>
        <v>1.73010380622837</v>
      </c>
      <c r="J1220" s="42" t="n">
        <f aca="false">(E1220-INDEX('Cohort Summary'!$F$5:$F$14,MATCH($A1220,'Cohort Summary'!$A$5:$A$14,0)))/INDEX('Cohort Summary'!$G$5:$G$14,MATCH($A1220,'Cohort Summary'!$A$5:$A$14,0))</f>
        <v>0.0785340314136137</v>
      </c>
      <c r="K1220" s="42" t="n">
        <f aca="false">(F1220-INDEX('Cohort Summary'!$H$5:$H$14,MATCH($A1220,'Cohort Summary'!$A$5:$A$14,0)))/INDEX('Cohort Summary'!$I$5:$I$14,MATCH($A1220,'Cohort Summary'!$A$5:$A$14,0))</f>
        <v>-1.2851711026616</v>
      </c>
      <c r="L1220" s="42" t="n">
        <f aca="false">(G1220-INDEX('Cohort Summary'!$J$5:$J$14,MATCH($A1220,'Cohort Summary'!$A$5:$A$14,0)))/INDEX('Cohort Summary'!$K$5:$K$14,MATCH($A1220,'Cohort Summary'!$A$5:$A$14,0))</f>
        <v>0.557377049180322</v>
      </c>
      <c r="M1220" s="42" t="n">
        <f aca="false">MAX(I1220:K1220)</f>
        <v>1.73010380622837</v>
      </c>
      <c r="N1220" s="27" t="s">
        <v>197</v>
      </c>
      <c r="O1220" s="27"/>
      <c r="P1220" s="27" t="str">
        <f aca="false">A1220&amp;"|"&amp;N1220</f>
        <v>NURSE-07|normal</v>
      </c>
    </row>
    <row r="1221" customFormat="false" ht="15" hidden="false" customHeight="true" outlineLevel="0" collapsed="false">
      <c r="A1221" s="27" t="s">
        <v>95</v>
      </c>
      <c r="B1221" s="41" t="n">
        <v>46303.2982638889</v>
      </c>
      <c r="C1221" s="27" t="s">
        <v>195</v>
      </c>
      <c r="D1221" s="27" t="n">
        <v>52.8</v>
      </c>
      <c r="E1221" s="27" t="n">
        <v>15.1</v>
      </c>
      <c r="F1221" s="27" t="n">
        <v>36.3</v>
      </c>
      <c r="G1221" s="27" t="n">
        <v>33.7</v>
      </c>
      <c r="H1221" s="27" t="s">
        <v>198</v>
      </c>
      <c r="I1221" s="42" t="n">
        <f aca="false">(D1221-INDEX('Cohort Summary'!$D$5:$D$14,MATCH($A1221,'Cohort Summary'!$A$5:$A$14,0)))/INDEX('Cohort Summary'!$E$5:$E$14,MATCH($A1221,'Cohort Summary'!$A$5:$A$14,0))</f>
        <v>1.66089965397924</v>
      </c>
      <c r="J1221" s="42" t="n">
        <f aca="false">(E1221-INDEX('Cohort Summary'!$F$5:$F$14,MATCH($A1221,'Cohort Summary'!$A$5:$A$14,0)))/INDEX('Cohort Summary'!$G$5:$G$14,MATCH($A1221,'Cohort Summary'!$A$5:$A$14,0))</f>
        <v>-1.75392670157068</v>
      </c>
      <c r="K1221" s="42" t="n">
        <f aca="false">(F1221-INDEX('Cohort Summary'!$H$5:$H$14,MATCH($A1221,'Cohort Summary'!$A$5:$A$14,0)))/INDEX('Cohort Summary'!$I$5:$I$14,MATCH($A1221,'Cohort Summary'!$A$5:$A$14,0))</f>
        <v>0.653992395437262</v>
      </c>
      <c r="L1221" s="42" t="n">
        <f aca="false">(G1221-INDEX('Cohort Summary'!$J$5:$J$14,MATCH($A1221,'Cohort Summary'!$A$5:$A$14,0)))/INDEX('Cohort Summary'!$K$5:$K$14,MATCH($A1221,'Cohort Summary'!$A$5:$A$14,0))</f>
        <v>0.393442622950823</v>
      </c>
      <c r="M1221" s="42" t="n">
        <f aca="false">MAX(I1221:K1221)</f>
        <v>1.66089965397924</v>
      </c>
      <c r="N1221" s="27" t="s">
        <v>197</v>
      </c>
      <c r="O1221" s="27"/>
      <c r="P1221" s="27" t="str">
        <f aca="false">A1221&amp;"|"&amp;N1221</f>
        <v>NURSE-07|normal</v>
      </c>
    </row>
    <row r="1222" customFormat="false" ht="15" hidden="false" customHeight="true" outlineLevel="0" collapsed="false">
      <c r="A1222" s="27" t="s">
        <v>95</v>
      </c>
      <c r="B1222" s="41" t="n">
        <v>46303.2986111111</v>
      </c>
      <c r="C1222" s="27" t="s">
        <v>195</v>
      </c>
      <c r="D1222" s="27" t="n">
        <v>47.7</v>
      </c>
      <c r="E1222" s="27" t="n">
        <v>15.9</v>
      </c>
      <c r="F1222" s="27" t="n">
        <v>33</v>
      </c>
      <c r="G1222" s="27" t="n">
        <v>33.8</v>
      </c>
      <c r="H1222" s="27" t="s">
        <v>196</v>
      </c>
      <c r="I1222" s="42" t="n">
        <f aca="false">(D1222-INDEX('Cohort Summary'!$D$5:$D$14,MATCH($A1222,'Cohort Summary'!$A$5:$A$14,0)))/INDEX('Cohort Summary'!$E$5:$E$14,MATCH($A1222,'Cohort Summary'!$A$5:$A$14,0))</f>
        <v>-0.103806228373701</v>
      </c>
      <c r="J1222" s="42" t="n">
        <f aca="false">(E1222-INDEX('Cohort Summary'!$F$5:$F$14,MATCH($A1222,'Cohort Summary'!$A$5:$A$14,0)))/INDEX('Cohort Summary'!$G$5:$G$14,MATCH($A1222,'Cohort Summary'!$A$5:$A$14,0))</f>
        <v>-1.33507853403141</v>
      </c>
      <c r="K1222" s="42" t="n">
        <f aca="false">(F1222-INDEX('Cohort Summary'!$H$5:$H$14,MATCH($A1222,'Cohort Summary'!$A$5:$A$14,0)))/INDEX('Cohort Summary'!$I$5:$I$14,MATCH($A1222,'Cohort Summary'!$A$5:$A$14,0))</f>
        <v>-0.600760456273764</v>
      </c>
      <c r="L1222" s="42" t="n">
        <f aca="false">(G1222-INDEX('Cohort Summary'!$J$5:$J$14,MATCH($A1222,'Cohort Summary'!$A$5:$A$14,0)))/INDEX('Cohort Summary'!$K$5:$K$14,MATCH($A1222,'Cohort Summary'!$A$5:$A$14,0))</f>
        <v>0.557377049180322</v>
      </c>
      <c r="M1222" s="42" t="n">
        <f aca="false">MAX(I1222:K1222)</f>
        <v>-0.103806228373701</v>
      </c>
      <c r="N1222" s="27" t="s">
        <v>197</v>
      </c>
      <c r="O1222" s="27"/>
      <c r="P1222" s="27" t="str">
        <f aca="false">A1222&amp;"|"&amp;N1222</f>
        <v>NURSE-07|normal</v>
      </c>
    </row>
    <row r="1223" customFormat="false" ht="15" hidden="false" customHeight="true" outlineLevel="0" collapsed="false">
      <c r="A1223" s="27" t="s">
        <v>95</v>
      </c>
      <c r="B1223" s="41" t="n">
        <v>46303.2989583333</v>
      </c>
      <c r="C1223" s="27" t="s">
        <v>195</v>
      </c>
      <c r="D1223" s="27" t="n">
        <v>52.3</v>
      </c>
      <c r="E1223" s="27" t="n">
        <v>16</v>
      </c>
      <c r="F1223" s="27" t="n">
        <v>33.9</v>
      </c>
      <c r="G1223" s="27" t="n">
        <v>32.4</v>
      </c>
      <c r="H1223" s="27" t="s">
        <v>199</v>
      </c>
      <c r="I1223" s="42" t="n">
        <f aca="false">(D1223-INDEX('Cohort Summary'!$D$5:$D$14,MATCH($A1223,'Cohort Summary'!$A$5:$A$14,0)))/INDEX('Cohort Summary'!$E$5:$E$14,MATCH($A1223,'Cohort Summary'!$A$5:$A$14,0))</f>
        <v>1.4878892733564</v>
      </c>
      <c r="J1223" s="42" t="n">
        <f aca="false">(E1223-INDEX('Cohort Summary'!$F$5:$F$14,MATCH($A1223,'Cohort Summary'!$A$5:$A$14,0)))/INDEX('Cohort Summary'!$G$5:$G$14,MATCH($A1223,'Cohort Summary'!$A$5:$A$14,0))</f>
        <v>-1.28272251308901</v>
      </c>
      <c r="K1223" s="42" t="n">
        <f aca="false">(F1223-INDEX('Cohort Summary'!$H$5:$H$14,MATCH($A1223,'Cohort Summary'!$A$5:$A$14,0)))/INDEX('Cohort Summary'!$I$5:$I$14,MATCH($A1223,'Cohort Summary'!$A$5:$A$14,0))</f>
        <v>-0.258555133079848</v>
      </c>
      <c r="L1223" s="42" t="n">
        <f aca="false">(G1223-INDEX('Cohort Summary'!$J$5:$J$14,MATCH($A1223,'Cohort Summary'!$A$5:$A$14,0)))/INDEX('Cohort Summary'!$K$5:$K$14,MATCH($A1223,'Cohort Summary'!$A$5:$A$14,0))</f>
        <v>-1.73770491803279</v>
      </c>
      <c r="M1223" s="42" t="n">
        <f aca="false">MAX(I1223:K1223)</f>
        <v>1.4878892733564</v>
      </c>
      <c r="N1223" s="27" t="s">
        <v>197</v>
      </c>
      <c r="O1223" s="27"/>
      <c r="P1223" s="27" t="str">
        <f aca="false">A1223&amp;"|"&amp;N1223</f>
        <v>NURSE-07|normal</v>
      </c>
    </row>
    <row r="1224" customFormat="false" ht="15" hidden="false" customHeight="true" outlineLevel="0" collapsed="false">
      <c r="A1224" s="27" t="s">
        <v>95</v>
      </c>
      <c r="B1224" s="41" t="n">
        <v>46303.2993055556</v>
      </c>
      <c r="C1224" s="27" t="s">
        <v>195</v>
      </c>
      <c r="D1224" s="27" t="n">
        <v>43.2</v>
      </c>
      <c r="E1224" s="27" t="n">
        <v>18.1</v>
      </c>
      <c r="F1224" s="27" t="n">
        <v>33.2</v>
      </c>
      <c r="G1224" s="27" t="n">
        <v>33.6</v>
      </c>
      <c r="H1224" s="27" t="s">
        <v>199</v>
      </c>
      <c r="I1224" s="42" t="n">
        <f aca="false">(D1224-INDEX('Cohort Summary'!$D$5:$D$14,MATCH($A1224,'Cohort Summary'!$A$5:$A$14,0)))/INDEX('Cohort Summary'!$E$5:$E$14,MATCH($A1224,'Cohort Summary'!$A$5:$A$14,0))</f>
        <v>-1.66089965397924</v>
      </c>
      <c r="J1224" s="42" t="n">
        <f aca="false">(E1224-INDEX('Cohort Summary'!$F$5:$F$14,MATCH($A1224,'Cohort Summary'!$A$5:$A$14,0)))/INDEX('Cohort Summary'!$G$5:$G$14,MATCH($A1224,'Cohort Summary'!$A$5:$A$14,0))</f>
        <v>-0.183246073298428</v>
      </c>
      <c r="K1224" s="42" t="n">
        <f aca="false">(F1224-INDEX('Cohort Summary'!$H$5:$H$14,MATCH($A1224,'Cohort Summary'!$A$5:$A$14,0)))/INDEX('Cohort Summary'!$I$5:$I$14,MATCH($A1224,'Cohort Summary'!$A$5:$A$14,0))</f>
        <v>-0.524714828897337</v>
      </c>
      <c r="L1224" s="42" t="n">
        <f aca="false">(G1224-INDEX('Cohort Summary'!$J$5:$J$14,MATCH($A1224,'Cohort Summary'!$A$5:$A$14,0)))/INDEX('Cohort Summary'!$K$5:$K$14,MATCH($A1224,'Cohort Summary'!$A$5:$A$14,0))</f>
        <v>0.229508196721312</v>
      </c>
      <c r="M1224" s="42" t="n">
        <f aca="false">MAX(I1224:K1224)</f>
        <v>-0.183246073298428</v>
      </c>
      <c r="N1224" s="27" t="s">
        <v>197</v>
      </c>
      <c r="O1224" s="27"/>
      <c r="P1224" s="27" t="str">
        <f aca="false">A1224&amp;"|"&amp;N1224</f>
        <v>NURSE-07|normal</v>
      </c>
    </row>
    <row r="1225" customFormat="false" ht="15" hidden="false" customHeight="true" outlineLevel="0" collapsed="false">
      <c r="A1225" s="27" t="s">
        <v>95</v>
      </c>
      <c r="B1225" s="41" t="n">
        <v>46303.2996527778</v>
      </c>
      <c r="C1225" s="27" t="s">
        <v>195</v>
      </c>
      <c r="D1225" s="27" t="n">
        <v>43.7</v>
      </c>
      <c r="E1225" s="27" t="n">
        <v>15.3</v>
      </c>
      <c r="F1225" s="27" t="n">
        <v>30.8</v>
      </c>
      <c r="G1225" s="27" t="n">
        <v>32.5</v>
      </c>
      <c r="H1225" s="27" t="s">
        <v>199</v>
      </c>
      <c r="I1225" s="42" t="n">
        <f aca="false">(D1225-INDEX('Cohort Summary'!$D$5:$D$14,MATCH($A1225,'Cohort Summary'!$A$5:$A$14,0)))/INDEX('Cohort Summary'!$E$5:$E$14,MATCH($A1225,'Cohort Summary'!$A$5:$A$14,0))</f>
        <v>-1.4878892733564</v>
      </c>
      <c r="J1225" s="42" t="n">
        <f aca="false">(E1225-INDEX('Cohort Summary'!$F$5:$F$14,MATCH($A1225,'Cohort Summary'!$A$5:$A$14,0)))/INDEX('Cohort Summary'!$G$5:$G$14,MATCH($A1225,'Cohort Summary'!$A$5:$A$14,0))</f>
        <v>-1.64921465968586</v>
      </c>
      <c r="K1225" s="42" t="n">
        <f aca="false">(F1225-INDEX('Cohort Summary'!$H$5:$H$14,MATCH($A1225,'Cohort Summary'!$A$5:$A$14,0)))/INDEX('Cohort Summary'!$I$5:$I$14,MATCH($A1225,'Cohort Summary'!$A$5:$A$14,0))</f>
        <v>-1.43726235741445</v>
      </c>
      <c r="L1225" s="42" t="n">
        <f aca="false">(G1225-INDEX('Cohort Summary'!$J$5:$J$14,MATCH($A1225,'Cohort Summary'!$A$5:$A$14,0)))/INDEX('Cohort Summary'!$K$5:$K$14,MATCH($A1225,'Cohort Summary'!$A$5:$A$14,0))</f>
        <v>-1.57377049180328</v>
      </c>
      <c r="M1225" s="42" t="n">
        <f aca="false">MAX(I1225:K1225)</f>
        <v>-1.43726235741445</v>
      </c>
      <c r="N1225" s="27" t="s">
        <v>197</v>
      </c>
      <c r="O1225" s="27"/>
      <c r="P1225" s="27" t="str">
        <f aca="false">A1225&amp;"|"&amp;N1225</f>
        <v>NURSE-07|normal</v>
      </c>
    </row>
    <row r="1226" customFormat="false" ht="15" hidden="false" customHeight="true" outlineLevel="0" collapsed="false">
      <c r="A1226" s="27" t="s">
        <v>95</v>
      </c>
      <c r="B1226" s="41" t="n">
        <v>46303.3</v>
      </c>
      <c r="C1226" s="27" t="s">
        <v>195</v>
      </c>
      <c r="D1226" s="27" t="n">
        <v>46.1</v>
      </c>
      <c r="E1226" s="27" t="n">
        <v>18.8</v>
      </c>
      <c r="F1226" s="27" t="n">
        <v>38.1</v>
      </c>
      <c r="G1226" s="27" t="n">
        <v>32.6</v>
      </c>
      <c r="H1226" s="27" t="s">
        <v>196</v>
      </c>
      <c r="I1226" s="42" t="n">
        <f aca="false">(D1226-INDEX('Cohort Summary'!$D$5:$D$14,MATCH($A1226,'Cohort Summary'!$A$5:$A$14,0)))/INDEX('Cohort Summary'!$E$5:$E$14,MATCH($A1226,'Cohort Summary'!$A$5:$A$14,0))</f>
        <v>-0.657439446366782</v>
      </c>
      <c r="J1226" s="42" t="n">
        <f aca="false">(E1226-INDEX('Cohort Summary'!$F$5:$F$14,MATCH($A1226,'Cohort Summary'!$A$5:$A$14,0)))/INDEX('Cohort Summary'!$G$5:$G$14,MATCH($A1226,'Cohort Summary'!$A$5:$A$14,0))</f>
        <v>0.18324607329843</v>
      </c>
      <c r="K1226" s="42" t="n">
        <f aca="false">(F1226-INDEX('Cohort Summary'!$H$5:$H$14,MATCH($A1226,'Cohort Summary'!$A$5:$A$14,0)))/INDEX('Cohort Summary'!$I$5:$I$14,MATCH($A1226,'Cohort Summary'!$A$5:$A$14,0))</f>
        <v>1.3384030418251</v>
      </c>
      <c r="L1226" s="42" t="n">
        <f aca="false">(G1226-INDEX('Cohort Summary'!$J$5:$J$14,MATCH($A1226,'Cohort Summary'!$A$5:$A$14,0)))/INDEX('Cohort Summary'!$K$5:$K$14,MATCH($A1226,'Cohort Summary'!$A$5:$A$14,0))</f>
        <v>-1.40983606557377</v>
      </c>
      <c r="M1226" s="42" t="n">
        <f aca="false">MAX(I1226:K1226)</f>
        <v>1.3384030418251</v>
      </c>
      <c r="N1226" s="27" t="s">
        <v>197</v>
      </c>
      <c r="O1226" s="27"/>
      <c r="P1226" s="27" t="str">
        <f aca="false">A1226&amp;"|"&amp;N1226</f>
        <v>NURSE-07|normal</v>
      </c>
    </row>
    <row r="1227" customFormat="false" ht="15" hidden="false" customHeight="true" outlineLevel="0" collapsed="false">
      <c r="A1227" s="27" t="s">
        <v>95</v>
      </c>
      <c r="B1227" s="41" t="n">
        <v>46303.3003472222</v>
      </c>
      <c r="C1227" s="27" t="s">
        <v>195</v>
      </c>
      <c r="D1227" s="27" t="n">
        <v>49.4</v>
      </c>
      <c r="E1227" s="27" t="n">
        <v>22</v>
      </c>
      <c r="F1227" s="27" t="n">
        <v>33</v>
      </c>
      <c r="G1227" s="27" t="n">
        <v>34</v>
      </c>
      <c r="H1227" s="27" t="s">
        <v>199</v>
      </c>
      <c r="I1227" s="42" t="n">
        <f aca="false">(D1227-INDEX('Cohort Summary'!$D$5:$D$14,MATCH($A1227,'Cohort Summary'!$A$5:$A$14,0)))/INDEX('Cohort Summary'!$E$5:$E$14,MATCH($A1227,'Cohort Summary'!$A$5:$A$14,0))</f>
        <v>0.484429065743944</v>
      </c>
      <c r="J1227" s="42" t="n">
        <f aca="false">(E1227-INDEX('Cohort Summary'!$F$5:$F$14,MATCH($A1227,'Cohort Summary'!$A$5:$A$14,0)))/INDEX('Cohort Summary'!$G$5:$G$14,MATCH($A1227,'Cohort Summary'!$A$5:$A$14,0))</f>
        <v>1.8586387434555</v>
      </c>
      <c r="K1227" s="42" t="n">
        <f aca="false">(F1227-INDEX('Cohort Summary'!$H$5:$H$14,MATCH($A1227,'Cohort Summary'!$A$5:$A$14,0)))/INDEX('Cohort Summary'!$I$5:$I$14,MATCH($A1227,'Cohort Summary'!$A$5:$A$14,0))</f>
        <v>-0.600760456273764</v>
      </c>
      <c r="L1227" s="42" t="n">
        <f aca="false">(G1227-INDEX('Cohort Summary'!$J$5:$J$14,MATCH($A1227,'Cohort Summary'!$A$5:$A$14,0)))/INDEX('Cohort Summary'!$K$5:$K$14,MATCH($A1227,'Cohort Summary'!$A$5:$A$14,0))</f>
        <v>0.885245901639343</v>
      </c>
      <c r="M1227" s="42" t="n">
        <f aca="false">MAX(I1227:K1227)</f>
        <v>1.8586387434555</v>
      </c>
      <c r="N1227" s="27" t="s">
        <v>197</v>
      </c>
      <c r="O1227" s="27"/>
      <c r="P1227" s="27" t="str">
        <f aca="false">A1227&amp;"|"&amp;N1227</f>
        <v>NURSE-07|normal</v>
      </c>
    </row>
    <row r="1228" customFormat="false" ht="15" hidden="false" customHeight="true" outlineLevel="0" collapsed="false">
      <c r="A1228" s="27" t="s">
        <v>95</v>
      </c>
      <c r="B1228" s="41" t="n">
        <v>46303.3006944444</v>
      </c>
      <c r="C1228" s="27" t="s">
        <v>195</v>
      </c>
      <c r="D1228" s="27" t="n">
        <v>50</v>
      </c>
      <c r="E1228" s="27" t="n">
        <v>19.3</v>
      </c>
      <c r="F1228" s="27" t="n">
        <v>36.4</v>
      </c>
      <c r="G1228" s="27" t="n">
        <v>33.9</v>
      </c>
      <c r="H1228" s="27" t="s">
        <v>198</v>
      </c>
      <c r="I1228" s="42" t="n">
        <f aca="false">(D1228-INDEX('Cohort Summary'!$D$5:$D$14,MATCH($A1228,'Cohort Summary'!$A$5:$A$14,0)))/INDEX('Cohort Summary'!$E$5:$E$14,MATCH($A1228,'Cohort Summary'!$A$5:$A$14,0))</f>
        <v>0.692041522491349</v>
      </c>
      <c r="J1228" s="42" t="n">
        <f aca="false">(E1228-INDEX('Cohort Summary'!$F$5:$F$14,MATCH($A1228,'Cohort Summary'!$A$5:$A$14,0)))/INDEX('Cohort Summary'!$G$5:$G$14,MATCH($A1228,'Cohort Summary'!$A$5:$A$14,0))</f>
        <v>0.445026178010472</v>
      </c>
      <c r="K1228" s="42" t="n">
        <f aca="false">(F1228-INDEX('Cohort Summary'!$H$5:$H$14,MATCH($A1228,'Cohort Summary'!$A$5:$A$14,0)))/INDEX('Cohort Summary'!$I$5:$I$14,MATCH($A1228,'Cohort Summary'!$A$5:$A$14,0))</f>
        <v>0.692015209125475</v>
      </c>
      <c r="L1228" s="42" t="n">
        <f aca="false">(G1228-INDEX('Cohort Summary'!$J$5:$J$14,MATCH($A1228,'Cohort Summary'!$A$5:$A$14,0)))/INDEX('Cohort Summary'!$K$5:$K$14,MATCH($A1228,'Cohort Summary'!$A$5:$A$14,0))</f>
        <v>0.721311475409832</v>
      </c>
      <c r="M1228" s="42" t="n">
        <f aca="false">MAX(I1228:K1228)</f>
        <v>0.692041522491349</v>
      </c>
      <c r="N1228" s="27" t="s">
        <v>197</v>
      </c>
      <c r="O1228" s="27"/>
      <c r="P1228" s="27" t="str">
        <f aca="false">A1228&amp;"|"&amp;N1228</f>
        <v>NURSE-07|normal</v>
      </c>
    </row>
    <row r="1229" customFormat="false" ht="15" hidden="false" customHeight="true" outlineLevel="0" collapsed="false">
      <c r="A1229" s="27" t="s">
        <v>95</v>
      </c>
      <c r="B1229" s="41" t="n">
        <v>46303.3010416667</v>
      </c>
      <c r="C1229" s="27" t="s">
        <v>195</v>
      </c>
      <c r="D1229" s="27" t="n">
        <v>44.2</v>
      </c>
      <c r="E1229" s="27" t="n">
        <v>18.2</v>
      </c>
      <c r="F1229" s="27" t="n">
        <v>34.9</v>
      </c>
      <c r="G1229" s="27" t="n">
        <v>33.3</v>
      </c>
      <c r="H1229" s="27" t="s">
        <v>198</v>
      </c>
      <c r="I1229" s="42" t="n">
        <f aca="false">(D1229-INDEX('Cohort Summary'!$D$5:$D$14,MATCH($A1229,'Cohort Summary'!$A$5:$A$14,0)))/INDEX('Cohort Summary'!$E$5:$E$14,MATCH($A1229,'Cohort Summary'!$A$5:$A$14,0))</f>
        <v>-1.31487889273356</v>
      </c>
      <c r="J1229" s="42" t="n">
        <f aca="false">(E1229-INDEX('Cohort Summary'!$F$5:$F$14,MATCH($A1229,'Cohort Summary'!$A$5:$A$14,0)))/INDEX('Cohort Summary'!$G$5:$G$14,MATCH($A1229,'Cohort Summary'!$A$5:$A$14,0))</f>
        <v>-0.130890052356021</v>
      </c>
      <c r="K1229" s="42" t="n">
        <f aca="false">(F1229-INDEX('Cohort Summary'!$H$5:$H$14,MATCH($A1229,'Cohort Summary'!$A$5:$A$14,0)))/INDEX('Cohort Summary'!$I$5:$I$14,MATCH($A1229,'Cohort Summary'!$A$5:$A$14,0))</f>
        <v>0.121673003802281</v>
      </c>
      <c r="L1229" s="42" t="n">
        <f aca="false">(G1229-INDEX('Cohort Summary'!$J$5:$J$14,MATCH($A1229,'Cohort Summary'!$A$5:$A$14,0)))/INDEX('Cohort Summary'!$K$5:$K$14,MATCH($A1229,'Cohort Summary'!$A$5:$A$14,0))</f>
        <v>-0.262295081967219</v>
      </c>
      <c r="M1229" s="42" t="n">
        <f aca="false">MAX(I1229:K1229)</f>
        <v>0.121673003802281</v>
      </c>
      <c r="N1229" s="27" t="s">
        <v>197</v>
      </c>
      <c r="O1229" s="27"/>
      <c r="P1229" s="27" t="str">
        <f aca="false">A1229&amp;"|"&amp;N1229</f>
        <v>NURSE-07|normal</v>
      </c>
    </row>
    <row r="1230" customFormat="false" ht="15" hidden="false" customHeight="true" outlineLevel="0" collapsed="false">
      <c r="A1230" s="27" t="s">
        <v>95</v>
      </c>
      <c r="B1230" s="41" t="n">
        <v>46303.3013888889</v>
      </c>
      <c r="C1230" s="27" t="s">
        <v>195</v>
      </c>
      <c r="D1230" s="27" t="n">
        <v>47.4</v>
      </c>
      <c r="E1230" s="27" t="n">
        <v>16.6</v>
      </c>
      <c r="F1230" s="27" t="n">
        <v>39.7</v>
      </c>
      <c r="G1230" s="27" t="n">
        <v>33</v>
      </c>
      <c r="H1230" s="27" t="s">
        <v>196</v>
      </c>
      <c r="I1230" s="42" t="n">
        <f aca="false">(D1230-INDEX('Cohort Summary'!$D$5:$D$14,MATCH($A1230,'Cohort Summary'!$A$5:$A$14,0)))/INDEX('Cohort Summary'!$E$5:$E$14,MATCH($A1230,'Cohort Summary'!$A$5:$A$14,0))</f>
        <v>-0.207612456747405</v>
      </c>
      <c r="J1230" s="42" t="n">
        <f aca="false">(E1230-INDEX('Cohort Summary'!$F$5:$F$14,MATCH($A1230,'Cohort Summary'!$A$5:$A$14,0)))/INDEX('Cohort Summary'!$G$5:$G$14,MATCH($A1230,'Cohort Summary'!$A$5:$A$14,0))</f>
        <v>-0.968586387434554</v>
      </c>
      <c r="K1230" s="42" t="n">
        <f aca="false">(F1230-INDEX('Cohort Summary'!$H$5:$H$14,MATCH($A1230,'Cohort Summary'!$A$5:$A$14,0)))/INDEX('Cohort Summary'!$I$5:$I$14,MATCH($A1230,'Cohort Summary'!$A$5:$A$14,0))</f>
        <v>1.9467680608365</v>
      </c>
      <c r="L1230" s="42" t="n">
        <f aca="false">(G1230-INDEX('Cohort Summary'!$J$5:$J$14,MATCH($A1230,'Cohort Summary'!$A$5:$A$14,0)))/INDEX('Cohort Summary'!$K$5:$K$14,MATCH($A1230,'Cohort Summary'!$A$5:$A$14,0))</f>
        <v>-0.754098360655739</v>
      </c>
      <c r="M1230" s="42" t="n">
        <f aca="false">MAX(I1230:K1230)</f>
        <v>1.9467680608365</v>
      </c>
      <c r="N1230" s="27" t="s">
        <v>197</v>
      </c>
      <c r="O1230" s="27"/>
      <c r="P1230" s="27" t="str">
        <f aca="false">A1230&amp;"|"&amp;N1230</f>
        <v>NURSE-07|normal</v>
      </c>
    </row>
    <row r="1231" customFormat="false" ht="15" hidden="false" customHeight="true" outlineLevel="0" collapsed="false">
      <c r="A1231" s="27" t="s">
        <v>95</v>
      </c>
      <c r="B1231" s="41" t="n">
        <v>46303.3017361111</v>
      </c>
      <c r="C1231" s="27" t="s">
        <v>195</v>
      </c>
      <c r="D1231" s="27" t="n">
        <v>50.1</v>
      </c>
      <c r="E1231" s="27" t="n">
        <v>17.7</v>
      </c>
      <c r="F1231" s="27" t="n">
        <v>35.2</v>
      </c>
      <c r="G1231" s="27" t="n">
        <v>33.5</v>
      </c>
      <c r="H1231" s="27" t="s">
        <v>198</v>
      </c>
      <c r="I1231" s="42" t="n">
        <f aca="false">(D1231-INDEX('Cohort Summary'!$D$5:$D$14,MATCH($A1231,'Cohort Summary'!$A$5:$A$14,0)))/INDEX('Cohort Summary'!$E$5:$E$14,MATCH($A1231,'Cohort Summary'!$A$5:$A$14,0))</f>
        <v>0.726643598615917</v>
      </c>
      <c r="J1231" s="42" t="n">
        <f aca="false">(E1231-INDEX('Cohort Summary'!$F$5:$F$14,MATCH($A1231,'Cohort Summary'!$A$5:$A$14,0)))/INDEX('Cohort Summary'!$G$5:$G$14,MATCH($A1231,'Cohort Summary'!$A$5:$A$14,0))</f>
        <v>-0.392670157068063</v>
      </c>
      <c r="K1231" s="42" t="n">
        <f aca="false">(F1231-INDEX('Cohort Summary'!$H$5:$H$14,MATCH($A1231,'Cohort Summary'!$A$5:$A$14,0)))/INDEX('Cohort Summary'!$I$5:$I$14,MATCH($A1231,'Cohort Summary'!$A$5:$A$14,0))</f>
        <v>0.235741444866922</v>
      </c>
      <c r="L1231" s="42" t="n">
        <f aca="false">(G1231-INDEX('Cohort Summary'!$J$5:$J$14,MATCH($A1231,'Cohort Summary'!$A$5:$A$14,0)))/INDEX('Cohort Summary'!$K$5:$K$14,MATCH($A1231,'Cohort Summary'!$A$5:$A$14,0))</f>
        <v>0.0655737704918019</v>
      </c>
      <c r="M1231" s="42" t="n">
        <f aca="false">MAX(I1231:K1231)</f>
        <v>0.726643598615917</v>
      </c>
      <c r="N1231" s="27" t="s">
        <v>197</v>
      </c>
      <c r="O1231" s="27"/>
      <c r="P1231" s="27" t="str">
        <f aca="false">A1231&amp;"|"&amp;N1231</f>
        <v>NURSE-07|normal</v>
      </c>
    </row>
    <row r="1232" customFormat="false" ht="15" hidden="false" customHeight="true" outlineLevel="0" collapsed="false">
      <c r="A1232" s="27" t="s">
        <v>95</v>
      </c>
      <c r="B1232" s="41" t="n">
        <v>46303.3020833333</v>
      </c>
      <c r="C1232" s="27" t="s">
        <v>195</v>
      </c>
      <c r="D1232" s="27" t="n">
        <v>48.9</v>
      </c>
      <c r="E1232" s="27" t="n">
        <v>19.6</v>
      </c>
      <c r="F1232" s="27" t="n">
        <v>32.6</v>
      </c>
      <c r="G1232" s="27" t="n">
        <v>34.2</v>
      </c>
      <c r="H1232" s="27" t="s">
        <v>198</v>
      </c>
      <c r="I1232" s="42" t="n">
        <f aca="false">(D1232-INDEX('Cohort Summary'!$D$5:$D$14,MATCH($A1232,'Cohort Summary'!$A$5:$A$14,0)))/INDEX('Cohort Summary'!$E$5:$E$14,MATCH($A1232,'Cohort Summary'!$A$5:$A$14,0))</f>
        <v>0.311418685121107</v>
      </c>
      <c r="J1232" s="42" t="n">
        <f aca="false">(E1232-INDEX('Cohort Summary'!$F$5:$F$14,MATCH($A1232,'Cohort Summary'!$A$5:$A$14,0)))/INDEX('Cohort Summary'!$G$5:$G$14,MATCH($A1232,'Cohort Summary'!$A$5:$A$14,0))</f>
        <v>0.602094240837698</v>
      </c>
      <c r="K1232" s="42" t="n">
        <f aca="false">(F1232-INDEX('Cohort Summary'!$H$5:$H$14,MATCH($A1232,'Cohort Summary'!$A$5:$A$14,0)))/INDEX('Cohort Summary'!$I$5:$I$14,MATCH($A1232,'Cohort Summary'!$A$5:$A$14,0))</f>
        <v>-0.752851711026615</v>
      </c>
      <c r="L1232" s="42" t="n">
        <f aca="false">(G1232-INDEX('Cohort Summary'!$J$5:$J$14,MATCH($A1232,'Cohort Summary'!$A$5:$A$14,0)))/INDEX('Cohort Summary'!$K$5:$K$14,MATCH($A1232,'Cohort Summary'!$A$5:$A$14,0))</f>
        <v>1.21311475409836</v>
      </c>
      <c r="M1232" s="42" t="n">
        <f aca="false">MAX(I1232:K1232)</f>
        <v>0.602094240837698</v>
      </c>
      <c r="N1232" s="27" t="s">
        <v>197</v>
      </c>
      <c r="O1232" s="27"/>
      <c r="P1232" s="27" t="str">
        <f aca="false">A1232&amp;"|"&amp;N1232</f>
        <v>NURSE-07|normal</v>
      </c>
    </row>
    <row r="1233" customFormat="false" ht="15" hidden="false" customHeight="true" outlineLevel="0" collapsed="false">
      <c r="A1233" s="27" t="s">
        <v>95</v>
      </c>
      <c r="B1233" s="41" t="n">
        <v>46303.3024305556</v>
      </c>
      <c r="C1233" s="27" t="s">
        <v>195</v>
      </c>
      <c r="D1233" s="27" t="n">
        <v>47.4</v>
      </c>
      <c r="E1233" s="27" t="n">
        <v>20.3</v>
      </c>
      <c r="F1233" s="27" t="n">
        <v>32.8</v>
      </c>
      <c r="G1233" s="27" t="n">
        <v>32.7</v>
      </c>
      <c r="H1233" s="27" t="s">
        <v>196</v>
      </c>
      <c r="I1233" s="42" t="n">
        <f aca="false">(D1233-INDEX('Cohort Summary'!$D$5:$D$14,MATCH($A1233,'Cohort Summary'!$A$5:$A$14,0)))/INDEX('Cohort Summary'!$E$5:$E$14,MATCH($A1233,'Cohort Summary'!$A$5:$A$14,0))</f>
        <v>-0.207612456747405</v>
      </c>
      <c r="J1233" s="42" t="n">
        <f aca="false">(E1233-INDEX('Cohort Summary'!$F$5:$F$14,MATCH($A1233,'Cohort Summary'!$A$5:$A$14,0)))/INDEX('Cohort Summary'!$G$5:$G$14,MATCH($A1233,'Cohort Summary'!$A$5:$A$14,0))</f>
        <v>0.968586387434556</v>
      </c>
      <c r="K1233" s="42" t="n">
        <f aca="false">(F1233-INDEX('Cohort Summary'!$H$5:$H$14,MATCH($A1233,'Cohort Summary'!$A$5:$A$14,0)))/INDEX('Cohort Summary'!$I$5:$I$14,MATCH($A1233,'Cohort Summary'!$A$5:$A$14,0))</f>
        <v>-0.676806083650191</v>
      </c>
      <c r="L1233" s="42" t="n">
        <f aca="false">(G1233-INDEX('Cohort Summary'!$J$5:$J$14,MATCH($A1233,'Cohort Summary'!$A$5:$A$14,0)))/INDEX('Cohort Summary'!$K$5:$K$14,MATCH($A1233,'Cohort Summary'!$A$5:$A$14,0))</f>
        <v>-1.24590163934426</v>
      </c>
      <c r="M1233" s="42" t="n">
        <f aca="false">MAX(I1233:K1233)</f>
        <v>0.968586387434556</v>
      </c>
      <c r="N1233" s="27" t="s">
        <v>197</v>
      </c>
      <c r="O1233" s="27"/>
      <c r="P1233" s="27" t="str">
        <f aca="false">A1233&amp;"|"&amp;N1233</f>
        <v>NURSE-07|normal</v>
      </c>
    </row>
    <row r="1234" customFormat="false" ht="15" hidden="false" customHeight="true" outlineLevel="0" collapsed="false">
      <c r="A1234" s="27" t="s">
        <v>95</v>
      </c>
      <c r="B1234" s="41" t="n">
        <v>46303.3027777778</v>
      </c>
      <c r="C1234" s="27" t="s">
        <v>195</v>
      </c>
      <c r="D1234" s="27" t="n">
        <v>44.7</v>
      </c>
      <c r="E1234" s="27" t="n">
        <v>16</v>
      </c>
      <c r="F1234" s="27" t="n">
        <v>32.7</v>
      </c>
      <c r="G1234" s="27" t="n">
        <v>34.1</v>
      </c>
      <c r="H1234" s="27" t="s">
        <v>198</v>
      </c>
      <c r="I1234" s="42" t="n">
        <f aca="false">(D1234-INDEX('Cohort Summary'!$D$5:$D$14,MATCH($A1234,'Cohort Summary'!$A$5:$A$14,0)))/INDEX('Cohort Summary'!$E$5:$E$14,MATCH($A1234,'Cohort Summary'!$A$5:$A$14,0))</f>
        <v>-1.14186851211073</v>
      </c>
      <c r="J1234" s="42" t="n">
        <f aca="false">(E1234-INDEX('Cohort Summary'!$F$5:$F$14,MATCH($A1234,'Cohort Summary'!$A$5:$A$14,0)))/INDEX('Cohort Summary'!$G$5:$G$14,MATCH($A1234,'Cohort Summary'!$A$5:$A$14,0))</f>
        <v>-1.28272251308901</v>
      </c>
      <c r="K1234" s="42" t="n">
        <f aca="false">(F1234-INDEX('Cohort Summary'!$H$5:$H$14,MATCH($A1234,'Cohort Summary'!$A$5:$A$14,0)))/INDEX('Cohort Summary'!$I$5:$I$14,MATCH($A1234,'Cohort Summary'!$A$5:$A$14,0))</f>
        <v>-0.714828897338401</v>
      </c>
      <c r="L1234" s="42" t="n">
        <f aca="false">(G1234-INDEX('Cohort Summary'!$J$5:$J$14,MATCH($A1234,'Cohort Summary'!$A$5:$A$14,0)))/INDEX('Cohort Summary'!$K$5:$K$14,MATCH($A1234,'Cohort Summary'!$A$5:$A$14,0))</f>
        <v>1.04918032786885</v>
      </c>
      <c r="M1234" s="42" t="n">
        <f aca="false">MAX(I1234:K1234)</f>
        <v>-0.714828897338401</v>
      </c>
      <c r="N1234" s="27" t="s">
        <v>197</v>
      </c>
      <c r="O1234" s="27"/>
      <c r="P1234" s="27" t="str">
        <f aca="false">A1234&amp;"|"&amp;N1234</f>
        <v>NURSE-07|normal</v>
      </c>
    </row>
    <row r="1235" customFormat="false" ht="15" hidden="false" customHeight="true" outlineLevel="0" collapsed="false">
      <c r="A1235" s="27" t="s">
        <v>95</v>
      </c>
      <c r="B1235" s="41" t="n">
        <v>46303.303125</v>
      </c>
      <c r="C1235" s="27" t="s">
        <v>195</v>
      </c>
      <c r="D1235" s="27" t="n">
        <v>48.6</v>
      </c>
      <c r="E1235" s="27" t="n">
        <v>17.9</v>
      </c>
      <c r="F1235" s="27" t="n">
        <v>30.3</v>
      </c>
      <c r="G1235" s="27" t="n">
        <v>33.3</v>
      </c>
      <c r="H1235" s="27" t="s">
        <v>199</v>
      </c>
      <c r="I1235" s="42" t="n">
        <f aca="false">(D1235-INDEX('Cohort Summary'!$D$5:$D$14,MATCH($A1235,'Cohort Summary'!$A$5:$A$14,0)))/INDEX('Cohort Summary'!$E$5:$E$14,MATCH($A1235,'Cohort Summary'!$A$5:$A$14,0))</f>
        <v>0.207612456747405</v>
      </c>
      <c r="J1235" s="42" t="n">
        <f aca="false">(E1235-INDEX('Cohort Summary'!$F$5:$F$14,MATCH($A1235,'Cohort Summary'!$A$5:$A$14,0)))/INDEX('Cohort Summary'!$G$5:$G$14,MATCH($A1235,'Cohort Summary'!$A$5:$A$14,0))</f>
        <v>-0.287958115183246</v>
      </c>
      <c r="K1235" s="42" t="n">
        <f aca="false">(F1235-INDEX('Cohort Summary'!$H$5:$H$14,MATCH($A1235,'Cohort Summary'!$A$5:$A$14,0)))/INDEX('Cohort Summary'!$I$5:$I$14,MATCH($A1235,'Cohort Summary'!$A$5:$A$14,0))</f>
        <v>-1.62737642585551</v>
      </c>
      <c r="L1235" s="42" t="n">
        <f aca="false">(G1235-INDEX('Cohort Summary'!$J$5:$J$14,MATCH($A1235,'Cohort Summary'!$A$5:$A$14,0)))/INDEX('Cohort Summary'!$K$5:$K$14,MATCH($A1235,'Cohort Summary'!$A$5:$A$14,0))</f>
        <v>-0.262295081967219</v>
      </c>
      <c r="M1235" s="42" t="n">
        <f aca="false">MAX(I1235:K1235)</f>
        <v>0.207612456747405</v>
      </c>
      <c r="N1235" s="27" t="s">
        <v>197</v>
      </c>
      <c r="O1235" s="27"/>
      <c r="P1235" s="27" t="str">
        <f aca="false">A1235&amp;"|"&amp;N1235</f>
        <v>NURSE-07|normal</v>
      </c>
    </row>
    <row r="1236" customFormat="false" ht="15" hidden="false" customHeight="true" outlineLevel="0" collapsed="false">
      <c r="A1236" s="27" t="s">
        <v>95</v>
      </c>
      <c r="B1236" s="41" t="n">
        <v>46303.3034722222</v>
      </c>
      <c r="C1236" s="27" t="s">
        <v>195</v>
      </c>
      <c r="D1236" s="27" t="n">
        <v>52.1</v>
      </c>
      <c r="E1236" s="27" t="n">
        <v>18.1</v>
      </c>
      <c r="F1236" s="27" t="n">
        <v>37.6</v>
      </c>
      <c r="G1236" s="27" t="n">
        <v>32.6</v>
      </c>
      <c r="H1236" s="27" t="s">
        <v>198</v>
      </c>
      <c r="I1236" s="42" t="n">
        <f aca="false">(D1236-INDEX('Cohort Summary'!$D$5:$D$14,MATCH($A1236,'Cohort Summary'!$A$5:$A$14,0)))/INDEX('Cohort Summary'!$E$5:$E$14,MATCH($A1236,'Cohort Summary'!$A$5:$A$14,0))</f>
        <v>1.41868512110727</v>
      </c>
      <c r="J1236" s="42" t="n">
        <f aca="false">(E1236-INDEX('Cohort Summary'!$F$5:$F$14,MATCH($A1236,'Cohort Summary'!$A$5:$A$14,0)))/INDEX('Cohort Summary'!$G$5:$G$14,MATCH($A1236,'Cohort Summary'!$A$5:$A$14,0))</f>
        <v>-0.183246073298428</v>
      </c>
      <c r="K1236" s="42" t="n">
        <f aca="false">(F1236-INDEX('Cohort Summary'!$H$5:$H$14,MATCH($A1236,'Cohort Summary'!$A$5:$A$14,0)))/INDEX('Cohort Summary'!$I$5:$I$14,MATCH($A1236,'Cohort Summary'!$A$5:$A$14,0))</f>
        <v>1.14828897338403</v>
      </c>
      <c r="L1236" s="42" t="n">
        <f aca="false">(G1236-INDEX('Cohort Summary'!$J$5:$J$14,MATCH($A1236,'Cohort Summary'!$A$5:$A$14,0)))/INDEX('Cohort Summary'!$K$5:$K$14,MATCH($A1236,'Cohort Summary'!$A$5:$A$14,0))</f>
        <v>-1.40983606557377</v>
      </c>
      <c r="M1236" s="42" t="n">
        <f aca="false">MAX(I1236:K1236)</f>
        <v>1.41868512110727</v>
      </c>
      <c r="N1236" s="27" t="s">
        <v>197</v>
      </c>
      <c r="O1236" s="27"/>
      <c r="P1236" s="27" t="str">
        <f aca="false">A1236&amp;"|"&amp;N1236</f>
        <v>NURSE-07|normal</v>
      </c>
    </row>
    <row r="1237" customFormat="false" ht="15" hidden="false" customHeight="true" outlineLevel="0" collapsed="false">
      <c r="A1237" s="27" t="s">
        <v>95</v>
      </c>
      <c r="B1237" s="41" t="n">
        <v>46303.3038194445</v>
      </c>
      <c r="C1237" s="27" t="s">
        <v>195</v>
      </c>
      <c r="D1237" s="27" t="n">
        <v>47.1</v>
      </c>
      <c r="E1237" s="27" t="n">
        <v>18.5</v>
      </c>
      <c r="F1237" s="27" t="n">
        <v>38.2</v>
      </c>
      <c r="G1237" s="27" t="n">
        <v>34</v>
      </c>
      <c r="H1237" s="27" t="s">
        <v>199</v>
      </c>
      <c r="I1237" s="42" t="n">
        <f aca="false">(D1237-INDEX('Cohort Summary'!$D$5:$D$14,MATCH($A1237,'Cohort Summary'!$A$5:$A$14,0)))/INDEX('Cohort Summary'!$E$5:$E$14,MATCH($A1237,'Cohort Summary'!$A$5:$A$14,0))</f>
        <v>-0.311418685121107</v>
      </c>
      <c r="J1237" s="42" t="n">
        <f aca="false">(E1237-INDEX('Cohort Summary'!$F$5:$F$14,MATCH($A1237,'Cohort Summary'!$A$5:$A$14,0)))/INDEX('Cohort Summary'!$G$5:$G$14,MATCH($A1237,'Cohort Summary'!$A$5:$A$14,0))</f>
        <v>0.0261780104712046</v>
      </c>
      <c r="K1237" s="42" t="n">
        <f aca="false">(F1237-INDEX('Cohort Summary'!$H$5:$H$14,MATCH($A1237,'Cohort Summary'!$A$5:$A$14,0)))/INDEX('Cohort Summary'!$I$5:$I$14,MATCH($A1237,'Cohort Summary'!$A$5:$A$14,0))</f>
        <v>1.37642585551331</v>
      </c>
      <c r="L1237" s="42" t="n">
        <f aca="false">(G1237-INDEX('Cohort Summary'!$J$5:$J$14,MATCH($A1237,'Cohort Summary'!$A$5:$A$14,0)))/INDEX('Cohort Summary'!$K$5:$K$14,MATCH($A1237,'Cohort Summary'!$A$5:$A$14,0))</f>
        <v>0.885245901639343</v>
      </c>
      <c r="M1237" s="42" t="n">
        <f aca="false">MAX(I1237:K1237)</f>
        <v>1.37642585551331</v>
      </c>
      <c r="N1237" s="27" t="s">
        <v>197</v>
      </c>
      <c r="O1237" s="27"/>
      <c r="P1237" s="27" t="str">
        <f aca="false">A1237&amp;"|"&amp;N1237</f>
        <v>NURSE-07|normal</v>
      </c>
    </row>
    <row r="1238" customFormat="false" ht="15" hidden="false" customHeight="true" outlineLevel="0" collapsed="false">
      <c r="A1238" s="27" t="s">
        <v>95</v>
      </c>
      <c r="B1238" s="41" t="n">
        <v>46303.3041666667</v>
      </c>
      <c r="C1238" s="27" t="s">
        <v>195</v>
      </c>
      <c r="D1238" s="27" t="n">
        <v>44.3</v>
      </c>
      <c r="E1238" s="27" t="n">
        <v>18.3</v>
      </c>
      <c r="F1238" s="27" t="n">
        <v>30.2</v>
      </c>
      <c r="G1238" s="27" t="n">
        <v>32.7</v>
      </c>
      <c r="H1238" s="27" t="s">
        <v>198</v>
      </c>
      <c r="I1238" s="42" t="n">
        <f aca="false">(D1238-INDEX('Cohort Summary'!$D$5:$D$14,MATCH($A1238,'Cohort Summary'!$A$5:$A$14,0)))/INDEX('Cohort Summary'!$E$5:$E$14,MATCH($A1238,'Cohort Summary'!$A$5:$A$14,0))</f>
        <v>-1.280276816609</v>
      </c>
      <c r="J1238" s="42" t="n">
        <f aca="false">(E1238-INDEX('Cohort Summary'!$F$5:$F$14,MATCH($A1238,'Cohort Summary'!$A$5:$A$14,0)))/INDEX('Cohort Summary'!$G$5:$G$14,MATCH($A1238,'Cohort Summary'!$A$5:$A$14,0))</f>
        <v>-0.0785340314136118</v>
      </c>
      <c r="K1238" s="42" t="n">
        <f aca="false">(F1238-INDEX('Cohort Summary'!$H$5:$H$14,MATCH($A1238,'Cohort Summary'!$A$5:$A$14,0)))/INDEX('Cohort Summary'!$I$5:$I$14,MATCH($A1238,'Cohort Summary'!$A$5:$A$14,0))</f>
        <v>-1.66539923954373</v>
      </c>
      <c r="L1238" s="42" t="n">
        <f aca="false">(G1238-INDEX('Cohort Summary'!$J$5:$J$14,MATCH($A1238,'Cohort Summary'!$A$5:$A$14,0)))/INDEX('Cohort Summary'!$K$5:$K$14,MATCH($A1238,'Cohort Summary'!$A$5:$A$14,0))</f>
        <v>-1.24590163934426</v>
      </c>
      <c r="M1238" s="42" t="n">
        <f aca="false">MAX(I1238:K1238)</f>
        <v>-0.0785340314136118</v>
      </c>
      <c r="N1238" s="27" t="s">
        <v>197</v>
      </c>
      <c r="O1238" s="27"/>
      <c r="P1238" s="27" t="str">
        <f aca="false">A1238&amp;"|"&amp;N1238</f>
        <v>NURSE-07|normal</v>
      </c>
    </row>
    <row r="1239" customFormat="false" ht="15" hidden="false" customHeight="true" outlineLevel="0" collapsed="false">
      <c r="A1239" s="27" t="s">
        <v>95</v>
      </c>
      <c r="B1239" s="41" t="n">
        <v>46303.3045138889</v>
      </c>
      <c r="C1239" s="27" t="s">
        <v>195</v>
      </c>
      <c r="D1239" s="27" t="n">
        <v>49.4</v>
      </c>
      <c r="E1239" s="27" t="n">
        <v>20.7</v>
      </c>
      <c r="F1239" s="27" t="n">
        <v>35.5</v>
      </c>
      <c r="G1239" s="27" t="n">
        <v>33.6</v>
      </c>
      <c r="H1239" s="27" t="s">
        <v>198</v>
      </c>
      <c r="I1239" s="42" t="n">
        <f aca="false">(D1239-INDEX('Cohort Summary'!$D$5:$D$14,MATCH($A1239,'Cohort Summary'!$A$5:$A$14,0)))/INDEX('Cohort Summary'!$E$5:$E$14,MATCH($A1239,'Cohort Summary'!$A$5:$A$14,0))</f>
        <v>0.484429065743944</v>
      </c>
      <c r="J1239" s="42" t="n">
        <f aca="false">(E1239-INDEX('Cohort Summary'!$F$5:$F$14,MATCH($A1239,'Cohort Summary'!$A$5:$A$14,0)))/INDEX('Cohort Summary'!$G$5:$G$14,MATCH($A1239,'Cohort Summary'!$A$5:$A$14,0))</f>
        <v>1.17801047120419</v>
      </c>
      <c r="K1239" s="42" t="n">
        <f aca="false">(F1239-INDEX('Cohort Summary'!$H$5:$H$14,MATCH($A1239,'Cohort Summary'!$A$5:$A$14,0)))/INDEX('Cohort Summary'!$I$5:$I$14,MATCH($A1239,'Cohort Summary'!$A$5:$A$14,0))</f>
        <v>0.34980988593156</v>
      </c>
      <c r="L1239" s="42" t="n">
        <f aca="false">(G1239-INDEX('Cohort Summary'!$J$5:$J$14,MATCH($A1239,'Cohort Summary'!$A$5:$A$14,0)))/INDEX('Cohort Summary'!$K$5:$K$14,MATCH($A1239,'Cohort Summary'!$A$5:$A$14,0))</f>
        <v>0.229508196721312</v>
      </c>
      <c r="M1239" s="42" t="n">
        <f aca="false">MAX(I1239:K1239)</f>
        <v>1.17801047120419</v>
      </c>
      <c r="N1239" s="27" t="s">
        <v>197</v>
      </c>
      <c r="O1239" s="27"/>
      <c r="P1239" s="27" t="str">
        <f aca="false">A1239&amp;"|"&amp;N1239</f>
        <v>NURSE-07|normal</v>
      </c>
    </row>
    <row r="1240" customFormat="false" ht="15" hidden="false" customHeight="true" outlineLevel="0" collapsed="false">
      <c r="A1240" s="27" t="s">
        <v>95</v>
      </c>
      <c r="B1240" s="41" t="n">
        <v>46303.3048611111</v>
      </c>
      <c r="C1240" s="27" t="s">
        <v>195</v>
      </c>
      <c r="D1240" s="27" t="n">
        <v>44.4</v>
      </c>
      <c r="E1240" s="27" t="n">
        <v>20.7</v>
      </c>
      <c r="F1240" s="27" t="n">
        <v>34.2</v>
      </c>
      <c r="G1240" s="27" t="n">
        <v>32.9</v>
      </c>
      <c r="H1240" s="27" t="s">
        <v>198</v>
      </c>
      <c r="I1240" s="42" t="n">
        <f aca="false">(D1240-INDEX('Cohort Summary'!$D$5:$D$14,MATCH($A1240,'Cohort Summary'!$A$5:$A$14,0)))/INDEX('Cohort Summary'!$E$5:$E$14,MATCH($A1240,'Cohort Summary'!$A$5:$A$14,0))</f>
        <v>-1.24567474048443</v>
      </c>
      <c r="J1240" s="42" t="n">
        <f aca="false">(E1240-INDEX('Cohort Summary'!$F$5:$F$14,MATCH($A1240,'Cohort Summary'!$A$5:$A$14,0)))/INDEX('Cohort Summary'!$G$5:$G$14,MATCH($A1240,'Cohort Summary'!$A$5:$A$14,0))</f>
        <v>1.17801047120419</v>
      </c>
      <c r="K1240" s="42" t="n">
        <f aca="false">(F1240-INDEX('Cohort Summary'!$H$5:$H$14,MATCH($A1240,'Cohort Summary'!$A$5:$A$14,0)))/INDEX('Cohort Summary'!$I$5:$I$14,MATCH($A1240,'Cohort Summary'!$A$5:$A$14,0))</f>
        <v>-0.144486692015207</v>
      </c>
      <c r="L1240" s="42" t="n">
        <f aca="false">(G1240-INDEX('Cohort Summary'!$J$5:$J$14,MATCH($A1240,'Cohort Summary'!$A$5:$A$14,0)))/INDEX('Cohort Summary'!$K$5:$K$14,MATCH($A1240,'Cohort Summary'!$A$5:$A$14,0))</f>
        <v>-0.91803278688525</v>
      </c>
      <c r="M1240" s="42" t="n">
        <f aca="false">MAX(I1240:K1240)</f>
        <v>1.17801047120419</v>
      </c>
      <c r="N1240" s="27" t="s">
        <v>197</v>
      </c>
      <c r="O1240" s="27"/>
      <c r="P1240" s="27" t="str">
        <f aca="false">A1240&amp;"|"&amp;N1240</f>
        <v>NURSE-07|normal</v>
      </c>
    </row>
    <row r="1241" customFormat="false" ht="15" hidden="false" customHeight="true" outlineLevel="0" collapsed="false">
      <c r="A1241" s="27" t="s">
        <v>95</v>
      </c>
      <c r="B1241" s="41" t="n">
        <v>46303.3052083333</v>
      </c>
      <c r="C1241" s="27" t="s">
        <v>195</v>
      </c>
      <c r="D1241" s="27" t="n">
        <v>46.1</v>
      </c>
      <c r="E1241" s="27" t="n">
        <v>21.8</v>
      </c>
      <c r="F1241" s="27" t="n">
        <v>35.6</v>
      </c>
      <c r="G1241" s="27" t="n">
        <v>34.4</v>
      </c>
      <c r="H1241" s="27" t="s">
        <v>196</v>
      </c>
      <c r="I1241" s="42" t="n">
        <f aca="false">(D1241-INDEX('Cohort Summary'!$D$5:$D$14,MATCH($A1241,'Cohort Summary'!$A$5:$A$14,0)))/INDEX('Cohort Summary'!$E$5:$E$14,MATCH($A1241,'Cohort Summary'!$A$5:$A$14,0))</f>
        <v>-0.657439446366782</v>
      </c>
      <c r="J1241" s="42" t="n">
        <f aca="false">(E1241-INDEX('Cohort Summary'!$F$5:$F$14,MATCH($A1241,'Cohort Summary'!$A$5:$A$14,0)))/INDEX('Cohort Summary'!$G$5:$G$14,MATCH($A1241,'Cohort Summary'!$A$5:$A$14,0))</f>
        <v>1.75392670157068</v>
      </c>
      <c r="K1241" s="42" t="n">
        <f aca="false">(F1241-INDEX('Cohort Summary'!$H$5:$H$14,MATCH($A1241,'Cohort Summary'!$A$5:$A$14,0)))/INDEX('Cohort Summary'!$I$5:$I$14,MATCH($A1241,'Cohort Summary'!$A$5:$A$14,0))</f>
        <v>0.387832699619773</v>
      </c>
      <c r="L1241" s="42" t="n">
        <f aca="false">(G1241-INDEX('Cohort Summary'!$J$5:$J$14,MATCH($A1241,'Cohort Summary'!$A$5:$A$14,0)))/INDEX('Cohort Summary'!$K$5:$K$14,MATCH($A1241,'Cohort Summary'!$A$5:$A$14,0))</f>
        <v>1.54098360655737</v>
      </c>
      <c r="M1241" s="42" t="n">
        <f aca="false">MAX(I1241:K1241)</f>
        <v>1.75392670157068</v>
      </c>
      <c r="N1241" s="27" t="s">
        <v>197</v>
      </c>
      <c r="O1241" s="27"/>
      <c r="P1241" s="27" t="str">
        <f aca="false">A1241&amp;"|"&amp;N1241</f>
        <v>NURSE-07|normal</v>
      </c>
    </row>
    <row r="1242" customFormat="false" ht="15" hidden="false" customHeight="true" outlineLevel="0" collapsed="false">
      <c r="A1242" s="27" t="s">
        <v>95</v>
      </c>
      <c r="B1242" s="41" t="n">
        <v>46303.3055555556</v>
      </c>
      <c r="C1242" s="27" t="s">
        <v>195</v>
      </c>
      <c r="D1242" s="27" t="n">
        <v>52.4</v>
      </c>
      <c r="E1242" s="27" t="n">
        <v>17.9</v>
      </c>
      <c r="F1242" s="27" t="n">
        <v>36</v>
      </c>
      <c r="G1242" s="27" t="n">
        <v>34.1</v>
      </c>
      <c r="H1242" s="27" t="s">
        <v>198</v>
      </c>
      <c r="I1242" s="42" t="n">
        <f aca="false">(D1242-INDEX('Cohort Summary'!$D$5:$D$14,MATCH($A1242,'Cohort Summary'!$A$5:$A$14,0)))/INDEX('Cohort Summary'!$E$5:$E$14,MATCH($A1242,'Cohort Summary'!$A$5:$A$14,0))</f>
        <v>1.52249134948097</v>
      </c>
      <c r="J1242" s="42" t="n">
        <f aca="false">(E1242-INDEX('Cohort Summary'!$F$5:$F$14,MATCH($A1242,'Cohort Summary'!$A$5:$A$14,0)))/INDEX('Cohort Summary'!$G$5:$G$14,MATCH($A1242,'Cohort Summary'!$A$5:$A$14,0))</f>
        <v>-0.287958115183246</v>
      </c>
      <c r="K1242" s="42" t="n">
        <f aca="false">(F1242-INDEX('Cohort Summary'!$H$5:$H$14,MATCH($A1242,'Cohort Summary'!$A$5:$A$14,0)))/INDEX('Cohort Summary'!$I$5:$I$14,MATCH($A1242,'Cohort Summary'!$A$5:$A$14,0))</f>
        <v>0.539923954372624</v>
      </c>
      <c r="L1242" s="42" t="n">
        <f aca="false">(G1242-INDEX('Cohort Summary'!$J$5:$J$14,MATCH($A1242,'Cohort Summary'!$A$5:$A$14,0)))/INDEX('Cohort Summary'!$K$5:$K$14,MATCH($A1242,'Cohort Summary'!$A$5:$A$14,0))</f>
        <v>1.04918032786885</v>
      </c>
      <c r="M1242" s="42" t="n">
        <f aca="false">MAX(I1242:K1242)</f>
        <v>1.52249134948097</v>
      </c>
      <c r="N1242" s="27" t="s">
        <v>197</v>
      </c>
      <c r="O1242" s="27"/>
      <c r="P1242" s="27" t="str">
        <f aca="false">A1242&amp;"|"&amp;N1242</f>
        <v>NURSE-07|normal</v>
      </c>
    </row>
    <row r="1243" customFormat="false" ht="15" hidden="false" customHeight="true" outlineLevel="0" collapsed="false">
      <c r="A1243" s="27" t="s">
        <v>95</v>
      </c>
      <c r="B1243" s="41" t="n">
        <v>46303.3059027778</v>
      </c>
      <c r="C1243" s="27" t="s">
        <v>195</v>
      </c>
      <c r="D1243" s="27" t="n">
        <v>47.3</v>
      </c>
      <c r="E1243" s="27" t="n">
        <v>19</v>
      </c>
      <c r="F1243" s="27" t="n">
        <v>32.1</v>
      </c>
      <c r="G1243" s="27" t="n">
        <v>34.1</v>
      </c>
      <c r="H1243" s="27" t="s">
        <v>199</v>
      </c>
      <c r="I1243" s="42" t="n">
        <f aca="false">(D1243-INDEX('Cohort Summary'!$D$5:$D$14,MATCH($A1243,'Cohort Summary'!$A$5:$A$14,0)))/INDEX('Cohort Summary'!$E$5:$E$14,MATCH($A1243,'Cohort Summary'!$A$5:$A$14,0))</f>
        <v>-0.242214532871973</v>
      </c>
      <c r="J1243" s="42" t="n">
        <f aca="false">(E1243-INDEX('Cohort Summary'!$F$5:$F$14,MATCH($A1243,'Cohort Summary'!$A$5:$A$14,0)))/INDEX('Cohort Summary'!$G$5:$G$14,MATCH($A1243,'Cohort Summary'!$A$5:$A$14,0))</f>
        <v>0.287958115183246</v>
      </c>
      <c r="K1243" s="42" t="n">
        <f aca="false">(F1243-INDEX('Cohort Summary'!$H$5:$H$14,MATCH($A1243,'Cohort Summary'!$A$5:$A$14,0)))/INDEX('Cohort Summary'!$I$5:$I$14,MATCH($A1243,'Cohort Summary'!$A$5:$A$14,0))</f>
        <v>-0.94296577946768</v>
      </c>
      <c r="L1243" s="42" t="n">
        <f aca="false">(G1243-INDEX('Cohort Summary'!$J$5:$J$14,MATCH($A1243,'Cohort Summary'!$A$5:$A$14,0)))/INDEX('Cohort Summary'!$K$5:$K$14,MATCH($A1243,'Cohort Summary'!$A$5:$A$14,0))</f>
        <v>1.04918032786885</v>
      </c>
      <c r="M1243" s="42" t="n">
        <f aca="false">MAX(I1243:K1243)</f>
        <v>0.287958115183246</v>
      </c>
      <c r="N1243" s="27" t="s">
        <v>197</v>
      </c>
      <c r="O1243" s="27"/>
      <c r="P1243" s="27" t="str">
        <f aca="false">A1243&amp;"|"&amp;N1243</f>
        <v>NURSE-07|normal</v>
      </c>
    </row>
    <row r="1244" customFormat="false" ht="15" hidden="false" customHeight="true" outlineLevel="0" collapsed="false">
      <c r="A1244" s="27" t="s">
        <v>95</v>
      </c>
      <c r="B1244" s="41" t="n">
        <v>46303.30625</v>
      </c>
      <c r="C1244" s="27" t="s">
        <v>195</v>
      </c>
      <c r="D1244" s="27" t="n">
        <v>49.8</v>
      </c>
      <c r="E1244" s="27" t="n">
        <v>17</v>
      </c>
      <c r="F1244" s="27" t="n">
        <v>35.7</v>
      </c>
      <c r="G1244" s="27" t="n">
        <v>32.4</v>
      </c>
      <c r="H1244" s="27" t="s">
        <v>199</v>
      </c>
      <c r="I1244" s="42" t="n">
        <f aca="false">(D1244-INDEX('Cohort Summary'!$D$5:$D$14,MATCH($A1244,'Cohort Summary'!$A$5:$A$14,0)))/INDEX('Cohort Summary'!$E$5:$E$14,MATCH($A1244,'Cohort Summary'!$A$5:$A$14,0))</f>
        <v>0.622837370242214</v>
      </c>
      <c r="J1244" s="42" t="n">
        <f aca="false">(E1244-INDEX('Cohort Summary'!$F$5:$F$14,MATCH($A1244,'Cohort Summary'!$A$5:$A$14,0)))/INDEX('Cohort Summary'!$G$5:$G$14,MATCH($A1244,'Cohort Summary'!$A$5:$A$14,0))</f>
        <v>-0.759162303664921</v>
      </c>
      <c r="K1244" s="42" t="n">
        <f aca="false">(F1244-INDEX('Cohort Summary'!$H$5:$H$14,MATCH($A1244,'Cohort Summary'!$A$5:$A$14,0)))/INDEX('Cohort Summary'!$I$5:$I$14,MATCH($A1244,'Cohort Summary'!$A$5:$A$14,0))</f>
        <v>0.425855513307987</v>
      </c>
      <c r="L1244" s="42" t="n">
        <f aca="false">(G1244-INDEX('Cohort Summary'!$J$5:$J$14,MATCH($A1244,'Cohort Summary'!$A$5:$A$14,0)))/INDEX('Cohort Summary'!$K$5:$K$14,MATCH($A1244,'Cohort Summary'!$A$5:$A$14,0))</f>
        <v>-1.73770491803279</v>
      </c>
      <c r="M1244" s="42" t="n">
        <f aca="false">MAX(I1244:K1244)</f>
        <v>0.622837370242214</v>
      </c>
      <c r="N1244" s="27" t="s">
        <v>197</v>
      </c>
      <c r="O1244" s="27"/>
      <c r="P1244" s="27" t="str">
        <f aca="false">A1244&amp;"|"&amp;N1244</f>
        <v>NURSE-07|normal</v>
      </c>
    </row>
    <row r="1245" customFormat="false" ht="15" hidden="false" customHeight="true" outlineLevel="0" collapsed="false">
      <c r="A1245" s="27" t="s">
        <v>95</v>
      </c>
      <c r="B1245" s="41" t="n">
        <v>46303.3065972222</v>
      </c>
      <c r="C1245" s="27" t="s">
        <v>195</v>
      </c>
      <c r="D1245" s="27" t="n">
        <v>48.9</v>
      </c>
      <c r="E1245" s="27" t="n">
        <v>17.1</v>
      </c>
      <c r="F1245" s="27" t="n">
        <v>32.7</v>
      </c>
      <c r="G1245" s="27" t="n">
        <v>33.7</v>
      </c>
      <c r="H1245" s="27" t="s">
        <v>198</v>
      </c>
      <c r="I1245" s="42" t="n">
        <f aca="false">(D1245-INDEX('Cohort Summary'!$D$5:$D$14,MATCH($A1245,'Cohort Summary'!$A$5:$A$14,0)))/INDEX('Cohort Summary'!$E$5:$E$14,MATCH($A1245,'Cohort Summary'!$A$5:$A$14,0))</f>
        <v>0.311418685121107</v>
      </c>
      <c r="J1245" s="42" t="n">
        <f aca="false">(E1245-INDEX('Cohort Summary'!$F$5:$F$14,MATCH($A1245,'Cohort Summary'!$A$5:$A$14,0)))/INDEX('Cohort Summary'!$G$5:$G$14,MATCH($A1245,'Cohort Summary'!$A$5:$A$14,0))</f>
        <v>-0.706806282722512</v>
      </c>
      <c r="K1245" s="42" t="n">
        <f aca="false">(F1245-INDEX('Cohort Summary'!$H$5:$H$14,MATCH($A1245,'Cohort Summary'!$A$5:$A$14,0)))/INDEX('Cohort Summary'!$I$5:$I$14,MATCH($A1245,'Cohort Summary'!$A$5:$A$14,0))</f>
        <v>-0.714828897338401</v>
      </c>
      <c r="L1245" s="42" t="n">
        <f aca="false">(G1245-INDEX('Cohort Summary'!$J$5:$J$14,MATCH($A1245,'Cohort Summary'!$A$5:$A$14,0)))/INDEX('Cohort Summary'!$K$5:$K$14,MATCH($A1245,'Cohort Summary'!$A$5:$A$14,0))</f>
        <v>0.393442622950823</v>
      </c>
      <c r="M1245" s="42" t="n">
        <f aca="false">MAX(I1245:K1245)</f>
        <v>0.311418685121107</v>
      </c>
      <c r="N1245" s="27" t="s">
        <v>197</v>
      </c>
      <c r="O1245" s="27"/>
      <c r="P1245" s="27" t="str">
        <f aca="false">A1245&amp;"|"&amp;N1245</f>
        <v>NURSE-07|normal</v>
      </c>
    </row>
    <row r="1246" customFormat="false" ht="15" hidden="false" customHeight="true" outlineLevel="0" collapsed="false">
      <c r="A1246" s="27" t="s">
        <v>95</v>
      </c>
      <c r="B1246" s="41" t="n">
        <v>46303.3069444444</v>
      </c>
      <c r="C1246" s="27" t="s">
        <v>195</v>
      </c>
      <c r="D1246" s="27" t="n">
        <v>43.9</v>
      </c>
      <c r="E1246" s="27" t="n">
        <v>18.6</v>
      </c>
      <c r="F1246" s="27" t="n">
        <v>33.4</v>
      </c>
      <c r="G1246" s="27" t="n">
        <v>33.1</v>
      </c>
      <c r="H1246" s="27" t="s">
        <v>199</v>
      </c>
      <c r="I1246" s="42" t="n">
        <f aca="false">(D1246-INDEX('Cohort Summary'!$D$5:$D$14,MATCH($A1246,'Cohort Summary'!$A$5:$A$14,0)))/INDEX('Cohort Summary'!$E$5:$E$14,MATCH($A1246,'Cohort Summary'!$A$5:$A$14,0))</f>
        <v>-1.41868512110727</v>
      </c>
      <c r="J1246" s="42" t="n">
        <f aca="false">(E1246-INDEX('Cohort Summary'!$F$5:$F$14,MATCH($A1246,'Cohort Summary'!$A$5:$A$14,0)))/INDEX('Cohort Summary'!$G$5:$G$14,MATCH($A1246,'Cohort Summary'!$A$5:$A$14,0))</f>
        <v>0.0785340314136137</v>
      </c>
      <c r="K1246" s="42" t="n">
        <f aca="false">(F1246-INDEX('Cohort Summary'!$H$5:$H$14,MATCH($A1246,'Cohort Summary'!$A$5:$A$14,0)))/INDEX('Cohort Summary'!$I$5:$I$14,MATCH($A1246,'Cohort Summary'!$A$5:$A$14,0))</f>
        <v>-0.448669201520912</v>
      </c>
      <c r="L1246" s="42" t="n">
        <f aca="false">(G1246-INDEX('Cohort Summary'!$J$5:$J$14,MATCH($A1246,'Cohort Summary'!$A$5:$A$14,0)))/INDEX('Cohort Summary'!$K$5:$K$14,MATCH($A1246,'Cohort Summary'!$A$5:$A$14,0))</f>
        <v>-0.590163934426229</v>
      </c>
      <c r="M1246" s="42" t="n">
        <f aca="false">MAX(I1246:K1246)</f>
        <v>0.0785340314136137</v>
      </c>
      <c r="N1246" s="27" t="s">
        <v>197</v>
      </c>
      <c r="O1246" s="27"/>
      <c r="P1246" s="27" t="str">
        <f aca="false">A1246&amp;"|"&amp;N1246</f>
        <v>NURSE-07|normal</v>
      </c>
    </row>
    <row r="1247" customFormat="false" ht="15" hidden="false" customHeight="true" outlineLevel="0" collapsed="false">
      <c r="A1247" s="27" t="s">
        <v>95</v>
      </c>
      <c r="B1247" s="41" t="n">
        <v>46303.3072916667</v>
      </c>
      <c r="C1247" s="27" t="s">
        <v>195</v>
      </c>
      <c r="D1247" s="27" t="n">
        <v>48.1</v>
      </c>
      <c r="E1247" s="27" t="n">
        <v>18.5</v>
      </c>
      <c r="F1247" s="27" t="n">
        <v>37.2</v>
      </c>
      <c r="G1247" s="27" t="n">
        <v>33.1</v>
      </c>
      <c r="H1247" s="27" t="s">
        <v>199</v>
      </c>
      <c r="I1247" s="42" t="n">
        <f aca="false">(D1247-INDEX('Cohort Summary'!$D$5:$D$14,MATCH($A1247,'Cohort Summary'!$A$5:$A$14,0)))/INDEX('Cohort Summary'!$E$5:$E$14,MATCH($A1247,'Cohort Summary'!$A$5:$A$14,0))</f>
        <v>0.034602076124568</v>
      </c>
      <c r="J1247" s="42" t="n">
        <f aca="false">(E1247-INDEX('Cohort Summary'!$F$5:$F$14,MATCH($A1247,'Cohort Summary'!$A$5:$A$14,0)))/INDEX('Cohort Summary'!$G$5:$G$14,MATCH($A1247,'Cohort Summary'!$A$5:$A$14,0))</f>
        <v>0.0261780104712046</v>
      </c>
      <c r="K1247" s="42" t="n">
        <f aca="false">(F1247-INDEX('Cohort Summary'!$H$5:$H$14,MATCH($A1247,'Cohort Summary'!$A$5:$A$14,0)))/INDEX('Cohort Summary'!$I$5:$I$14,MATCH($A1247,'Cohort Summary'!$A$5:$A$14,0))</f>
        <v>0.996197718631181</v>
      </c>
      <c r="L1247" s="42" t="n">
        <f aca="false">(G1247-INDEX('Cohort Summary'!$J$5:$J$14,MATCH($A1247,'Cohort Summary'!$A$5:$A$14,0)))/INDEX('Cohort Summary'!$K$5:$K$14,MATCH($A1247,'Cohort Summary'!$A$5:$A$14,0))</f>
        <v>-0.590163934426229</v>
      </c>
      <c r="M1247" s="42" t="n">
        <f aca="false">MAX(I1247:K1247)</f>
        <v>0.996197718631181</v>
      </c>
      <c r="N1247" s="27" t="s">
        <v>197</v>
      </c>
      <c r="O1247" s="27"/>
      <c r="P1247" s="27" t="str">
        <f aca="false">A1247&amp;"|"&amp;N1247</f>
        <v>NURSE-07|normal</v>
      </c>
    </row>
    <row r="1248" customFormat="false" ht="15" hidden="false" customHeight="true" outlineLevel="0" collapsed="false">
      <c r="A1248" s="27" t="s">
        <v>95</v>
      </c>
      <c r="B1248" s="41" t="n">
        <v>46303.3076388889</v>
      </c>
      <c r="C1248" s="27" t="s">
        <v>195</v>
      </c>
      <c r="D1248" s="27" t="n">
        <v>52.1</v>
      </c>
      <c r="E1248" s="27" t="n">
        <v>18.6</v>
      </c>
      <c r="F1248" s="27" t="n">
        <v>36</v>
      </c>
      <c r="G1248" s="27" t="n">
        <v>33.6</v>
      </c>
      <c r="H1248" s="27" t="s">
        <v>198</v>
      </c>
      <c r="I1248" s="42" t="n">
        <f aca="false">(D1248-INDEX('Cohort Summary'!$D$5:$D$14,MATCH($A1248,'Cohort Summary'!$A$5:$A$14,0)))/INDEX('Cohort Summary'!$E$5:$E$14,MATCH($A1248,'Cohort Summary'!$A$5:$A$14,0))</f>
        <v>1.41868512110727</v>
      </c>
      <c r="J1248" s="42" t="n">
        <f aca="false">(E1248-INDEX('Cohort Summary'!$F$5:$F$14,MATCH($A1248,'Cohort Summary'!$A$5:$A$14,0)))/INDEX('Cohort Summary'!$G$5:$G$14,MATCH($A1248,'Cohort Summary'!$A$5:$A$14,0))</f>
        <v>0.0785340314136137</v>
      </c>
      <c r="K1248" s="42" t="n">
        <f aca="false">(F1248-INDEX('Cohort Summary'!$H$5:$H$14,MATCH($A1248,'Cohort Summary'!$A$5:$A$14,0)))/INDEX('Cohort Summary'!$I$5:$I$14,MATCH($A1248,'Cohort Summary'!$A$5:$A$14,0))</f>
        <v>0.539923954372624</v>
      </c>
      <c r="L1248" s="42" t="n">
        <f aca="false">(G1248-INDEX('Cohort Summary'!$J$5:$J$14,MATCH($A1248,'Cohort Summary'!$A$5:$A$14,0)))/INDEX('Cohort Summary'!$K$5:$K$14,MATCH($A1248,'Cohort Summary'!$A$5:$A$14,0))</f>
        <v>0.229508196721312</v>
      </c>
      <c r="M1248" s="42" t="n">
        <f aca="false">MAX(I1248:K1248)</f>
        <v>1.41868512110727</v>
      </c>
      <c r="N1248" s="27" t="s">
        <v>197</v>
      </c>
      <c r="O1248" s="27"/>
      <c r="P1248" s="27" t="str">
        <f aca="false">A1248&amp;"|"&amp;N1248</f>
        <v>NURSE-07|normal</v>
      </c>
    </row>
    <row r="1249" customFormat="false" ht="15" hidden="false" customHeight="true" outlineLevel="0" collapsed="false">
      <c r="A1249" s="27" t="s">
        <v>95</v>
      </c>
      <c r="B1249" s="41" t="n">
        <v>46303.3079861111</v>
      </c>
      <c r="C1249" s="27" t="s">
        <v>195</v>
      </c>
      <c r="D1249" s="27" t="n">
        <v>52.9</v>
      </c>
      <c r="E1249" s="27" t="n">
        <v>21.6</v>
      </c>
      <c r="F1249" s="27" t="n">
        <v>32.6</v>
      </c>
      <c r="G1249" s="27" t="n">
        <v>34</v>
      </c>
      <c r="H1249" s="27" t="s">
        <v>196</v>
      </c>
      <c r="I1249" s="42" t="n">
        <f aca="false">(D1249-INDEX('Cohort Summary'!$D$5:$D$14,MATCH($A1249,'Cohort Summary'!$A$5:$A$14,0)))/INDEX('Cohort Summary'!$E$5:$E$14,MATCH($A1249,'Cohort Summary'!$A$5:$A$14,0))</f>
        <v>1.69550173010381</v>
      </c>
      <c r="J1249" s="42" t="n">
        <f aca="false">(E1249-INDEX('Cohort Summary'!$F$5:$F$14,MATCH($A1249,'Cohort Summary'!$A$5:$A$14,0)))/INDEX('Cohort Summary'!$G$5:$G$14,MATCH($A1249,'Cohort Summary'!$A$5:$A$14,0))</f>
        <v>1.64921465968587</v>
      </c>
      <c r="K1249" s="42" t="n">
        <f aca="false">(F1249-INDEX('Cohort Summary'!$H$5:$H$14,MATCH($A1249,'Cohort Summary'!$A$5:$A$14,0)))/INDEX('Cohort Summary'!$I$5:$I$14,MATCH($A1249,'Cohort Summary'!$A$5:$A$14,0))</f>
        <v>-0.752851711026615</v>
      </c>
      <c r="L1249" s="42" t="n">
        <f aca="false">(G1249-INDEX('Cohort Summary'!$J$5:$J$14,MATCH($A1249,'Cohort Summary'!$A$5:$A$14,0)))/INDEX('Cohort Summary'!$K$5:$K$14,MATCH($A1249,'Cohort Summary'!$A$5:$A$14,0))</f>
        <v>0.885245901639343</v>
      </c>
      <c r="M1249" s="42" t="n">
        <f aca="false">MAX(I1249:K1249)</f>
        <v>1.69550173010381</v>
      </c>
      <c r="N1249" s="27" t="s">
        <v>197</v>
      </c>
      <c r="O1249" s="27"/>
      <c r="P1249" s="27" t="str">
        <f aca="false">A1249&amp;"|"&amp;N1249</f>
        <v>NURSE-07|normal</v>
      </c>
    </row>
    <row r="1250" customFormat="false" ht="15" hidden="false" customHeight="true" outlineLevel="0" collapsed="false">
      <c r="A1250" s="27" t="s">
        <v>95</v>
      </c>
      <c r="B1250" s="41" t="n">
        <v>46303.3083333333</v>
      </c>
      <c r="C1250" s="27" t="s">
        <v>195</v>
      </c>
      <c r="D1250" s="27" t="n">
        <v>51</v>
      </c>
      <c r="E1250" s="27" t="n">
        <v>15.9</v>
      </c>
      <c r="F1250" s="27" t="n">
        <v>35.5</v>
      </c>
      <c r="G1250" s="27" t="n">
        <v>32.7</v>
      </c>
      <c r="H1250" s="27" t="s">
        <v>196</v>
      </c>
      <c r="I1250" s="42" t="n">
        <f aca="false">(D1250-INDEX('Cohort Summary'!$D$5:$D$14,MATCH($A1250,'Cohort Summary'!$A$5:$A$14,0)))/INDEX('Cohort Summary'!$E$5:$E$14,MATCH($A1250,'Cohort Summary'!$A$5:$A$14,0))</f>
        <v>1.03806228373702</v>
      </c>
      <c r="J1250" s="42" t="n">
        <f aca="false">(E1250-INDEX('Cohort Summary'!$F$5:$F$14,MATCH($A1250,'Cohort Summary'!$A$5:$A$14,0)))/INDEX('Cohort Summary'!$G$5:$G$14,MATCH($A1250,'Cohort Summary'!$A$5:$A$14,0))</f>
        <v>-1.33507853403141</v>
      </c>
      <c r="K1250" s="42" t="n">
        <f aca="false">(F1250-INDEX('Cohort Summary'!$H$5:$H$14,MATCH($A1250,'Cohort Summary'!$A$5:$A$14,0)))/INDEX('Cohort Summary'!$I$5:$I$14,MATCH($A1250,'Cohort Summary'!$A$5:$A$14,0))</f>
        <v>0.34980988593156</v>
      </c>
      <c r="L1250" s="42" t="n">
        <f aca="false">(G1250-INDEX('Cohort Summary'!$J$5:$J$14,MATCH($A1250,'Cohort Summary'!$A$5:$A$14,0)))/INDEX('Cohort Summary'!$K$5:$K$14,MATCH($A1250,'Cohort Summary'!$A$5:$A$14,0))</f>
        <v>-1.24590163934426</v>
      </c>
      <c r="M1250" s="42" t="n">
        <f aca="false">MAX(I1250:K1250)</f>
        <v>1.03806228373702</v>
      </c>
      <c r="N1250" s="27" t="s">
        <v>197</v>
      </c>
      <c r="O1250" s="27"/>
      <c r="P1250" s="27" t="str">
        <f aca="false">A1250&amp;"|"&amp;N1250</f>
        <v>NURSE-07|normal</v>
      </c>
    </row>
    <row r="1251" customFormat="false" ht="15" hidden="false" customHeight="true" outlineLevel="0" collapsed="false">
      <c r="A1251" s="27" t="s">
        <v>95</v>
      </c>
      <c r="B1251" s="41" t="n">
        <v>46303.3086805556</v>
      </c>
      <c r="C1251" s="27" t="s">
        <v>195</v>
      </c>
      <c r="D1251" s="27" t="n">
        <v>43.2</v>
      </c>
      <c r="E1251" s="27" t="n">
        <v>16.8</v>
      </c>
      <c r="F1251" s="27" t="n">
        <v>37</v>
      </c>
      <c r="G1251" s="27" t="n">
        <v>33.1</v>
      </c>
      <c r="H1251" s="27" t="s">
        <v>196</v>
      </c>
      <c r="I1251" s="42" t="n">
        <f aca="false">(D1251-INDEX('Cohort Summary'!$D$5:$D$14,MATCH($A1251,'Cohort Summary'!$A$5:$A$14,0)))/INDEX('Cohort Summary'!$E$5:$E$14,MATCH($A1251,'Cohort Summary'!$A$5:$A$14,0))</f>
        <v>-1.66089965397924</v>
      </c>
      <c r="J1251" s="42" t="n">
        <f aca="false">(E1251-INDEX('Cohort Summary'!$F$5:$F$14,MATCH($A1251,'Cohort Summary'!$A$5:$A$14,0)))/INDEX('Cohort Summary'!$G$5:$G$14,MATCH($A1251,'Cohort Summary'!$A$5:$A$14,0))</f>
        <v>-0.863874345549738</v>
      </c>
      <c r="K1251" s="42" t="n">
        <f aca="false">(F1251-INDEX('Cohort Summary'!$H$5:$H$14,MATCH($A1251,'Cohort Summary'!$A$5:$A$14,0)))/INDEX('Cohort Summary'!$I$5:$I$14,MATCH($A1251,'Cohort Summary'!$A$5:$A$14,0))</f>
        <v>0.920152091254754</v>
      </c>
      <c r="L1251" s="42" t="n">
        <f aca="false">(G1251-INDEX('Cohort Summary'!$J$5:$J$14,MATCH($A1251,'Cohort Summary'!$A$5:$A$14,0)))/INDEX('Cohort Summary'!$K$5:$K$14,MATCH($A1251,'Cohort Summary'!$A$5:$A$14,0))</f>
        <v>-0.590163934426229</v>
      </c>
      <c r="M1251" s="42" t="n">
        <f aca="false">MAX(I1251:K1251)</f>
        <v>0.920152091254754</v>
      </c>
      <c r="N1251" s="27" t="s">
        <v>197</v>
      </c>
      <c r="O1251" s="27"/>
      <c r="P1251" s="27" t="str">
        <f aca="false">A1251&amp;"|"&amp;N1251</f>
        <v>NURSE-07|normal</v>
      </c>
    </row>
    <row r="1252" customFormat="false" ht="15" hidden="false" customHeight="true" outlineLevel="0" collapsed="false">
      <c r="A1252" s="27" t="s">
        <v>95</v>
      </c>
      <c r="B1252" s="41" t="n">
        <v>46303.3090277778</v>
      </c>
      <c r="C1252" s="27" t="s">
        <v>195</v>
      </c>
      <c r="D1252" s="27" t="n">
        <v>49.2</v>
      </c>
      <c r="E1252" s="27" t="n">
        <v>16.4</v>
      </c>
      <c r="F1252" s="27" t="n">
        <v>34.6</v>
      </c>
      <c r="G1252" s="27" t="n">
        <v>33.8</v>
      </c>
      <c r="H1252" s="27" t="s">
        <v>198</v>
      </c>
      <c r="I1252" s="42" t="n">
        <f aca="false">(D1252-INDEX('Cohort Summary'!$D$5:$D$14,MATCH($A1252,'Cohort Summary'!$A$5:$A$14,0)))/INDEX('Cohort Summary'!$E$5:$E$14,MATCH($A1252,'Cohort Summary'!$A$5:$A$14,0))</f>
        <v>0.415224913494811</v>
      </c>
      <c r="J1252" s="42" t="n">
        <f aca="false">(E1252-INDEX('Cohort Summary'!$F$5:$F$14,MATCH($A1252,'Cohort Summary'!$A$5:$A$14,0)))/INDEX('Cohort Summary'!$G$5:$G$14,MATCH($A1252,'Cohort Summary'!$A$5:$A$14,0))</f>
        <v>-1.07329842931937</v>
      </c>
      <c r="K1252" s="42" t="n">
        <f aca="false">(F1252-INDEX('Cohort Summary'!$H$5:$H$14,MATCH($A1252,'Cohort Summary'!$A$5:$A$14,0)))/INDEX('Cohort Summary'!$I$5:$I$14,MATCH($A1252,'Cohort Summary'!$A$5:$A$14,0))</f>
        <v>0.00760456273764378</v>
      </c>
      <c r="L1252" s="42" t="n">
        <f aca="false">(G1252-INDEX('Cohort Summary'!$J$5:$J$14,MATCH($A1252,'Cohort Summary'!$A$5:$A$14,0)))/INDEX('Cohort Summary'!$K$5:$K$14,MATCH($A1252,'Cohort Summary'!$A$5:$A$14,0))</f>
        <v>0.557377049180322</v>
      </c>
      <c r="M1252" s="42" t="n">
        <f aca="false">MAX(I1252:K1252)</f>
        <v>0.415224913494811</v>
      </c>
      <c r="N1252" s="27" t="s">
        <v>197</v>
      </c>
      <c r="O1252" s="27"/>
      <c r="P1252" s="27" t="str">
        <f aca="false">A1252&amp;"|"&amp;N1252</f>
        <v>NURSE-07|normal</v>
      </c>
    </row>
    <row r="1253" customFormat="false" ht="15" hidden="false" customHeight="true" outlineLevel="0" collapsed="false">
      <c r="A1253" s="27" t="s">
        <v>95</v>
      </c>
      <c r="B1253" s="41" t="n">
        <v>46303.309375</v>
      </c>
      <c r="C1253" s="27" t="s">
        <v>195</v>
      </c>
      <c r="D1253" s="27" t="n">
        <v>46</v>
      </c>
      <c r="E1253" s="27" t="n">
        <v>20.6</v>
      </c>
      <c r="F1253" s="27" t="n">
        <v>31.8</v>
      </c>
      <c r="G1253" s="27" t="n">
        <v>33.7</v>
      </c>
      <c r="H1253" s="27" t="s">
        <v>196</v>
      </c>
      <c r="I1253" s="42" t="n">
        <f aca="false">(D1253-INDEX('Cohort Summary'!$D$5:$D$14,MATCH($A1253,'Cohort Summary'!$A$5:$A$14,0)))/INDEX('Cohort Summary'!$E$5:$E$14,MATCH($A1253,'Cohort Summary'!$A$5:$A$14,0))</f>
        <v>-0.692041522491349</v>
      </c>
      <c r="J1253" s="42" t="n">
        <f aca="false">(E1253-INDEX('Cohort Summary'!$F$5:$F$14,MATCH($A1253,'Cohort Summary'!$A$5:$A$14,0)))/INDEX('Cohort Summary'!$G$5:$G$14,MATCH($A1253,'Cohort Summary'!$A$5:$A$14,0))</f>
        <v>1.12565445026178</v>
      </c>
      <c r="K1253" s="42" t="n">
        <f aca="false">(F1253-INDEX('Cohort Summary'!$H$5:$H$14,MATCH($A1253,'Cohort Summary'!$A$5:$A$14,0)))/INDEX('Cohort Summary'!$I$5:$I$14,MATCH($A1253,'Cohort Summary'!$A$5:$A$14,0))</f>
        <v>-1.05703422053232</v>
      </c>
      <c r="L1253" s="42" t="n">
        <f aca="false">(G1253-INDEX('Cohort Summary'!$J$5:$J$14,MATCH($A1253,'Cohort Summary'!$A$5:$A$14,0)))/INDEX('Cohort Summary'!$K$5:$K$14,MATCH($A1253,'Cohort Summary'!$A$5:$A$14,0))</f>
        <v>0.393442622950823</v>
      </c>
      <c r="M1253" s="42" t="n">
        <f aca="false">MAX(I1253:K1253)</f>
        <v>1.12565445026178</v>
      </c>
      <c r="N1253" s="27" t="s">
        <v>197</v>
      </c>
      <c r="O1253" s="27"/>
      <c r="P1253" s="27" t="str">
        <f aca="false">A1253&amp;"|"&amp;N1253</f>
        <v>NURSE-07|normal</v>
      </c>
    </row>
    <row r="1254" customFormat="false" ht="15" hidden="false" customHeight="true" outlineLevel="0" collapsed="false">
      <c r="A1254" s="27" t="s">
        <v>95</v>
      </c>
      <c r="B1254" s="41" t="n">
        <v>46303.3097222222</v>
      </c>
      <c r="C1254" s="27" t="s">
        <v>195</v>
      </c>
      <c r="D1254" s="27" t="n">
        <v>49.9</v>
      </c>
      <c r="E1254" s="27" t="n">
        <v>15.3</v>
      </c>
      <c r="F1254" s="27" t="n">
        <v>31.9</v>
      </c>
      <c r="G1254" s="27" t="n">
        <v>34.3</v>
      </c>
      <c r="H1254" s="27" t="s">
        <v>199</v>
      </c>
      <c r="I1254" s="42" t="n">
        <f aca="false">(D1254-INDEX('Cohort Summary'!$D$5:$D$14,MATCH($A1254,'Cohort Summary'!$A$5:$A$14,0)))/INDEX('Cohort Summary'!$E$5:$E$14,MATCH($A1254,'Cohort Summary'!$A$5:$A$14,0))</f>
        <v>0.657439446366782</v>
      </c>
      <c r="J1254" s="42" t="n">
        <f aca="false">(E1254-INDEX('Cohort Summary'!$F$5:$F$14,MATCH($A1254,'Cohort Summary'!$A$5:$A$14,0)))/INDEX('Cohort Summary'!$G$5:$G$14,MATCH($A1254,'Cohort Summary'!$A$5:$A$14,0))</f>
        <v>-1.64921465968586</v>
      </c>
      <c r="K1254" s="42" t="n">
        <f aca="false">(F1254-INDEX('Cohort Summary'!$H$5:$H$14,MATCH($A1254,'Cohort Summary'!$A$5:$A$14,0)))/INDEX('Cohort Summary'!$I$5:$I$14,MATCH($A1254,'Cohort Summary'!$A$5:$A$14,0))</f>
        <v>-1.01901140684411</v>
      </c>
      <c r="L1254" s="42" t="n">
        <f aca="false">(G1254-INDEX('Cohort Summary'!$J$5:$J$14,MATCH($A1254,'Cohort Summary'!$A$5:$A$14,0)))/INDEX('Cohort Summary'!$K$5:$K$14,MATCH($A1254,'Cohort Summary'!$A$5:$A$14,0))</f>
        <v>1.37704918032786</v>
      </c>
      <c r="M1254" s="42" t="n">
        <f aca="false">MAX(I1254:K1254)</f>
        <v>0.657439446366782</v>
      </c>
      <c r="N1254" s="27" t="s">
        <v>197</v>
      </c>
      <c r="O1254" s="27"/>
      <c r="P1254" s="27" t="str">
        <f aca="false">A1254&amp;"|"&amp;N1254</f>
        <v>NURSE-07|normal</v>
      </c>
    </row>
    <row r="1255" customFormat="false" ht="15" hidden="false" customHeight="true" outlineLevel="0" collapsed="false">
      <c r="A1255" s="27" t="s">
        <v>95</v>
      </c>
      <c r="B1255" s="41" t="n">
        <v>46303.3100694444</v>
      </c>
      <c r="C1255" s="27" t="s">
        <v>195</v>
      </c>
      <c r="D1255" s="27" t="n">
        <v>49.9</v>
      </c>
      <c r="E1255" s="27" t="n">
        <v>16.4</v>
      </c>
      <c r="F1255" s="27" t="n">
        <v>36.7</v>
      </c>
      <c r="G1255" s="27" t="n">
        <v>33.5</v>
      </c>
      <c r="H1255" s="27" t="s">
        <v>196</v>
      </c>
      <c r="I1255" s="42" t="n">
        <f aca="false">(D1255-INDEX('Cohort Summary'!$D$5:$D$14,MATCH($A1255,'Cohort Summary'!$A$5:$A$14,0)))/INDEX('Cohort Summary'!$E$5:$E$14,MATCH($A1255,'Cohort Summary'!$A$5:$A$14,0))</f>
        <v>0.657439446366782</v>
      </c>
      <c r="J1255" s="42" t="n">
        <f aca="false">(E1255-INDEX('Cohort Summary'!$F$5:$F$14,MATCH($A1255,'Cohort Summary'!$A$5:$A$14,0)))/INDEX('Cohort Summary'!$G$5:$G$14,MATCH($A1255,'Cohort Summary'!$A$5:$A$14,0))</f>
        <v>-1.07329842931937</v>
      </c>
      <c r="K1255" s="42" t="n">
        <f aca="false">(F1255-INDEX('Cohort Summary'!$H$5:$H$14,MATCH($A1255,'Cohort Summary'!$A$5:$A$14,0)))/INDEX('Cohort Summary'!$I$5:$I$14,MATCH($A1255,'Cohort Summary'!$A$5:$A$14,0))</f>
        <v>0.806083650190116</v>
      </c>
      <c r="L1255" s="42" t="n">
        <f aca="false">(G1255-INDEX('Cohort Summary'!$J$5:$J$14,MATCH($A1255,'Cohort Summary'!$A$5:$A$14,0)))/INDEX('Cohort Summary'!$K$5:$K$14,MATCH($A1255,'Cohort Summary'!$A$5:$A$14,0))</f>
        <v>0.0655737704918019</v>
      </c>
      <c r="M1255" s="42" t="n">
        <f aca="false">MAX(I1255:K1255)</f>
        <v>0.806083650190116</v>
      </c>
      <c r="N1255" s="27" t="s">
        <v>197</v>
      </c>
      <c r="O1255" s="27"/>
      <c r="P1255" s="27" t="str">
        <f aca="false">A1255&amp;"|"&amp;N1255</f>
        <v>NURSE-07|normal</v>
      </c>
    </row>
    <row r="1256" customFormat="false" ht="15" hidden="false" customHeight="true" outlineLevel="0" collapsed="false">
      <c r="A1256" s="27" t="s">
        <v>95</v>
      </c>
      <c r="B1256" s="41" t="n">
        <v>46303.3104166667</v>
      </c>
      <c r="C1256" s="27" t="s">
        <v>195</v>
      </c>
      <c r="D1256" s="27" t="n">
        <v>45.9</v>
      </c>
      <c r="E1256" s="27" t="n">
        <v>19.6</v>
      </c>
      <c r="F1256" s="27" t="n">
        <v>34</v>
      </c>
      <c r="G1256" s="27" t="n">
        <v>33.2</v>
      </c>
      <c r="H1256" s="27" t="s">
        <v>199</v>
      </c>
      <c r="I1256" s="42" t="n">
        <f aca="false">(D1256-INDEX('Cohort Summary'!$D$5:$D$14,MATCH($A1256,'Cohort Summary'!$A$5:$A$14,0)))/INDEX('Cohort Summary'!$E$5:$E$14,MATCH($A1256,'Cohort Summary'!$A$5:$A$14,0))</f>
        <v>-0.726643598615917</v>
      </c>
      <c r="J1256" s="42" t="n">
        <f aca="false">(E1256-INDEX('Cohort Summary'!$F$5:$F$14,MATCH($A1256,'Cohort Summary'!$A$5:$A$14,0)))/INDEX('Cohort Summary'!$G$5:$G$14,MATCH($A1256,'Cohort Summary'!$A$5:$A$14,0))</f>
        <v>0.602094240837698</v>
      </c>
      <c r="K1256" s="42" t="n">
        <f aca="false">(F1256-INDEX('Cohort Summary'!$H$5:$H$14,MATCH($A1256,'Cohort Summary'!$A$5:$A$14,0)))/INDEX('Cohort Summary'!$I$5:$I$14,MATCH($A1256,'Cohort Summary'!$A$5:$A$14,0))</f>
        <v>-0.220532319391634</v>
      </c>
      <c r="L1256" s="42" t="n">
        <f aca="false">(G1256-INDEX('Cohort Summary'!$J$5:$J$14,MATCH($A1256,'Cohort Summary'!$A$5:$A$14,0)))/INDEX('Cohort Summary'!$K$5:$K$14,MATCH($A1256,'Cohort Summary'!$A$5:$A$14,0))</f>
        <v>-0.426229508196718</v>
      </c>
      <c r="M1256" s="42" t="n">
        <f aca="false">MAX(I1256:K1256)</f>
        <v>0.602094240837698</v>
      </c>
      <c r="N1256" s="27" t="s">
        <v>197</v>
      </c>
      <c r="O1256" s="27"/>
      <c r="P1256" s="27" t="str">
        <f aca="false">A1256&amp;"|"&amp;N1256</f>
        <v>NURSE-07|normal</v>
      </c>
    </row>
    <row r="1257" customFormat="false" ht="15" hidden="false" customHeight="true" outlineLevel="0" collapsed="false">
      <c r="A1257" s="27" t="s">
        <v>95</v>
      </c>
      <c r="B1257" s="41" t="n">
        <v>46303.3107638889</v>
      </c>
      <c r="C1257" s="27" t="s">
        <v>195</v>
      </c>
      <c r="D1257" s="27" t="n">
        <v>52.5</v>
      </c>
      <c r="E1257" s="27" t="n">
        <v>21.8</v>
      </c>
      <c r="F1257" s="27" t="n">
        <v>37.8</v>
      </c>
      <c r="G1257" s="27" t="n">
        <v>34.4</v>
      </c>
      <c r="H1257" s="27" t="s">
        <v>199</v>
      </c>
      <c r="I1257" s="42" t="n">
        <f aca="false">(D1257-INDEX('Cohort Summary'!$D$5:$D$14,MATCH($A1257,'Cohort Summary'!$A$5:$A$14,0)))/INDEX('Cohort Summary'!$E$5:$E$14,MATCH($A1257,'Cohort Summary'!$A$5:$A$14,0))</f>
        <v>1.55709342560554</v>
      </c>
      <c r="J1257" s="42" t="n">
        <f aca="false">(E1257-INDEX('Cohort Summary'!$F$5:$F$14,MATCH($A1257,'Cohort Summary'!$A$5:$A$14,0)))/INDEX('Cohort Summary'!$G$5:$G$14,MATCH($A1257,'Cohort Summary'!$A$5:$A$14,0))</f>
        <v>1.75392670157068</v>
      </c>
      <c r="K1257" s="42" t="n">
        <f aca="false">(F1257-INDEX('Cohort Summary'!$H$5:$H$14,MATCH($A1257,'Cohort Summary'!$A$5:$A$14,0)))/INDEX('Cohort Summary'!$I$5:$I$14,MATCH($A1257,'Cohort Summary'!$A$5:$A$14,0))</f>
        <v>1.22433460076046</v>
      </c>
      <c r="L1257" s="42" t="n">
        <f aca="false">(G1257-INDEX('Cohort Summary'!$J$5:$J$14,MATCH($A1257,'Cohort Summary'!$A$5:$A$14,0)))/INDEX('Cohort Summary'!$K$5:$K$14,MATCH($A1257,'Cohort Summary'!$A$5:$A$14,0))</f>
        <v>1.54098360655737</v>
      </c>
      <c r="M1257" s="42" t="n">
        <f aca="false">MAX(I1257:K1257)</f>
        <v>1.75392670157068</v>
      </c>
      <c r="N1257" s="27" t="s">
        <v>197</v>
      </c>
      <c r="O1257" s="27"/>
      <c r="P1257" s="27" t="str">
        <f aca="false">A1257&amp;"|"&amp;N1257</f>
        <v>NURSE-07|normal</v>
      </c>
    </row>
    <row r="1258" customFormat="false" ht="15" hidden="false" customHeight="true" outlineLevel="0" collapsed="false">
      <c r="A1258" s="27" t="s">
        <v>95</v>
      </c>
      <c r="B1258" s="41" t="n">
        <v>46303.3111111111</v>
      </c>
      <c r="C1258" s="27" t="s">
        <v>195</v>
      </c>
      <c r="D1258" s="27" t="n">
        <v>43.4</v>
      </c>
      <c r="E1258" s="27" t="n">
        <v>15.6</v>
      </c>
      <c r="F1258" s="27" t="n">
        <v>36.8</v>
      </c>
      <c r="G1258" s="27" t="n">
        <v>32.6</v>
      </c>
      <c r="H1258" s="27" t="s">
        <v>196</v>
      </c>
      <c r="I1258" s="42" t="n">
        <f aca="false">(D1258-INDEX('Cohort Summary'!$D$5:$D$14,MATCH($A1258,'Cohort Summary'!$A$5:$A$14,0)))/INDEX('Cohort Summary'!$E$5:$E$14,MATCH($A1258,'Cohort Summary'!$A$5:$A$14,0))</f>
        <v>-1.5916955017301</v>
      </c>
      <c r="J1258" s="42" t="n">
        <f aca="false">(E1258-INDEX('Cohort Summary'!$F$5:$F$14,MATCH($A1258,'Cohort Summary'!$A$5:$A$14,0)))/INDEX('Cohort Summary'!$G$5:$G$14,MATCH($A1258,'Cohort Summary'!$A$5:$A$14,0))</f>
        <v>-1.49214659685864</v>
      </c>
      <c r="K1258" s="42" t="n">
        <f aca="false">(F1258-INDEX('Cohort Summary'!$H$5:$H$14,MATCH($A1258,'Cohort Summary'!$A$5:$A$14,0)))/INDEX('Cohort Summary'!$I$5:$I$14,MATCH($A1258,'Cohort Summary'!$A$5:$A$14,0))</f>
        <v>0.844106463878327</v>
      </c>
      <c r="L1258" s="42" t="n">
        <f aca="false">(G1258-INDEX('Cohort Summary'!$J$5:$J$14,MATCH($A1258,'Cohort Summary'!$A$5:$A$14,0)))/INDEX('Cohort Summary'!$K$5:$K$14,MATCH($A1258,'Cohort Summary'!$A$5:$A$14,0))</f>
        <v>-1.40983606557377</v>
      </c>
      <c r="M1258" s="42" t="n">
        <f aca="false">MAX(I1258:K1258)</f>
        <v>0.844106463878327</v>
      </c>
      <c r="N1258" s="27" t="s">
        <v>197</v>
      </c>
      <c r="O1258" s="27"/>
      <c r="P1258" s="27" t="str">
        <f aca="false">A1258&amp;"|"&amp;N1258</f>
        <v>NURSE-07|normal</v>
      </c>
    </row>
    <row r="1259" customFormat="false" ht="15" hidden="false" customHeight="true" outlineLevel="0" collapsed="false">
      <c r="A1259" s="27" t="s">
        <v>95</v>
      </c>
      <c r="B1259" s="41" t="n">
        <v>46303.3114583333</v>
      </c>
      <c r="C1259" s="27" t="s">
        <v>195</v>
      </c>
      <c r="D1259" s="27" t="n">
        <v>52.4</v>
      </c>
      <c r="E1259" s="27" t="n">
        <v>20.8</v>
      </c>
      <c r="F1259" s="27" t="n">
        <v>38.8</v>
      </c>
      <c r="G1259" s="27" t="n">
        <v>32.9</v>
      </c>
      <c r="H1259" s="27" t="s">
        <v>199</v>
      </c>
      <c r="I1259" s="42" t="n">
        <f aca="false">(D1259-INDEX('Cohort Summary'!$D$5:$D$14,MATCH($A1259,'Cohort Summary'!$A$5:$A$14,0)))/INDEX('Cohort Summary'!$E$5:$E$14,MATCH($A1259,'Cohort Summary'!$A$5:$A$14,0))</f>
        <v>1.52249134948097</v>
      </c>
      <c r="J1259" s="42" t="n">
        <f aca="false">(E1259-INDEX('Cohort Summary'!$F$5:$F$14,MATCH($A1259,'Cohort Summary'!$A$5:$A$14,0)))/INDEX('Cohort Summary'!$G$5:$G$14,MATCH($A1259,'Cohort Summary'!$A$5:$A$14,0))</f>
        <v>1.2303664921466</v>
      </c>
      <c r="K1259" s="42" t="n">
        <f aca="false">(F1259-INDEX('Cohort Summary'!$H$5:$H$14,MATCH($A1259,'Cohort Summary'!$A$5:$A$14,0)))/INDEX('Cohort Summary'!$I$5:$I$14,MATCH($A1259,'Cohort Summary'!$A$5:$A$14,0))</f>
        <v>1.60456273764259</v>
      </c>
      <c r="L1259" s="42" t="n">
        <f aca="false">(G1259-INDEX('Cohort Summary'!$J$5:$J$14,MATCH($A1259,'Cohort Summary'!$A$5:$A$14,0)))/INDEX('Cohort Summary'!$K$5:$K$14,MATCH($A1259,'Cohort Summary'!$A$5:$A$14,0))</f>
        <v>-0.91803278688525</v>
      </c>
      <c r="M1259" s="42" t="n">
        <f aca="false">MAX(I1259:K1259)</f>
        <v>1.60456273764259</v>
      </c>
      <c r="N1259" s="27" t="s">
        <v>197</v>
      </c>
      <c r="O1259" s="27"/>
      <c r="P1259" s="27" t="str">
        <f aca="false">A1259&amp;"|"&amp;N1259</f>
        <v>NURSE-07|normal</v>
      </c>
    </row>
    <row r="1260" customFormat="false" ht="15" hidden="false" customHeight="true" outlineLevel="0" collapsed="false">
      <c r="A1260" s="27" t="s">
        <v>95</v>
      </c>
      <c r="B1260" s="41" t="n">
        <v>46303.3118055556</v>
      </c>
      <c r="C1260" s="27" t="s">
        <v>195</v>
      </c>
      <c r="D1260" s="27" t="n">
        <v>47.8</v>
      </c>
      <c r="E1260" s="27" t="n">
        <v>17.2</v>
      </c>
      <c r="F1260" s="27" t="n">
        <v>33.7</v>
      </c>
      <c r="G1260" s="27" t="n">
        <v>34</v>
      </c>
      <c r="H1260" s="27" t="s">
        <v>198</v>
      </c>
      <c r="I1260" s="42" t="n">
        <f aca="false">(D1260-INDEX('Cohort Summary'!$D$5:$D$14,MATCH($A1260,'Cohort Summary'!$A$5:$A$14,0)))/INDEX('Cohort Summary'!$E$5:$E$14,MATCH($A1260,'Cohort Summary'!$A$5:$A$14,0))</f>
        <v>-0.0692041522491359</v>
      </c>
      <c r="J1260" s="42" t="n">
        <f aca="false">(E1260-INDEX('Cohort Summary'!$F$5:$F$14,MATCH($A1260,'Cohort Summary'!$A$5:$A$14,0)))/INDEX('Cohort Summary'!$G$5:$G$14,MATCH($A1260,'Cohort Summary'!$A$5:$A$14,0))</f>
        <v>-0.654450261780105</v>
      </c>
      <c r="K1260" s="42" t="n">
        <f aca="false">(F1260-INDEX('Cohort Summary'!$H$5:$H$14,MATCH($A1260,'Cohort Summary'!$A$5:$A$14,0)))/INDEX('Cohort Summary'!$I$5:$I$14,MATCH($A1260,'Cohort Summary'!$A$5:$A$14,0))</f>
        <v>-0.334600760456272</v>
      </c>
      <c r="L1260" s="42" t="n">
        <f aca="false">(G1260-INDEX('Cohort Summary'!$J$5:$J$14,MATCH($A1260,'Cohort Summary'!$A$5:$A$14,0)))/INDEX('Cohort Summary'!$K$5:$K$14,MATCH($A1260,'Cohort Summary'!$A$5:$A$14,0))</f>
        <v>0.885245901639343</v>
      </c>
      <c r="M1260" s="42" t="n">
        <f aca="false">MAX(I1260:K1260)</f>
        <v>-0.0692041522491359</v>
      </c>
      <c r="N1260" s="27" t="s">
        <v>197</v>
      </c>
      <c r="O1260" s="27"/>
      <c r="P1260" s="27" t="str">
        <f aca="false">A1260&amp;"|"&amp;N1260</f>
        <v>NURSE-07|normal</v>
      </c>
    </row>
    <row r="1261" customFormat="false" ht="15" hidden="false" customHeight="true" outlineLevel="0" collapsed="false">
      <c r="A1261" s="27" t="s">
        <v>95</v>
      </c>
      <c r="B1261" s="41" t="n">
        <v>46303.3121527778</v>
      </c>
      <c r="C1261" s="27" t="s">
        <v>195</v>
      </c>
      <c r="D1261" s="27" t="n">
        <v>51.4</v>
      </c>
      <c r="E1261" s="27" t="n">
        <v>19.7</v>
      </c>
      <c r="F1261" s="27" t="n">
        <v>31.7</v>
      </c>
      <c r="G1261" s="27" t="n">
        <v>32.7</v>
      </c>
      <c r="H1261" s="27" t="s">
        <v>196</v>
      </c>
      <c r="I1261" s="42" t="n">
        <f aca="false">(D1261-INDEX('Cohort Summary'!$D$5:$D$14,MATCH($A1261,'Cohort Summary'!$A$5:$A$14,0)))/INDEX('Cohort Summary'!$E$5:$E$14,MATCH($A1261,'Cohort Summary'!$A$5:$A$14,0))</f>
        <v>1.17647058823529</v>
      </c>
      <c r="J1261" s="42" t="n">
        <f aca="false">(E1261-INDEX('Cohort Summary'!$F$5:$F$14,MATCH($A1261,'Cohort Summary'!$A$5:$A$14,0)))/INDEX('Cohort Summary'!$G$5:$G$14,MATCH($A1261,'Cohort Summary'!$A$5:$A$14,0))</f>
        <v>0.654450261780105</v>
      </c>
      <c r="K1261" s="42" t="n">
        <f aca="false">(F1261-INDEX('Cohort Summary'!$H$5:$H$14,MATCH($A1261,'Cohort Summary'!$A$5:$A$14,0)))/INDEX('Cohort Summary'!$I$5:$I$14,MATCH($A1261,'Cohort Summary'!$A$5:$A$14,0))</f>
        <v>-1.09505703422053</v>
      </c>
      <c r="L1261" s="42" t="n">
        <f aca="false">(G1261-INDEX('Cohort Summary'!$J$5:$J$14,MATCH($A1261,'Cohort Summary'!$A$5:$A$14,0)))/INDEX('Cohort Summary'!$K$5:$K$14,MATCH($A1261,'Cohort Summary'!$A$5:$A$14,0))</f>
        <v>-1.24590163934426</v>
      </c>
      <c r="M1261" s="42" t="n">
        <f aca="false">MAX(I1261:K1261)</f>
        <v>1.17647058823529</v>
      </c>
      <c r="N1261" s="27" t="s">
        <v>197</v>
      </c>
      <c r="O1261" s="27"/>
      <c r="P1261" s="27" t="str">
        <f aca="false">A1261&amp;"|"&amp;N1261</f>
        <v>NURSE-07|normal</v>
      </c>
    </row>
    <row r="1262" customFormat="false" ht="15" hidden="false" customHeight="true" outlineLevel="0" collapsed="false">
      <c r="A1262" s="27" t="s">
        <v>95</v>
      </c>
      <c r="B1262" s="41" t="n">
        <v>46303.3125</v>
      </c>
      <c r="C1262" s="27" t="s">
        <v>200</v>
      </c>
      <c r="D1262" s="27" t="n">
        <v>48.3</v>
      </c>
      <c r="E1262" s="27" t="n">
        <v>18.3</v>
      </c>
      <c r="F1262" s="27" t="n">
        <v>38.6</v>
      </c>
      <c r="G1262" s="27" t="n">
        <v>33.4</v>
      </c>
      <c r="H1262" s="27" t="s">
        <v>198</v>
      </c>
      <c r="I1262" s="42" t="n">
        <f aca="false">(D1262-INDEX('Cohort Summary'!$D$5:$D$14,MATCH($A1262,'Cohort Summary'!$A$5:$A$14,0)))/INDEX('Cohort Summary'!$E$5:$E$14,MATCH($A1262,'Cohort Summary'!$A$5:$A$14,0))</f>
        <v>0.103806228373701</v>
      </c>
      <c r="J1262" s="42" t="n">
        <f aca="false">(E1262-INDEX('Cohort Summary'!$F$5:$F$14,MATCH($A1262,'Cohort Summary'!$A$5:$A$14,0)))/INDEX('Cohort Summary'!$G$5:$G$14,MATCH($A1262,'Cohort Summary'!$A$5:$A$14,0))</f>
        <v>-0.0785340314136118</v>
      </c>
      <c r="K1262" s="42" t="n">
        <f aca="false">(F1262-INDEX('Cohort Summary'!$H$5:$H$14,MATCH($A1262,'Cohort Summary'!$A$5:$A$14,0)))/INDEX('Cohort Summary'!$I$5:$I$14,MATCH($A1262,'Cohort Summary'!$A$5:$A$14,0))</f>
        <v>1.52851711026616</v>
      </c>
      <c r="L1262" s="42" t="n">
        <f aca="false">(G1262-INDEX('Cohort Summary'!$J$5:$J$14,MATCH($A1262,'Cohort Summary'!$A$5:$A$14,0)))/INDEX('Cohort Summary'!$K$5:$K$14,MATCH($A1262,'Cohort Summary'!$A$5:$A$14,0))</f>
        <v>-0.0983606557377087</v>
      </c>
      <c r="M1262" s="42" t="n">
        <f aca="false">MAX(I1262:K1262)</f>
        <v>1.52851711026616</v>
      </c>
      <c r="N1262" s="27" t="s">
        <v>197</v>
      </c>
      <c r="O1262" s="27"/>
      <c r="P1262" s="27" t="str">
        <f aca="false">A1262&amp;"|"&amp;N1262</f>
        <v>NURSE-07|normal</v>
      </c>
    </row>
    <row r="1263" customFormat="false" ht="15" hidden="false" customHeight="true" outlineLevel="0" collapsed="false">
      <c r="A1263" s="27" t="s">
        <v>95</v>
      </c>
      <c r="B1263" s="41" t="n">
        <v>46303.3128472222</v>
      </c>
      <c r="C1263" s="27" t="s">
        <v>200</v>
      </c>
      <c r="D1263" s="27" t="n">
        <v>50.2</v>
      </c>
      <c r="E1263" s="27" t="n">
        <v>16.6</v>
      </c>
      <c r="F1263" s="27" t="n">
        <v>38.5</v>
      </c>
      <c r="G1263" s="27" t="n">
        <v>33.1</v>
      </c>
      <c r="H1263" s="27" t="s">
        <v>199</v>
      </c>
      <c r="I1263" s="42" t="n">
        <f aca="false">(D1263-INDEX('Cohort Summary'!$D$5:$D$14,MATCH($A1263,'Cohort Summary'!$A$5:$A$14,0)))/INDEX('Cohort Summary'!$E$5:$E$14,MATCH($A1263,'Cohort Summary'!$A$5:$A$14,0))</f>
        <v>0.761245674740485</v>
      </c>
      <c r="J1263" s="42" t="n">
        <f aca="false">(E1263-INDEX('Cohort Summary'!$F$5:$F$14,MATCH($A1263,'Cohort Summary'!$A$5:$A$14,0)))/INDEX('Cohort Summary'!$G$5:$G$14,MATCH($A1263,'Cohort Summary'!$A$5:$A$14,0))</f>
        <v>-0.968586387434554</v>
      </c>
      <c r="K1263" s="42" t="n">
        <f aca="false">(F1263-INDEX('Cohort Summary'!$H$5:$H$14,MATCH($A1263,'Cohort Summary'!$A$5:$A$14,0)))/INDEX('Cohort Summary'!$I$5:$I$14,MATCH($A1263,'Cohort Summary'!$A$5:$A$14,0))</f>
        <v>1.49049429657795</v>
      </c>
      <c r="L1263" s="42" t="n">
        <f aca="false">(G1263-INDEX('Cohort Summary'!$J$5:$J$14,MATCH($A1263,'Cohort Summary'!$A$5:$A$14,0)))/INDEX('Cohort Summary'!$K$5:$K$14,MATCH($A1263,'Cohort Summary'!$A$5:$A$14,0))</f>
        <v>-0.590163934426229</v>
      </c>
      <c r="M1263" s="42" t="n">
        <f aca="false">MAX(I1263:K1263)</f>
        <v>1.49049429657795</v>
      </c>
      <c r="N1263" s="27" t="s">
        <v>197</v>
      </c>
      <c r="O1263" s="27"/>
      <c r="P1263" s="27" t="str">
        <f aca="false">A1263&amp;"|"&amp;N1263</f>
        <v>NURSE-07|normal</v>
      </c>
    </row>
    <row r="1264" customFormat="false" ht="15" hidden="false" customHeight="true" outlineLevel="0" collapsed="false">
      <c r="A1264" s="27" t="s">
        <v>95</v>
      </c>
      <c r="B1264" s="41" t="n">
        <v>46303.3131944445</v>
      </c>
      <c r="C1264" s="27" t="s">
        <v>200</v>
      </c>
      <c r="D1264" s="27" t="n">
        <v>46</v>
      </c>
      <c r="E1264" s="27" t="n">
        <v>16.9</v>
      </c>
      <c r="F1264" s="27" t="n">
        <v>33.9</v>
      </c>
      <c r="G1264" s="27" t="n">
        <v>32.4</v>
      </c>
      <c r="H1264" s="27" t="s">
        <v>199</v>
      </c>
      <c r="I1264" s="42" t="n">
        <f aca="false">(D1264-INDEX('Cohort Summary'!$D$5:$D$14,MATCH($A1264,'Cohort Summary'!$A$5:$A$14,0)))/INDEX('Cohort Summary'!$E$5:$E$14,MATCH($A1264,'Cohort Summary'!$A$5:$A$14,0))</f>
        <v>-0.692041522491349</v>
      </c>
      <c r="J1264" s="42" t="n">
        <f aca="false">(E1264-INDEX('Cohort Summary'!$F$5:$F$14,MATCH($A1264,'Cohort Summary'!$A$5:$A$14,0)))/INDEX('Cohort Summary'!$G$5:$G$14,MATCH($A1264,'Cohort Summary'!$A$5:$A$14,0))</f>
        <v>-0.81151832460733</v>
      </c>
      <c r="K1264" s="42" t="n">
        <f aca="false">(F1264-INDEX('Cohort Summary'!$H$5:$H$14,MATCH($A1264,'Cohort Summary'!$A$5:$A$14,0)))/INDEX('Cohort Summary'!$I$5:$I$14,MATCH($A1264,'Cohort Summary'!$A$5:$A$14,0))</f>
        <v>-0.258555133079848</v>
      </c>
      <c r="L1264" s="42" t="n">
        <f aca="false">(G1264-INDEX('Cohort Summary'!$J$5:$J$14,MATCH($A1264,'Cohort Summary'!$A$5:$A$14,0)))/INDEX('Cohort Summary'!$K$5:$K$14,MATCH($A1264,'Cohort Summary'!$A$5:$A$14,0))</f>
        <v>-1.73770491803279</v>
      </c>
      <c r="M1264" s="42" t="n">
        <f aca="false">MAX(I1264:K1264)</f>
        <v>-0.258555133079848</v>
      </c>
      <c r="N1264" s="27" t="s">
        <v>197</v>
      </c>
      <c r="O1264" s="27"/>
      <c r="P1264" s="27" t="str">
        <f aca="false">A1264&amp;"|"&amp;N1264</f>
        <v>NURSE-07|normal</v>
      </c>
    </row>
    <row r="1265" customFormat="false" ht="15" hidden="false" customHeight="true" outlineLevel="0" collapsed="false">
      <c r="A1265" s="27" t="s">
        <v>95</v>
      </c>
      <c r="B1265" s="41" t="n">
        <v>46303.3135416667</v>
      </c>
      <c r="C1265" s="27" t="s">
        <v>200</v>
      </c>
      <c r="D1265" s="27" t="n">
        <v>45.2</v>
      </c>
      <c r="E1265" s="27" t="n">
        <v>18.3</v>
      </c>
      <c r="F1265" s="27" t="n">
        <v>34.4</v>
      </c>
      <c r="G1265" s="27" t="n">
        <v>33.7</v>
      </c>
      <c r="H1265" s="27" t="s">
        <v>198</v>
      </c>
      <c r="I1265" s="42" t="n">
        <f aca="false">(D1265-INDEX('Cohort Summary'!$D$5:$D$14,MATCH($A1265,'Cohort Summary'!$A$5:$A$14,0)))/INDEX('Cohort Summary'!$E$5:$E$14,MATCH($A1265,'Cohort Summary'!$A$5:$A$14,0))</f>
        <v>-0.968858131487888</v>
      </c>
      <c r="J1265" s="42" t="n">
        <f aca="false">(E1265-INDEX('Cohort Summary'!$F$5:$F$14,MATCH($A1265,'Cohort Summary'!$A$5:$A$14,0)))/INDEX('Cohort Summary'!$G$5:$G$14,MATCH($A1265,'Cohort Summary'!$A$5:$A$14,0))</f>
        <v>-0.0785340314136118</v>
      </c>
      <c r="K1265" s="42" t="n">
        <f aca="false">(F1265-INDEX('Cohort Summary'!$H$5:$H$14,MATCH($A1265,'Cohort Summary'!$A$5:$A$14,0)))/INDEX('Cohort Summary'!$I$5:$I$14,MATCH($A1265,'Cohort Summary'!$A$5:$A$14,0))</f>
        <v>-0.0684410646387832</v>
      </c>
      <c r="L1265" s="42" t="n">
        <f aca="false">(G1265-INDEX('Cohort Summary'!$J$5:$J$14,MATCH($A1265,'Cohort Summary'!$A$5:$A$14,0)))/INDEX('Cohort Summary'!$K$5:$K$14,MATCH($A1265,'Cohort Summary'!$A$5:$A$14,0))</f>
        <v>0.393442622950823</v>
      </c>
      <c r="M1265" s="42" t="n">
        <f aca="false">MAX(I1265:K1265)</f>
        <v>-0.0684410646387832</v>
      </c>
      <c r="N1265" s="27" t="s">
        <v>197</v>
      </c>
      <c r="O1265" s="27"/>
      <c r="P1265" s="27" t="str">
        <f aca="false">A1265&amp;"|"&amp;N1265</f>
        <v>NURSE-07|normal</v>
      </c>
    </row>
    <row r="1266" customFormat="false" ht="15" hidden="false" customHeight="true" outlineLevel="0" collapsed="false">
      <c r="A1266" s="27" t="s">
        <v>95</v>
      </c>
      <c r="B1266" s="41" t="n">
        <v>46303.3138888889</v>
      </c>
      <c r="C1266" s="27" t="s">
        <v>200</v>
      </c>
      <c r="D1266" s="27" t="n">
        <v>53.9</v>
      </c>
      <c r="E1266" s="27" t="n">
        <v>21.6</v>
      </c>
      <c r="F1266" s="27" t="n">
        <v>42</v>
      </c>
      <c r="G1266" s="27" t="n">
        <v>35.1</v>
      </c>
      <c r="H1266" s="27" t="s">
        <v>198</v>
      </c>
      <c r="I1266" s="42" t="n">
        <f aca="false">(D1266-INDEX('Cohort Summary'!$D$5:$D$14,MATCH($A1266,'Cohort Summary'!$A$5:$A$14,0)))/INDEX('Cohort Summary'!$E$5:$E$14,MATCH($A1266,'Cohort Summary'!$A$5:$A$14,0))</f>
        <v>2.04152249134948</v>
      </c>
      <c r="J1266" s="42" t="n">
        <f aca="false">(E1266-INDEX('Cohort Summary'!$F$5:$F$14,MATCH($A1266,'Cohort Summary'!$A$5:$A$14,0)))/INDEX('Cohort Summary'!$G$5:$G$14,MATCH($A1266,'Cohort Summary'!$A$5:$A$14,0))</f>
        <v>1.64921465968587</v>
      </c>
      <c r="K1266" s="42" t="n">
        <f aca="false">(F1266-INDEX('Cohort Summary'!$H$5:$H$14,MATCH($A1266,'Cohort Summary'!$A$5:$A$14,0)))/INDEX('Cohort Summary'!$I$5:$I$14,MATCH($A1266,'Cohort Summary'!$A$5:$A$14,0))</f>
        <v>2.8212927756654</v>
      </c>
      <c r="L1266" s="42" t="n">
        <f aca="false">(G1266-INDEX('Cohort Summary'!$J$5:$J$14,MATCH($A1266,'Cohort Summary'!$A$5:$A$14,0)))/INDEX('Cohort Summary'!$K$5:$K$14,MATCH($A1266,'Cohort Summary'!$A$5:$A$14,0))</f>
        <v>2.68852459016394</v>
      </c>
      <c r="M1266" s="42" t="n">
        <f aca="false">MAX(I1266:K1266)</f>
        <v>2.8212927756654</v>
      </c>
      <c r="N1266" s="27" t="s">
        <v>201</v>
      </c>
      <c r="O1266" s="27" t="s">
        <v>269</v>
      </c>
      <c r="P1266" s="27" t="str">
        <f aca="false">A1266&amp;"|"&amp;N1266</f>
        <v>NURSE-07|caution</v>
      </c>
    </row>
    <row r="1267" customFormat="false" ht="15" hidden="false" customHeight="true" outlineLevel="0" collapsed="false">
      <c r="A1267" s="27" t="s">
        <v>95</v>
      </c>
      <c r="B1267" s="41" t="n">
        <v>46303.3142361111</v>
      </c>
      <c r="C1267" s="27" t="s">
        <v>200</v>
      </c>
      <c r="D1267" s="27" t="n">
        <v>54</v>
      </c>
      <c r="E1267" s="27" t="n">
        <v>20</v>
      </c>
      <c r="F1267" s="27" t="n">
        <v>43.8</v>
      </c>
      <c r="G1267" s="27" t="n">
        <v>35.6</v>
      </c>
      <c r="H1267" s="27" t="s">
        <v>198</v>
      </c>
      <c r="I1267" s="42" t="n">
        <f aca="false">(D1267-INDEX('Cohort Summary'!$D$5:$D$14,MATCH($A1267,'Cohort Summary'!$A$5:$A$14,0)))/INDEX('Cohort Summary'!$E$5:$E$14,MATCH($A1267,'Cohort Summary'!$A$5:$A$14,0))</f>
        <v>2.07612456747405</v>
      </c>
      <c r="J1267" s="42" t="n">
        <f aca="false">(E1267-INDEX('Cohort Summary'!$F$5:$F$14,MATCH($A1267,'Cohort Summary'!$A$5:$A$14,0)))/INDEX('Cohort Summary'!$G$5:$G$14,MATCH($A1267,'Cohort Summary'!$A$5:$A$14,0))</f>
        <v>0.81151832460733</v>
      </c>
      <c r="K1267" s="42" t="n">
        <f aca="false">(F1267-INDEX('Cohort Summary'!$H$5:$H$14,MATCH($A1267,'Cohort Summary'!$A$5:$A$14,0)))/INDEX('Cohort Summary'!$I$5:$I$14,MATCH($A1267,'Cohort Summary'!$A$5:$A$14,0))</f>
        <v>3.50570342205323</v>
      </c>
      <c r="L1267" s="42" t="n">
        <f aca="false">(G1267-INDEX('Cohort Summary'!$J$5:$J$14,MATCH($A1267,'Cohort Summary'!$A$5:$A$14,0)))/INDEX('Cohort Summary'!$K$5:$K$14,MATCH($A1267,'Cohort Summary'!$A$5:$A$14,0))</f>
        <v>3.50819672131148</v>
      </c>
      <c r="M1267" s="42" t="n">
        <f aca="false">MAX(I1267:K1267)</f>
        <v>3.50570342205323</v>
      </c>
      <c r="N1267" s="27" t="s">
        <v>212</v>
      </c>
      <c r="O1267" s="27" t="s">
        <v>270</v>
      </c>
      <c r="P1267" s="27" t="str">
        <f aca="false">A1267&amp;"|"&amp;N1267</f>
        <v>NURSE-07|alert</v>
      </c>
    </row>
    <row r="1268" customFormat="false" ht="15" hidden="false" customHeight="true" outlineLevel="0" collapsed="false">
      <c r="A1268" s="27" t="s">
        <v>95</v>
      </c>
      <c r="B1268" s="41" t="n">
        <v>46303.3145833333</v>
      </c>
      <c r="C1268" s="27" t="s">
        <v>200</v>
      </c>
      <c r="D1268" s="27" t="n">
        <v>57.5</v>
      </c>
      <c r="E1268" s="27" t="n">
        <v>16.5</v>
      </c>
      <c r="F1268" s="27" t="n">
        <v>38.6</v>
      </c>
      <c r="G1268" s="27" t="n">
        <v>35.7</v>
      </c>
      <c r="H1268" s="27" t="s">
        <v>198</v>
      </c>
      <c r="I1268" s="42" t="n">
        <f aca="false">(D1268-INDEX('Cohort Summary'!$D$5:$D$14,MATCH($A1268,'Cohort Summary'!$A$5:$A$14,0)))/INDEX('Cohort Summary'!$E$5:$E$14,MATCH($A1268,'Cohort Summary'!$A$5:$A$14,0))</f>
        <v>3.28719723183391</v>
      </c>
      <c r="J1268" s="42" t="n">
        <f aca="false">(E1268-INDEX('Cohort Summary'!$F$5:$F$14,MATCH($A1268,'Cohort Summary'!$A$5:$A$14,0)))/INDEX('Cohort Summary'!$G$5:$G$14,MATCH($A1268,'Cohort Summary'!$A$5:$A$14,0))</f>
        <v>-1.02094240837696</v>
      </c>
      <c r="K1268" s="42" t="n">
        <f aca="false">(F1268-INDEX('Cohort Summary'!$H$5:$H$14,MATCH($A1268,'Cohort Summary'!$A$5:$A$14,0)))/INDEX('Cohort Summary'!$I$5:$I$14,MATCH($A1268,'Cohort Summary'!$A$5:$A$14,0))</f>
        <v>1.52851711026616</v>
      </c>
      <c r="L1268" s="42" t="n">
        <f aca="false">(G1268-INDEX('Cohort Summary'!$J$5:$J$14,MATCH($A1268,'Cohort Summary'!$A$5:$A$14,0)))/INDEX('Cohort Summary'!$K$5:$K$14,MATCH($A1268,'Cohort Summary'!$A$5:$A$14,0))</f>
        <v>3.67213114754099</v>
      </c>
      <c r="M1268" s="42" t="n">
        <f aca="false">MAX(I1268:K1268)</f>
        <v>3.28719723183391</v>
      </c>
      <c r="N1268" s="27" t="s">
        <v>212</v>
      </c>
      <c r="O1268" s="27" t="s">
        <v>271</v>
      </c>
      <c r="P1268" s="27" t="str">
        <f aca="false">A1268&amp;"|"&amp;N1268</f>
        <v>NURSE-07|alert</v>
      </c>
    </row>
    <row r="1269" customFormat="false" ht="15" hidden="false" customHeight="true" outlineLevel="0" collapsed="false">
      <c r="A1269" s="27" t="s">
        <v>95</v>
      </c>
      <c r="B1269" s="41" t="n">
        <v>46303.3149305556</v>
      </c>
      <c r="C1269" s="27" t="s">
        <v>200</v>
      </c>
      <c r="D1269" s="27" t="n">
        <v>61.9</v>
      </c>
      <c r="E1269" s="27" t="n">
        <v>15.9</v>
      </c>
      <c r="F1269" s="27" t="n">
        <v>46.5</v>
      </c>
      <c r="G1269" s="27" t="n">
        <v>34.6</v>
      </c>
      <c r="H1269" s="27" t="s">
        <v>198</v>
      </c>
      <c r="I1269" s="42" t="n">
        <f aca="false">(D1269-INDEX('Cohort Summary'!$D$5:$D$14,MATCH($A1269,'Cohort Summary'!$A$5:$A$14,0)))/INDEX('Cohort Summary'!$E$5:$E$14,MATCH($A1269,'Cohort Summary'!$A$5:$A$14,0))</f>
        <v>4.80968858131488</v>
      </c>
      <c r="J1269" s="42" t="n">
        <f aca="false">(E1269-INDEX('Cohort Summary'!$F$5:$F$14,MATCH($A1269,'Cohort Summary'!$A$5:$A$14,0)))/INDEX('Cohort Summary'!$G$5:$G$14,MATCH($A1269,'Cohort Summary'!$A$5:$A$14,0))</f>
        <v>-1.33507853403141</v>
      </c>
      <c r="K1269" s="42" t="n">
        <f aca="false">(F1269-INDEX('Cohort Summary'!$H$5:$H$14,MATCH($A1269,'Cohort Summary'!$A$5:$A$14,0)))/INDEX('Cohort Summary'!$I$5:$I$14,MATCH($A1269,'Cohort Summary'!$A$5:$A$14,0))</f>
        <v>4.53231939163498</v>
      </c>
      <c r="L1269" s="42" t="n">
        <f aca="false">(G1269-INDEX('Cohort Summary'!$J$5:$J$14,MATCH($A1269,'Cohort Summary'!$A$5:$A$14,0)))/INDEX('Cohort Summary'!$K$5:$K$14,MATCH($A1269,'Cohort Summary'!$A$5:$A$14,0))</f>
        <v>1.86885245901639</v>
      </c>
      <c r="M1269" s="42" t="n">
        <f aca="false">MAX(I1269:K1269)</f>
        <v>4.80968858131488</v>
      </c>
      <c r="N1269" s="27" t="s">
        <v>212</v>
      </c>
      <c r="O1269" s="27" t="s">
        <v>272</v>
      </c>
      <c r="P1269" s="27" t="str">
        <f aca="false">A1269&amp;"|"&amp;N1269</f>
        <v>NURSE-07|alert</v>
      </c>
    </row>
    <row r="1270" customFormat="false" ht="15" hidden="false" customHeight="true" outlineLevel="0" collapsed="false">
      <c r="A1270" s="27" t="s">
        <v>95</v>
      </c>
      <c r="B1270" s="41" t="n">
        <v>46303.3152777778</v>
      </c>
      <c r="C1270" s="27" t="s">
        <v>200</v>
      </c>
      <c r="D1270" s="27" t="n">
        <v>58.9</v>
      </c>
      <c r="E1270" s="27" t="n">
        <v>21.2</v>
      </c>
      <c r="F1270" s="27" t="n">
        <v>42.9</v>
      </c>
      <c r="G1270" s="27" t="n">
        <v>34.9</v>
      </c>
      <c r="H1270" s="27" t="s">
        <v>198</v>
      </c>
      <c r="I1270" s="42" t="n">
        <f aca="false">(D1270-INDEX('Cohort Summary'!$D$5:$D$14,MATCH($A1270,'Cohort Summary'!$A$5:$A$14,0)))/INDEX('Cohort Summary'!$E$5:$E$14,MATCH($A1270,'Cohort Summary'!$A$5:$A$14,0))</f>
        <v>3.77162629757785</v>
      </c>
      <c r="J1270" s="42" t="n">
        <f aca="false">(E1270-INDEX('Cohort Summary'!$F$5:$F$14,MATCH($A1270,'Cohort Summary'!$A$5:$A$14,0)))/INDEX('Cohort Summary'!$G$5:$G$14,MATCH($A1270,'Cohort Summary'!$A$5:$A$14,0))</f>
        <v>1.43979057591623</v>
      </c>
      <c r="K1270" s="42" t="n">
        <f aca="false">(F1270-INDEX('Cohort Summary'!$H$5:$H$14,MATCH($A1270,'Cohort Summary'!$A$5:$A$14,0)))/INDEX('Cohort Summary'!$I$5:$I$14,MATCH($A1270,'Cohort Summary'!$A$5:$A$14,0))</f>
        <v>3.16349809885932</v>
      </c>
      <c r="L1270" s="42" t="n">
        <f aca="false">(G1270-INDEX('Cohort Summary'!$J$5:$J$14,MATCH($A1270,'Cohort Summary'!$A$5:$A$14,0)))/INDEX('Cohort Summary'!$K$5:$K$14,MATCH($A1270,'Cohort Summary'!$A$5:$A$14,0))</f>
        <v>2.36065573770491</v>
      </c>
      <c r="M1270" s="42" t="n">
        <f aca="false">MAX(I1270:K1270)</f>
        <v>3.77162629757785</v>
      </c>
      <c r="N1270" s="27" t="s">
        <v>212</v>
      </c>
      <c r="O1270" s="27" t="s">
        <v>273</v>
      </c>
      <c r="P1270" s="27" t="str">
        <f aca="false">A1270&amp;"|"&amp;N1270</f>
        <v>NURSE-07|alert</v>
      </c>
    </row>
    <row r="1271" customFormat="false" ht="15" hidden="false" customHeight="true" outlineLevel="0" collapsed="false">
      <c r="A1271" s="27" t="s">
        <v>95</v>
      </c>
      <c r="B1271" s="41" t="n">
        <v>46303.315625</v>
      </c>
      <c r="C1271" s="27" t="s">
        <v>200</v>
      </c>
      <c r="D1271" s="27" t="n">
        <v>54.5</v>
      </c>
      <c r="E1271" s="27" t="n">
        <v>18.8</v>
      </c>
      <c r="F1271" s="27" t="n">
        <v>40.7</v>
      </c>
      <c r="G1271" s="27" t="n">
        <v>35.4</v>
      </c>
      <c r="H1271" s="27" t="s">
        <v>198</v>
      </c>
      <c r="I1271" s="42" t="n">
        <f aca="false">(D1271-INDEX('Cohort Summary'!$D$5:$D$14,MATCH($A1271,'Cohort Summary'!$A$5:$A$14,0)))/INDEX('Cohort Summary'!$E$5:$E$14,MATCH($A1271,'Cohort Summary'!$A$5:$A$14,0))</f>
        <v>2.24913494809689</v>
      </c>
      <c r="J1271" s="42" t="n">
        <f aca="false">(E1271-INDEX('Cohort Summary'!$F$5:$F$14,MATCH($A1271,'Cohort Summary'!$A$5:$A$14,0)))/INDEX('Cohort Summary'!$G$5:$G$14,MATCH($A1271,'Cohort Summary'!$A$5:$A$14,0))</f>
        <v>0.18324607329843</v>
      </c>
      <c r="K1271" s="42" t="n">
        <f aca="false">(F1271-INDEX('Cohort Summary'!$H$5:$H$14,MATCH($A1271,'Cohort Summary'!$A$5:$A$14,0)))/INDEX('Cohort Summary'!$I$5:$I$14,MATCH($A1271,'Cohort Summary'!$A$5:$A$14,0))</f>
        <v>2.32699619771863</v>
      </c>
      <c r="L1271" s="42" t="n">
        <f aca="false">(G1271-INDEX('Cohort Summary'!$J$5:$J$14,MATCH($A1271,'Cohort Summary'!$A$5:$A$14,0)))/INDEX('Cohort Summary'!$K$5:$K$14,MATCH($A1271,'Cohort Summary'!$A$5:$A$14,0))</f>
        <v>3.18032786885246</v>
      </c>
      <c r="M1271" s="42" t="n">
        <f aca="false">MAX(I1271:K1271)</f>
        <v>2.32699619771863</v>
      </c>
      <c r="N1271" s="27" t="s">
        <v>212</v>
      </c>
      <c r="O1271" s="27" t="s">
        <v>274</v>
      </c>
      <c r="P1271" s="27" t="str">
        <f aca="false">A1271&amp;"|"&amp;N1271</f>
        <v>NURSE-07|alert</v>
      </c>
    </row>
    <row r="1272" customFormat="false" ht="15" hidden="false" customHeight="true" outlineLevel="0" collapsed="false">
      <c r="A1272" s="27" t="s">
        <v>95</v>
      </c>
      <c r="B1272" s="41" t="n">
        <v>46303.3159722222</v>
      </c>
      <c r="C1272" s="27" t="s">
        <v>200</v>
      </c>
      <c r="D1272" s="27" t="n">
        <v>53.9</v>
      </c>
      <c r="E1272" s="27" t="n">
        <v>21.9</v>
      </c>
      <c r="F1272" s="27" t="n">
        <v>45.9</v>
      </c>
      <c r="G1272" s="27" t="n">
        <v>35.9</v>
      </c>
      <c r="H1272" s="27" t="s">
        <v>198</v>
      </c>
      <c r="I1272" s="42" t="n">
        <f aca="false">(D1272-INDEX('Cohort Summary'!$D$5:$D$14,MATCH($A1272,'Cohort Summary'!$A$5:$A$14,0)))/INDEX('Cohort Summary'!$E$5:$E$14,MATCH($A1272,'Cohort Summary'!$A$5:$A$14,0))</f>
        <v>2.04152249134948</v>
      </c>
      <c r="J1272" s="42" t="n">
        <f aca="false">(E1272-INDEX('Cohort Summary'!$F$5:$F$14,MATCH($A1272,'Cohort Summary'!$A$5:$A$14,0)))/INDEX('Cohort Summary'!$G$5:$G$14,MATCH($A1272,'Cohort Summary'!$A$5:$A$14,0))</f>
        <v>1.80628272251309</v>
      </c>
      <c r="K1272" s="42" t="n">
        <f aca="false">(F1272-INDEX('Cohort Summary'!$H$5:$H$14,MATCH($A1272,'Cohort Summary'!$A$5:$A$14,0)))/INDEX('Cohort Summary'!$I$5:$I$14,MATCH($A1272,'Cohort Summary'!$A$5:$A$14,0))</f>
        <v>4.3041825095057</v>
      </c>
      <c r="L1272" s="42" t="n">
        <f aca="false">(G1272-INDEX('Cohort Summary'!$J$5:$J$14,MATCH($A1272,'Cohort Summary'!$A$5:$A$14,0)))/INDEX('Cohort Summary'!$K$5:$K$14,MATCH($A1272,'Cohort Summary'!$A$5:$A$14,0))</f>
        <v>4</v>
      </c>
      <c r="M1272" s="42" t="n">
        <f aca="false">MAX(I1272:K1272)</f>
        <v>4.3041825095057</v>
      </c>
      <c r="N1272" s="27" t="s">
        <v>212</v>
      </c>
      <c r="O1272" s="27" t="s">
        <v>275</v>
      </c>
      <c r="P1272" s="27" t="str">
        <f aca="false">A1272&amp;"|"&amp;N1272</f>
        <v>NURSE-07|alert</v>
      </c>
    </row>
    <row r="1273" customFormat="false" ht="15" hidden="false" customHeight="true" outlineLevel="0" collapsed="false">
      <c r="A1273" s="27" t="s">
        <v>95</v>
      </c>
      <c r="B1273" s="41" t="n">
        <v>46303.3163194444</v>
      </c>
      <c r="C1273" s="27" t="s">
        <v>200</v>
      </c>
      <c r="D1273" s="27" t="n">
        <v>59</v>
      </c>
      <c r="E1273" s="27" t="n">
        <v>21.5</v>
      </c>
      <c r="F1273" s="27" t="n">
        <v>46.1</v>
      </c>
      <c r="G1273" s="27" t="n">
        <v>35.7</v>
      </c>
      <c r="H1273" s="27" t="s">
        <v>198</v>
      </c>
      <c r="I1273" s="42" t="n">
        <f aca="false">(D1273-INDEX('Cohort Summary'!$D$5:$D$14,MATCH($A1273,'Cohort Summary'!$A$5:$A$14,0)))/INDEX('Cohort Summary'!$E$5:$E$14,MATCH($A1273,'Cohort Summary'!$A$5:$A$14,0))</f>
        <v>3.80622837370242</v>
      </c>
      <c r="J1273" s="42" t="n">
        <f aca="false">(E1273-INDEX('Cohort Summary'!$F$5:$F$14,MATCH($A1273,'Cohort Summary'!$A$5:$A$14,0)))/INDEX('Cohort Summary'!$G$5:$G$14,MATCH($A1273,'Cohort Summary'!$A$5:$A$14,0))</f>
        <v>1.59685863874346</v>
      </c>
      <c r="K1273" s="42" t="n">
        <f aca="false">(F1273-INDEX('Cohort Summary'!$H$5:$H$14,MATCH($A1273,'Cohort Summary'!$A$5:$A$14,0)))/INDEX('Cohort Summary'!$I$5:$I$14,MATCH($A1273,'Cohort Summary'!$A$5:$A$14,0))</f>
        <v>4.38022813688213</v>
      </c>
      <c r="L1273" s="42" t="n">
        <f aca="false">(G1273-INDEX('Cohort Summary'!$J$5:$J$14,MATCH($A1273,'Cohort Summary'!$A$5:$A$14,0)))/INDEX('Cohort Summary'!$K$5:$K$14,MATCH($A1273,'Cohort Summary'!$A$5:$A$14,0))</f>
        <v>3.67213114754099</v>
      </c>
      <c r="M1273" s="42" t="n">
        <f aca="false">MAX(I1273:K1273)</f>
        <v>4.38022813688213</v>
      </c>
      <c r="N1273" s="27" t="s">
        <v>212</v>
      </c>
      <c r="O1273" s="27" t="s">
        <v>276</v>
      </c>
      <c r="P1273" s="27" t="str">
        <f aca="false">A1273&amp;"|"&amp;N1273</f>
        <v>NURSE-07|alert</v>
      </c>
    </row>
    <row r="1274" customFormat="false" ht="15" hidden="false" customHeight="true" outlineLevel="0" collapsed="false">
      <c r="A1274" s="27" t="s">
        <v>95</v>
      </c>
      <c r="B1274" s="41" t="n">
        <v>46303.3166666667</v>
      </c>
      <c r="C1274" s="27" t="s">
        <v>200</v>
      </c>
      <c r="D1274" s="27" t="n">
        <v>53.5</v>
      </c>
      <c r="E1274" s="27" t="n">
        <v>18.5</v>
      </c>
      <c r="F1274" s="27" t="n">
        <v>43.1</v>
      </c>
      <c r="G1274" s="27" t="n">
        <v>34.7</v>
      </c>
      <c r="H1274" s="27" t="s">
        <v>198</v>
      </c>
      <c r="I1274" s="42" t="n">
        <f aca="false">(D1274-INDEX('Cohort Summary'!$D$5:$D$14,MATCH($A1274,'Cohort Summary'!$A$5:$A$14,0)))/INDEX('Cohort Summary'!$E$5:$E$14,MATCH($A1274,'Cohort Summary'!$A$5:$A$14,0))</f>
        <v>1.90311418685121</v>
      </c>
      <c r="J1274" s="42" t="n">
        <f aca="false">(E1274-INDEX('Cohort Summary'!$F$5:$F$14,MATCH($A1274,'Cohort Summary'!$A$5:$A$14,0)))/INDEX('Cohort Summary'!$G$5:$G$14,MATCH($A1274,'Cohort Summary'!$A$5:$A$14,0))</f>
        <v>0.0261780104712046</v>
      </c>
      <c r="K1274" s="42" t="n">
        <f aca="false">(F1274-INDEX('Cohort Summary'!$H$5:$H$14,MATCH($A1274,'Cohort Summary'!$A$5:$A$14,0)))/INDEX('Cohort Summary'!$I$5:$I$14,MATCH($A1274,'Cohort Summary'!$A$5:$A$14,0))</f>
        <v>3.23954372623574</v>
      </c>
      <c r="L1274" s="42" t="n">
        <f aca="false">(G1274-INDEX('Cohort Summary'!$J$5:$J$14,MATCH($A1274,'Cohort Summary'!$A$5:$A$14,0)))/INDEX('Cohort Summary'!$K$5:$K$14,MATCH($A1274,'Cohort Summary'!$A$5:$A$14,0))</f>
        <v>2.03278688524591</v>
      </c>
      <c r="M1274" s="42" t="n">
        <f aca="false">MAX(I1274:K1274)</f>
        <v>3.23954372623574</v>
      </c>
      <c r="N1274" s="27" t="s">
        <v>212</v>
      </c>
      <c r="O1274" s="27" t="s">
        <v>277</v>
      </c>
      <c r="P1274" s="27" t="str">
        <f aca="false">A1274&amp;"|"&amp;N1274</f>
        <v>NURSE-07|alert</v>
      </c>
    </row>
    <row r="1275" customFormat="false" ht="15" hidden="false" customHeight="true" outlineLevel="0" collapsed="false">
      <c r="A1275" s="27" t="s">
        <v>95</v>
      </c>
      <c r="B1275" s="41" t="n">
        <v>46303.3170138889</v>
      </c>
      <c r="C1275" s="27" t="s">
        <v>200</v>
      </c>
      <c r="D1275" s="27" t="n">
        <v>50.1</v>
      </c>
      <c r="E1275" s="27" t="n">
        <v>21.5</v>
      </c>
      <c r="F1275" s="27" t="n">
        <v>36.5</v>
      </c>
      <c r="G1275" s="27" t="n">
        <v>33.7</v>
      </c>
      <c r="H1275" s="27" t="s">
        <v>199</v>
      </c>
      <c r="I1275" s="42" t="n">
        <f aca="false">(D1275-INDEX('Cohort Summary'!$D$5:$D$14,MATCH($A1275,'Cohort Summary'!$A$5:$A$14,0)))/INDEX('Cohort Summary'!$E$5:$E$14,MATCH($A1275,'Cohort Summary'!$A$5:$A$14,0))</f>
        <v>0.726643598615917</v>
      </c>
      <c r="J1275" s="42" t="n">
        <f aca="false">(E1275-INDEX('Cohort Summary'!$F$5:$F$14,MATCH($A1275,'Cohort Summary'!$A$5:$A$14,0)))/INDEX('Cohort Summary'!$G$5:$G$14,MATCH($A1275,'Cohort Summary'!$A$5:$A$14,0))</f>
        <v>1.59685863874346</v>
      </c>
      <c r="K1275" s="42" t="n">
        <f aca="false">(F1275-INDEX('Cohort Summary'!$H$5:$H$14,MATCH($A1275,'Cohort Summary'!$A$5:$A$14,0)))/INDEX('Cohort Summary'!$I$5:$I$14,MATCH($A1275,'Cohort Summary'!$A$5:$A$14,0))</f>
        <v>0.730038022813689</v>
      </c>
      <c r="L1275" s="42" t="n">
        <f aca="false">(G1275-INDEX('Cohort Summary'!$J$5:$J$14,MATCH($A1275,'Cohort Summary'!$A$5:$A$14,0)))/INDEX('Cohort Summary'!$K$5:$K$14,MATCH($A1275,'Cohort Summary'!$A$5:$A$14,0))</f>
        <v>0.393442622950823</v>
      </c>
      <c r="M1275" s="42" t="n">
        <f aca="false">MAX(I1275:K1275)</f>
        <v>1.59685863874346</v>
      </c>
      <c r="N1275" s="27" t="s">
        <v>197</v>
      </c>
      <c r="O1275" s="27"/>
      <c r="P1275" s="27" t="str">
        <f aca="false">A1275&amp;"|"&amp;N1275</f>
        <v>NURSE-07|normal</v>
      </c>
    </row>
    <row r="1276" customFormat="false" ht="15" hidden="false" customHeight="true" outlineLevel="0" collapsed="false">
      <c r="A1276" s="27" t="s">
        <v>95</v>
      </c>
      <c r="B1276" s="41" t="n">
        <v>46303.3173611111</v>
      </c>
      <c r="C1276" s="27" t="s">
        <v>200</v>
      </c>
      <c r="D1276" s="27" t="n">
        <v>50.8</v>
      </c>
      <c r="E1276" s="27" t="n">
        <v>18.1</v>
      </c>
      <c r="F1276" s="27" t="n">
        <v>34.6</v>
      </c>
      <c r="G1276" s="27" t="n">
        <v>33.9</v>
      </c>
      <c r="H1276" s="27" t="s">
        <v>199</v>
      </c>
      <c r="I1276" s="42" t="n">
        <f aca="false">(D1276-INDEX('Cohort Summary'!$D$5:$D$14,MATCH($A1276,'Cohort Summary'!$A$5:$A$14,0)))/INDEX('Cohort Summary'!$E$5:$E$14,MATCH($A1276,'Cohort Summary'!$A$5:$A$14,0))</f>
        <v>0.968858131487888</v>
      </c>
      <c r="J1276" s="42" t="n">
        <f aca="false">(E1276-INDEX('Cohort Summary'!$F$5:$F$14,MATCH($A1276,'Cohort Summary'!$A$5:$A$14,0)))/INDEX('Cohort Summary'!$G$5:$G$14,MATCH($A1276,'Cohort Summary'!$A$5:$A$14,0))</f>
        <v>-0.183246073298428</v>
      </c>
      <c r="K1276" s="42" t="n">
        <f aca="false">(F1276-INDEX('Cohort Summary'!$H$5:$H$14,MATCH($A1276,'Cohort Summary'!$A$5:$A$14,0)))/INDEX('Cohort Summary'!$I$5:$I$14,MATCH($A1276,'Cohort Summary'!$A$5:$A$14,0))</f>
        <v>0.00760456273764378</v>
      </c>
      <c r="L1276" s="42" t="n">
        <f aca="false">(G1276-INDEX('Cohort Summary'!$J$5:$J$14,MATCH($A1276,'Cohort Summary'!$A$5:$A$14,0)))/INDEX('Cohort Summary'!$K$5:$K$14,MATCH($A1276,'Cohort Summary'!$A$5:$A$14,0))</f>
        <v>0.721311475409832</v>
      </c>
      <c r="M1276" s="42" t="n">
        <f aca="false">MAX(I1276:K1276)</f>
        <v>0.968858131487888</v>
      </c>
      <c r="N1276" s="27" t="s">
        <v>197</v>
      </c>
      <c r="O1276" s="27"/>
      <c r="P1276" s="27" t="str">
        <f aca="false">A1276&amp;"|"&amp;N1276</f>
        <v>NURSE-07|normal</v>
      </c>
    </row>
    <row r="1277" customFormat="false" ht="15" hidden="false" customHeight="true" outlineLevel="0" collapsed="false">
      <c r="A1277" s="27" t="s">
        <v>95</v>
      </c>
      <c r="B1277" s="41" t="n">
        <v>46303.3177083333</v>
      </c>
      <c r="C1277" s="27" t="s">
        <v>200</v>
      </c>
      <c r="D1277" s="27" t="n">
        <v>52.2</v>
      </c>
      <c r="E1277" s="27" t="n">
        <v>19.8</v>
      </c>
      <c r="F1277" s="27" t="n">
        <v>31.8</v>
      </c>
      <c r="G1277" s="27" t="n">
        <v>32.6</v>
      </c>
      <c r="H1277" s="27" t="s">
        <v>196</v>
      </c>
      <c r="I1277" s="42" t="n">
        <f aca="false">(D1277-INDEX('Cohort Summary'!$D$5:$D$14,MATCH($A1277,'Cohort Summary'!$A$5:$A$14,0)))/INDEX('Cohort Summary'!$E$5:$E$14,MATCH($A1277,'Cohort Summary'!$A$5:$A$14,0))</f>
        <v>1.45328719723183</v>
      </c>
      <c r="J1277" s="42" t="n">
        <f aca="false">(E1277-INDEX('Cohort Summary'!$F$5:$F$14,MATCH($A1277,'Cohort Summary'!$A$5:$A$14,0)))/INDEX('Cohort Summary'!$G$5:$G$14,MATCH($A1277,'Cohort Summary'!$A$5:$A$14,0))</f>
        <v>0.706806282722514</v>
      </c>
      <c r="K1277" s="42" t="n">
        <f aca="false">(F1277-INDEX('Cohort Summary'!$H$5:$H$14,MATCH($A1277,'Cohort Summary'!$A$5:$A$14,0)))/INDEX('Cohort Summary'!$I$5:$I$14,MATCH($A1277,'Cohort Summary'!$A$5:$A$14,0))</f>
        <v>-1.05703422053232</v>
      </c>
      <c r="L1277" s="42" t="n">
        <f aca="false">(G1277-INDEX('Cohort Summary'!$J$5:$J$14,MATCH($A1277,'Cohort Summary'!$A$5:$A$14,0)))/INDEX('Cohort Summary'!$K$5:$K$14,MATCH($A1277,'Cohort Summary'!$A$5:$A$14,0))</f>
        <v>-1.40983606557377</v>
      </c>
      <c r="M1277" s="42" t="n">
        <f aca="false">MAX(I1277:K1277)</f>
        <v>1.45328719723183</v>
      </c>
      <c r="N1277" s="27" t="s">
        <v>197</v>
      </c>
      <c r="O1277" s="27"/>
      <c r="P1277" s="27" t="str">
        <f aca="false">A1277&amp;"|"&amp;N1277</f>
        <v>NURSE-07|normal</v>
      </c>
    </row>
    <row r="1278" customFormat="false" ht="15" hidden="false" customHeight="true" outlineLevel="0" collapsed="false">
      <c r="A1278" s="27" t="s">
        <v>95</v>
      </c>
      <c r="B1278" s="41" t="n">
        <v>46303.3180555556</v>
      </c>
      <c r="C1278" s="27" t="s">
        <v>200</v>
      </c>
      <c r="D1278" s="27" t="n">
        <v>49.8</v>
      </c>
      <c r="E1278" s="27" t="n">
        <v>21.2</v>
      </c>
      <c r="F1278" s="27" t="n">
        <v>31.3</v>
      </c>
      <c r="G1278" s="27" t="n">
        <v>32.7</v>
      </c>
      <c r="H1278" s="27" t="s">
        <v>199</v>
      </c>
      <c r="I1278" s="42" t="n">
        <f aca="false">(D1278-INDEX('Cohort Summary'!$D$5:$D$14,MATCH($A1278,'Cohort Summary'!$A$5:$A$14,0)))/INDEX('Cohort Summary'!$E$5:$E$14,MATCH($A1278,'Cohort Summary'!$A$5:$A$14,0))</f>
        <v>0.622837370242214</v>
      </c>
      <c r="J1278" s="42" t="n">
        <f aca="false">(E1278-INDEX('Cohort Summary'!$F$5:$F$14,MATCH($A1278,'Cohort Summary'!$A$5:$A$14,0)))/INDEX('Cohort Summary'!$G$5:$G$14,MATCH($A1278,'Cohort Summary'!$A$5:$A$14,0))</f>
        <v>1.43979057591623</v>
      </c>
      <c r="K1278" s="42" t="n">
        <f aca="false">(F1278-INDEX('Cohort Summary'!$H$5:$H$14,MATCH($A1278,'Cohort Summary'!$A$5:$A$14,0)))/INDEX('Cohort Summary'!$I$5:$I$14,MATCH($A1278,'Cohort Summary'!$A$5:$A$14,0))</f>
        <v>-1.24714828897338</v>
      </c>
      <c r="L1278" s="42" t="n">
        <f aca="false">(G1278-INDEX('Cohort Summary'!$J$5:$J$14,MATCH($A1278,'Cohort Summary'!$A$5:$A$14,0)))/INDEX('Cohort Summary'!$K$5:$K$14,MATCH($A1278,'Cohort Summary'!$A$5:$A$14,0))</f>
        <v>-1.24590163934426</v>
      </c>
      <c r="M1278" s="42" t="n">
        <f aca="false">MAX(I1278:K1278)</f>
        <v>1.43979057591623</v>
      </c>
      <c r="N1278" s="27" t="s">
        <v>197</v>
      </c>
      <c r="O1278" s="27"/>
      <c r="P1278" s="27" t="str">
        <f aca="false">A1278&amp;"|"&amp;N1278</f>
        <v>NURSE-07|normal</v>
      </c>
    </row>
    <row r="1279" customFormat="false" ht="15" hidden="false" customHeight="true" outlineLevel="0" collapsed="false">
      <c r="A1279" s="27" t="s">
        <v>95</v>
      </c>
      <c r="B1279" s="41" t="n">
        <v>46303.3184027778</v>
      </c>
      <c r="C1279" s="27" t="s">
        <v>200</v>
      </c>
      <c r="D1279" s="27" t="n">
        <v>49.7</v>
      </c>
      <c r="E1279" s="27" t="n">
        <v>16.3</v>
      </c>
      <c r="F1279" s="27" t="n">
        <v>33.3</v>
      </c>
      <c r="G1279" s="27" t="n">
        <v>33.9</v>
      </c>
      <c r="H1279" s="27" t="s">
        <v>199</v>
      </c>
      <c r="I1279" s="42" t="n">
        <f aca="false">(D1279-INDEX('Cohort Summary'!$D$5:$D$14,MATCH($A1279,'Cohort Summary'!$A$5:$A$14,0)))/INDEX('Cohort Summary'!$E$5:$E$14,MATCH($A1279,'Cohort Summary'!$A$5:$A$14,0))</f>
        <v>0.588235294117648</v>
      </c>
      <c r="J1279" s="42" t="n">
        <f aca="false">(E1279-INDEX('Cohort Summary'!$F$5:$F$14,MATCH($A1279,'Cohort Summary'!$A$5:$A$14,0)))/INDEX('Cohort Summary'!$G$5:$G$14,MATCH($A1279,'Cohort Summary'!$A$5:$A$14,0))</f>
        <v>-1.12565445026178</v>
      </c>
      <c r="K1279" s="42" t="n">
        <f aca="false">(F1279-INDEX('Cohort Summary'!$H$5:$H$14,MATCH($A1279,'Cohort Summary'!$A$5:$A$14,0)))/INDEX('Cohort Summary'!$I$5:$I$14,MATCH($A1279,'Cohort Summary'!$A$5:$A$14,0))</f>
        <v>-0.486692015209126</v>
      </c>
      <c r="L1279" s="42" t="n">
        <f aca="false">(G1279-INDEX('Cohort Summary'!$J$5:$J$14,MATCH($A1279,'Cohort Summary'!$A$5:$A$14,0)))/INDEX('Cohort Summary'!$K$5:$K$14,MATCH($A1279,'Cohort Summary'!$A$5:$A$14,0))</f>
        <v>0.721311475409832</v>
      </c>
      <c r="M1279" s="42" t="n">
        <f aca="false">MAX(I1279:K1279)</f>
        <v>0.588235294117648</v>
      </c>
      <c r="N1279" s="27" t="s">
        <v>197</v>
      </c>
      <c r="O1279" s="27"/>
      <c r="P1279" s="27" t="str">
        <f aca="false">A1279&amp;"|"&amp;N1279</f>
        <v>NURSE-07|normal</v>
      </c>
    </row>
    <row r="1280" customFormat="false" ht="15" hidden="false" customHeight="true" outlineLevel="0" collapsed="false">
      <c r="A1280" s="27" t="s">
        <v>95</v>
      </c>
      <c r="B1280" s="41" t="n">
        <v>46303.31875</v>
      </c>
      <c r="C1280" s="27" t="s">
        <v>200</v>
      </c>
      <c r="D1280" s="27" t="n">
        <v>50.9</v>
      </c>
      <c r="E1280" s="27" t="n">
        <v>19.4</v>
      </c>
      <c r="F1280" s="27" t="n">
        <v>31.7</v>
      </c>
      <c r="G1280" s="27" t="n">
        <v>34.3</v>
      </c>
      <c r="H1280" s="27" t="s">
        <v>198</v>
      </c>
      <c r="I1280" s="42" t="n">
        <f aca="false">(D1280-INDEX('Cohort Summary'!$D$5:$D$14,MATCH($A1280,'Cohort Summary'!$A$5:$A$14,0)))/INDEX('Cohort Summary'!$E$5:$E$14,MATCH($A1280,'Cohort Summary'!$A$5:$A$14,0))</f>
        <v>1.00346020761246</v>
      </c>
      <c r="J1280" s="42" t="n">
        <f aca="false">(E1280-INDEX('Cohort Summary'!$F$5:$F$14,MATCH($A1280,'Cohort Summary'!$A$5:$A$14,0)))/INDEX('Cohort Summary'!$G$5:$G$14,MATCH($A1280,'Cohort Summary'!$A$5:$A$14,0))</f>
        <v>0.497382198952879</v>
      </c>
      <c r="K1280" s="42" t="n">
        <f aca="false">(F1280-INDEX('Cohort Summary'!$H$5:$H$14,MATCH($A1280,'Cohort Summary'!$A$5:$A$14,0)))/INDEX('Cohort Summary'!$I$5:$I$14,MATCH($A1280,'Cohort Summary'!$A$5:$A$14,0))</f>
        <v>-1.09505703422053</v>
      </c>
      <c r="L1280" s="42" t="n">
        <f aca="false">(G1280-INDEX('Cohort Summary'!$J$5:$J$14,MATCH($A1280,'Cohort Summary'!$A$5:$A$14,0)))/INDEX('Cohort Summary'!$K$5:$K$14,MATCH($A1280,'Cohort Summary'!$A$5:$A$14,0))</f>
        <v>1.37704918032786</v>
      </c>
      <c r="M1280" s="42" t="n">
        <f aca="false">MAX(I1280:K1280)</f>
        <v>1.00346020761246</v>
      </c>
      <c r="N1280" s="27" t="s">
        <v>197</v>
      </c>
      <c r="O1280" s="27"/>
      <c r="P1280" s="27" t="str">
        <f aca="false">A1280&amp;"|"&amp;N1280</f>
        <v>NURSE-07|normal</v>
      </c>
    </row>
    <row r="1281" customFormat="false" ht="15" hidden="false" customHeight="true" outlineLevel="0" collapsed="false">
      <c r="A1281" s="27" t="s">
        <v>95</v>
      </c>
      <c r="B1281" s="41" t="n">
        <v>46303.3190972222</v>
      </c>
      <c r="C1281" s="27" t="s">
        <v>200</v>
      </c>
      <c r="D1281" s="27" t="n">
        <v>47.5</v>
      </c>
      <c r="E1281" s="27" t="n">
        <v>15.5</v>
      </c>
      <c r="F1281" s="27" t="n">
        <v>30.3</v>
      </c>
      <c r="G1281" s="27" t="n">
        <v>34.2</v>
      </c>
      <c r="H1281" s="27" t="s">
        <v>196</v>
      </c>
      <c r="I1281" s="42" t="n">
        <f aca="false">(D1281-INDEX('Cohort Summary'!$D$5:$D$14,MATCH($A1281,'Cohort Summary'!$A$5:$A$14,0)))/INDEX('Cohort Summary'!$E$5:$E$14,MATCH($A1281,'Cohort Summary'!$A$5:$A$14,0))</f>
        <v>-0.173010380622837</v>
      </c>
      <c r="J1281" s="42" t="n">
        <f aca="false">(E1281-INDEX('Cohort Summary'!$F$5:$F$14,MATCH($A1281,'Cohort Summary'!$A$5:$A$14,0)))/INDEX('Cohort Summary'!$G$5:$G$14,MATCH($A1281,'Cohort Summary'!$A$5:$A$14,0))</f>
        <v>-1.54450261780105</v>
      </c>
      <c r="K1281" s="42" t="n">
        <f aca="false">(F1281-INDEX('Cohort Summary'!$H$5:$H$14,MATCH($A1281,'Cohort Summary'!$A$5:$A$14,0)))/INDEX('Cohort Summary'!$I$5:$I$14,MATCH($A1281,'Cohort Summary'!$A$5:$A$14,0))</f>
        <v>-1.62737642585551</v>
      </c>
      <c r="L1281" s="42" t="n">
        <f aca="false">(G1281-INDEX('Cohort Summary'!$J$5:$J$14,MATCH($A1281,'Cohort Summary'!$A$5:$A$14,0)))/INDEX('Cohort Summary'!$K$5:$K$14,MATCH($A1281,'Cohort Summary'!$A$5:$A$14,0))</f>
        <v>1.21311475409836</v>
      </c>
      <c r="M1281" s="42" t="n">
        <f aca="false">MAX(I1281:K1281)</f>
        <v>-0.173010380622837</v>
      </c>
      <c r="N1281" s="27" t="s">
        <v>197</v>
      </c>
      <c r="O1281" s="27"/>
      <c r="P1281" s="27" t="str">
        <f aca="false">A1281&amp;"|"&amp;N1281</f>
        <v>NURSE-07|normal</v>
      </c>
    </row>
    <row r="1282" customFormat="false" ht="15" hidden="false" customHeight="true" outlineLevel="0" collapsed="false">
      <c r="A1282" s="27" t="s">
        <v>95</v>
      </c>
      <c r="B1282" s="41" t="n">
        <v>46303.3194444445</v>
      </c>
      <c r="C1282" s="27" t="s">
        <v>200</v>
      </c>
      <c r="D1282" s="27" t="n">
        <v>47.1</v>
      </c>
      <c r="E1282" s="27" t="n">
        <v>21.7</v>
      </c>
      <c r="F1282" s="27" t="n">
        <v>34.1</v>
      </c>
      <c r="G1282" s="27" t="n">
        <v>34.1</v>
      </c>
      <c r="H1282" s="27" t="s">
        <v>198</v>
      </c>
      <c r="I1282" s="42" t="n">
        <f aca="false">(D1282-INDEX('Cohort Summary'!$D$5:$D$14,MATCH($A1282,'Cohort Summary'!$A$5:$A$14,0)))/INDEX('Cohort Summary'!$E$5:$E$14,MATCH($A1282,'Cohort Summary'!$A$5:$A$14,0))</f>
        <v>-0.311418685121107</v>
      </c>
      <c r="J1282" s="42" t="n">
        <f aca="false">(E1282-INDEX('Cohort Summary'!$F$5:$F$14,MATCH($A1282,'Cohort Summary'!$A$5:$A$14,0)))/INDEX('Cohort Summary'!$G$5:$G$14,MATCH($A1282,'Cohort Summary'!$A$5:$A$14,0))</f>
        <v>1.70157068062827</v>
      </c>
      <c r="K1282" s="42" t="n">
        <f aca="false">(F1282-INDEX('Cohort Summary'!$H$5:$H$14,MATCH($A1282,'Cohort Summary'!$A$5:$A$14,0)))/INDEX('Cohort Summary'!$I$5:$I$14,MATCH($A1282,'Cohort Summary'!$A$5:$A$14,0))</f>
        <v>-0.182509505703421</v>
      </c>
      <c r="L1282" s="42" t="n">
        <f aca="false">(G1282-INDEX('Cohort Summary'!$J$5:$J$14,MATCH($A1282,'Cohort Summary'!$A$5:$A$14,0)))/INDEX('Cohort Summary'!$K$5:$K$14,MATCH($A1282,'Cohort Summary'!$A$5:$A$14,0))</f>
        <v>1.04918032786885</v>
      </c>
      <c r="M1282" s="42" t="n">
        <f aca="false">MAX(I1282:K1282)</f>
        <v>1.70157068062827</v>
      </c>
      <c r="N1282" s="27" t="s">
        <v>197</v>
      </c>
      <c r="O1282" s="27"/>
      <c r="P1282" s="27" t="str">
        <f aca="false">A1282&amp;"|"&amp;N1282</f>
        <v>NURSE-07|normal</v>
      </c>
    </row>
    <row r="1283" customFormat="false" ht="15" hidden="false" customHeight="true" outlineLevel="0" collapsed="false">
      <c r="A1283" s="27" t="s">
        <v>95</v>
      </c>
      <c r="B1283" s="41" t="n">
        <v>46303.3197916667</v>
      </c>
      <c r="C1283" s="27" t="s">
        <v>200</v>
      </c>
      <c r="D1283" s="27" t="n">
        <v>48.9</v>
      </c>
      <c r="E1283" s="27" t="n">
        <v>16.7</v>
      </c>
      <c r="F1283" s="27" t="n">
        <v>33</v>
      </c>
      <c r="G1283" s="27" t="n">
        <v>33.4</v>
      </c>
      <c r="H1283" s="27" t="s">
        <v>199</v>
      </c>
      <c r="I1283" s="42" t="n">
        <f aca="false">(D1283-INDEX('Cohort Summary'!$D$5:$D$14,MATCH($A1283,'Cohort Summary'!$A$5:$A$14,0)))/INDEX('Cohort Summary'!$E$5:$E$14,MATCH($A1283,'Cohort Summary'!$A$5:$A$14,0))</f>
        <v>0.311418685121107</v>
      </c>
      <c r="J1283" s="42" t="n">
        <f aca="false">(E1283-INDEX('Cohort Summary'!$F$5:$F$14,MATCH($A1283,'Cohort Summary'!$A$5:$A$14,0)))/INDEX('Cohort Summary'!$G$5:$G$14,MATCH($A1283,'Cohort Summary'!$A$5:$A$14,0))</f>
        <v>-0.916230366492147</v>
      </c>
      <c r="K1283" s="42" t="n">
        <f aca="false">(F1283-INDEX('Cohort Summary'!$H$5:$H$14,MATCH($A1283,'Cohort Summary'!$A$5:$A$14,0)))/INDEX('Cohort Summary'!$I$5:$I$14,MATCH($A1283,'Cohort Summary'!$A$5:$A$14,0))</f>
        <v>-0.600760456273764</v>
      </c>
      <c r="L1283" s="42" t="n">
        <f aca="false">(G1283-INDEX('Cohort Summary'!$J$5:$J$14,MATCH($A1283,'Cohort Summary'!$A$5:$A$14,0)))/INDEX('Cohort Summary'!$K$5:$K$14,MATCH($A1283,'Cohort Summary'!$A$5:$A$14,0))</f>
        <v>-0.0983606557377087</v>
      </c>
      <c r="M1283" s="42" t="n">
        <f aca="false">MAX(I1283:K1283)</f>
        <v>0.311418685121107</v>
      </c>
      <c r="N1283" s="27" t="s">
        <v>197</v>
      </c>
      <c r="O1283" s="27"/>
      <c r="P1283" s="27" t="str">
        <f aca="false">A1283&amp;"|"&amp;N1283</f>
        <v>NURSE-07|normal</v>
      </c>
    </row>
    <row r="1284" customFormat="false" ht="15" hidden="false" customHeight="true" outlineLevel="0" collapsed="false">
      <c r="A1284" s="27" t="s">
        <v>95</v>
      </c>
      <c r="B1284" s="41" t="n">
        <v>46303.3201388889</v>
      </c>
      <c r="C1284" s="27" t="s">
        <v>200</v>
      </c>
      <c r="D1284" s="27" t="n">
        <v>43.6</v>
      </c>
      <c r="E1284" s="27" t="n">
        <v>21.2</v>
      </c>
      <c r="F1284" s="27" t="n">
        <v>30.1</v>
      </c>
      <c r="G1284" s="27" t="n">
        <v>32.5</v>
      </c>
      <c r="H1284" s="27" t="s">
        <v>199</v>
      </c>
      <c r="I1284" s="42" t="n">
        <f aca="false">(D1284-INDEX('Cohort Summary'!$D$5:$D$14,MATCH($A1284,'Cohort Summary'!$A$5:$A$14,0)))/INDEX('Cohort Summary'!$E$5:$E$14,MATCH($A1284,'Cohort Summary'!$A$5:$A$14,0))</f>
        <v>-1.52249134948097</v>
      </c>
      <c r="J1284" s="42" t="n">
        <f aca="false">(E1284-INDEX('Cohort Summary'!$F$5:$F$14,MATCH($A1284,'Cohort Summary'!$A$5:$A$14,0)))/INDEX('Cohort Summary'!$G$5:$G$14,MATCH($A1284,'Cohort Summary'!$A$5:$A$14,0))</f>
        <v>1.43979057591623</v>
      </c>
      <c r="K1284" s="42" t="n">
        <f aca="false">(F1284-INDEX('Cohort Summary'!$H$5:$H$14,MATCH($A1284,'Cohort Summary'!$A$5:$A$14,0)))/INDEX('Cohort Summary'!$I$5:$I$14,MATCH($A1284,'Cohort Summary'!$A$5:$A$14,0))</f>
        <v>-1.70342205323194</v>
      </c>
      <c r="L1284" s="42" t="n">
        <f aca="false">(G1284-INDEX('Cohort Summary'!$J$5:$J$14,MATCH($A1284,'Cohort Summary'!$A$5:$A$14,0)))/INDEX('Cohort Summary'!$K$5:$K$14,MATCH($A1284,'Cohort Summary'!$A$5:$A$14,0))</f>
        <v>-1.57377049180328</v>
      </c>
      <c r="M1284" s="42" t="n">
        <f aca="false">MAX(I1284:K1284)</f>
        <v>1.43979057591623</v>
      </c>
      <c r="N1284" s="27" t="s">
        <v>197</v>
      </c>
      <c r="O1284" s="27"/>
      <c r="P1284" s="27" t="str">
        <f aca="false">A1284&amp;"|"&amp;N1284</f>
        <v>NURSE-07|normal</v>
      </c>
    </row>
    <row r="1285" customFormat="false" ht="15" hidden="false" customHeight="true" outlineLevel="0" collapsed="false">
      <c r="A1285" s="27" t="s">
        <v>95</v>
      </c>
      <c r="B1285" s="41" t="n">
        <v>46303.3204861111</v>
      </c>
      <c r="C1285" s="27" t="s">
        <v>200</v>
      </c>
      <c r="D1285" s="27" t="n">
        <v>45</v>
      </c>
      <c r="E1285" s="27" t="n">
        <v>17.3</v>
      </c>
      <c r="F1285" s="27" t="n">
        <v>30.1</v>
      </c>
      <c r="G1285" s="27" t="n">
        <v>32.6</v>
      </c>
      <c r="H1285" s="27" t="s">
        <v>198</v>
      </c>
      <c r="I1285" s="42" t="n">
        <f aca="false">(D1285-INDEX('Cohort Summary'!$D$5:$D$14,MATCH($A1285,'Cohort Summary'!$A$5:$A$14,0)))/INDEX('Cohort Summary'!$E$5:$E$14,MATCH($A1285,'Cohort Summary'!$A$5:$A$14,0))</f>
        <v>-1.03806228373702</v>
      </c>
      <c r="J1285" s="42" t="n">
        <f aca="false">(E1285-INDEX('Cohort Summary'!$F$5:$F$14,MATCH($A1285,'Cohort Summary'!$A$5:$A$14,0)))/INDEX('Cohort Summary'!$G$5:$G$14,MATCH($A1285,'Cohort Summary'!$A$5:$A$14,0))</f>
        <v>-0.602094240837696</v>
      </c>
      <c r="K1285" s="42" t="n">
        <f aca="false">(F1285-INDEX('Cohort Summary'!$H$5:$H$14,MATCH($A1285,'Cohort Summary'!$A$5:$A$14,0)))/INDEX('Cohort Summary'!$I$5:$I$14,MATCH($A1285,'Cohort Summary'!$A$5:$A$14,0))</f>
        <v>-1.70342205323194</v>
      </c>
      <c r="L1285" s="42" t="n">
        <f aca="false">(G1285-INDEX('Cohort Summary'!$J$5:$J$14,MATCH($A1285,'Cohort Summary'!$A$5:$A$14,0)))/INDEX('Cohort Summary'!$K$5:$K$14,MATCH($A1285,'Cohort Summary'!$A$5:$A$14,0))</f>
        <v>-1.40983606557377</v>
      </c>
      <c r="M1285" s="42" t="n">
        <f aca="false">MAX(I1285:K1285)</f>
        <v>-0.602094240837696</v>
      </c>
      <c r="N1285" s="27" t="s">
        <v>197</v>
      </c>
      <c r="O1285" s="27"/>
      <c r="P1285" s="27" t="str">
        <f aca="false">A1285&amp;"|"&amp;N1285</f>
        <v>NURSE-07|normal</v>
      </c>
    </row>
    <row r="1286" customFormat="false" ht="15" hidden="false" customHeight="true" outlineLevel="0" collapsed="false">
      <c r="A1286" s="27" t="s">
        <v>95</v>
      </c>
      <c r="B1286" s="41" t="n">
        <v>46303.3208333333</v>
      </c>
      <c r="C1286" s="27" t="s">
        <v>200</v>
      </c>
      <c r="D1286" s="27" t="n">
        <v>51.5</v>
      </c>
      <c r="E1286" s="27" t="n">
        <v>21</v>
      </c>
      <c r="F1286" s="27" t="n">
        <v>34.9</v>
      </c>
      <c r="G1286" s="27" t="n">
        <v>33.4</v>
      </c>
      <c r="H1286" s="27" t="s">
        <v>199</v>
      </c>
      <c r="I1286" s="42" t="n">
        <f aca="false">(D1286-INDEX('Cohort Summary'!$D$5:$D$14,MATCH($A1286,'Cohort Summary'!$A$5:$A$14,0)))/INDEX('Cohort Summary'!$E$5:$E$14,MATCH($A1286,'Cohort Summary'!$A$5:$A$14,0))</f>
        <v>1.21107266435986</v>
      </c>
      <c r="J1286" s="42" t="n">
        <f aca="false">(E1286-INDEX('Cohort Summary'!$F$5:$F$14,MATCH($A1286,'Cohort Summary'!$A$5:$A$14,0)))/INDEX('Cohort Summary'!$G$5:$G$14,MATCH($A1286,'Cohort Summary'!$A$5:$A$14,0))</f>
        <v>1.33507853403141</v>
      </c>
      <c r="K1286" s="42" t="n">
        <f aca="false">(F1286-INDEX('Cohort Summary'!$H$5:$H$14,MATCH($A1286,'Cohort Summary'!$A$5:$A$14,0)))/INDEX('Cohort Summary'!$I$5:$I$14,MATCH($A1286,'Cohort Summary'!$A$5:$A$14,0))</f>
        <v>0.121673003802281</v>
      </c>
      <c r="L1286" s="42" t="n">
        <f aca="false">(G1286-INDEX('Cohort Summary'!$J$5:$J$14,MATCH($A1286,'Cohort Summary'!$A$5:$A$14,0)))/INDEX('Cohort Summary'!$K$5:$K$14,MATCH($A1286,'Cohort Summary'!$A$5:$A$14,0))</f>
        <v>-0.0983606557377087</v>
      </c>
      <c r="M1286" s="42" t="n">
        <f aca="false">MAX(I1286:K1286)</f>
        <v>1.33507853403141</v>
      </c>
      <c r="N1286" s="27" t="s">
        <v>197</v>
      </c>
      <c r="O1286" s="27"/>
      <c r="P1286" s="27" t="str">
        <f aca="false">A1286&amp;"|"&amp;N1286</f>
        <v>NURSE-07|normal</v>
      </c>
    </row>
    <row r="1287" customFormat="false" ht="15" hidden="false" customHeight="true" outlineLevel="0" collapsed="false">
      <c r="A1287" s="27" t="s">
        <v>95</v>
      </c>
      <c r="B1287" s="41" t="n">
        <v>46303.3211805556</v>
      </c>
      <c r="C1287" s="27" t="s">
        <v>200</v>
      </c>
      <c r="D1287" s="27" t="n">
        <v>51.4</v>
      </c>
      <c r="E1287" s="27" t="n">
        <v>19.1</v>
      </c>
      <c r="F1287" s="27" t="n">
        <v>35.8</v>
      </c>
      <c r="G1287" s="27" t="n">
        <v>32.4</v>
      </c>
      <c r="H1287" s="27" t="s">
        <v>199</v>
      </c>
      <c r="I1287" s="42" t="n">
        <f aca="false">(D1287-INDEX('Cohort Summary'!$D$5:$D$14,MATCH($A1287,'Cohort Summary'!$A$5:$A$14,0)))/INDEX('Cohort Summary'!$E$5:$E$14,MATCH($A1287,'Cohort Summary'!$A$5:$A$14,0))</f>
        <v>1.17647058823529</v>
      </c>
      <c r="J1287" s="42" t="n">
        <f aca="false">(E1287-INDEX('Cohort Summary'!$F$5:$F$14,MATCH($A1287,'Cohort Summary'!$A$5:$A$14,0)))/INDEX('Cohort Summary'!$G$5:$G$14,MATCH($A1287,'Cohort Summary'!$A$5:$A$14,0))</f>
        <v>0.340314136125656</v>
      </c>
      <c r="K1287" s="42" t="n">
        <f aca="false">(F1287-INDEX('Cohort Summary'!$H$5:$H$14,MATCH($A1287,'Cohort Summary'!$A$5:$A$14,0)))/INDEX('Cohort Summary'!$I$5:$I$14,MATCH($A1287,'Cohort Summary'!$A$5:$A$14,0))</f>
        <v>0.463878326996197</v>
      </c>
      <c r="L1287" s="42" t="n">
        <f aca="false">(G1287-INDEX('Cohort Summary'!$J$5:$J$14,MATCH($A1287,'Cohort Summary'!$A$5:$A$14,0)))/INDEX('Cohort Summary'!$K$5:$K$14,MATCH($A1287,'Cohort Summary'!$A$5:$A$14,0))</f>
        <v>-1.73770491803279</v>
      </c>
      <c r="M1287" s="42" t="n">
        <f aca="false">MAX(I1287:K1287)</f>
        <v>1.17647058823529</v>
      </c>
      <c r="N1287" s="27" t="s">
        <v>197</v>
      </c>
      <c r="O1287" s="27"/>
      <c r="P1287" s="27" t="str">
        <f aca="false">A1287&amp;"|"&amp;N1287</f>
        <v>NURSE-07|normal</v>
      </c>
    </row>
    <row r="1288" customFormat="false" ht="15" hidden="false" customHeight="true" outlineLevel="0" collapsed="false">
      <c r="A1288" s="27" t="s">
        <v>95</v>
      </c>
      <c r="B1288" s="41" t="n">
        <v>46303.3215277778</v>
      </c>
      <c r="C1288" s="27" t="s">
        <v>200</v>
      </c>
      <c r="D1288" s="27" t="n">
        <v>49.3</v>
      </c>
      <c r="E1288" s="27" t="n">
        <v>17.9</v>
      </c>
      <c r="F1288" s="27" t="n">
        <v>39.6</v>
      </c>
      <c r="G1288" s="27" t="n">
        <v>33.4</v>
      </c>
      <c r="H1288" s="27" t="s">
        <v>196</v>
      </c>
      <c r="I1288" s="42" t="n">
        <f aca="false">(D1288-INDEX('Cohort Summary'!$D$5:$D$14,MATCH($A1288,'Cohort Summary'!$A$5:$A$14,0)))/INDEX('Cohort Summary'!$E$5:$E$14,MATCH($A1288,'Cohort Summary'!$A$5:$A$14,0))</f>
        <v>0.449826989619376</v>
      </c>
      <c r="J1288" s="42" t="n">
        <f aca="false">(E1288-INDEX('Cohort Summary'!$F$5:$F$14,MATCH($A1288,'Cohort Summary'!$A$5:$A$14,0)))/INDEX('Cohort Summary'!$G$5:$G$14,MATCH($A1288,'Cohort Summary'!$A$5:$A$14,0))</f>
        <v>-0.287958115183246</v>
      </c>
      <c r="K1288" s="42" t="n">
        <f aca="false">(F1288-INDEX('Cohort Summary'!$H$5:$H$14,MATCH($A1288,'Cohort Summary'!$A$5:$A$14,0)))/INDEX('Cohort Summary'!$I$5:$I$14,MATCH($A1288,'Cohort Summary'!$A$5:$A$14,0))</f>
        <v>1.90874524714829</v>
      </c>
      <c r="L1288" s="42" t="n">
        <f aca="false">(G1288-INDEX('Cohort Summary'!$J$5:$J$14,MATCH($A1288,'Cohort Summary'!$A$5:$A$14,0)))/INDEX('Cohort Summary'!$K$5:$K$14,MATCH($A1288,'Cohort Summary'!$A$5:$A$14,0))</f>
        <v>-0.0983606557377087</v>
      </c>
      <c r="M1288" s="42" t="n">
        <f aca="false">MAX(I1288:K1288)</f>
        <v>1.90874524714829</v>
      </c>
      <c r="N1288" s="27" t="s">
        <v>197</v>
      </c>
      <c r="O1288" s="27"/>
      <c r="P1288" s="27" t="str">
        <f aca="false">A1288&amp;"|"&amp;N1288</f>
        <v>NURSE-07|normal</v>
      </c>
    </row>
    <row r="1289" customFormat="false" ht="15" hidden="false" customHeight="true" outlineLevel="0" collapsed="false">
      <c r="A1289" s="27" t="s">
        <v>95</v>
      </c>
      <c r="B1289" s="41" t="n">
        <v>46303.321875</v>
      </c>
      <c r="C1289" s="27" t="s">
        <v>200</v>
      </c>
      <c r="D1289" s="27" t="n">
        <v>46.8</v>
      </c>
      <c r="E1289" s="27" t="n">
        <v>18.4</v>
      </c>
      <c r="F1289" s="27" t="n">
        <v>34</v>
      </c>
      <c r="G1289" s="27" t="n">
        <v>32.6</v>
      </c>
      <c r="H1289" s="27" t="s">
        <v>196</v>
      </c>
      <c r="I1289" s="42" t="n">
        <f aca="false">(D1289-INDEX('Cohort Summary'!$D$5:$D$14,MATCH($A1289,'Cohort Summary'!$A$5:$A$14,0)))/INDEX('Cohort Summary'!$E$5:$E$14,MATCH($A1289,'Cohort Summary'!$A$5:$A$14,0))</f>
        <v>-0.415224913494811</v>
      </c>
      <c r="J1289" s="42" t="n">
        <f aca="false">(E1289-INDEX('Cohort Summary'!$F$5:$F$14,MATCH($A1289,'Cohort Summary'!$A$5:$A$14,0)))/INDEX('Cohort Summary'!$G$5:$G$14,MATCH($A1289,'Cohort Summary'!$A$5:$A$14,0))</f>
        <v>-0.0261780104712046</v>
      </c>
      <c r="K1289" s="42" t="n">
        <f aca="false">(F1289-INDEX('Cohort Summary'!$H$5:$H$14,MATCH($A1289,'Cohort Summary'!$A$5:$A$14,0)))/INDEX('Cohort Summary'!$I$5:$I$14,MATCH($A1289,'Cohort Summary'!$A$5:$A$14,0))</f>
        <v>-0.220532319391634</v>
      </c>
      <c r="L1289" s="42" t="n">
        <f aca="false">(G1289-INDEX('Cohort Summary'!$J$5:$J$14,MATCH($A1289,'Cohort Summary'!$A$5:$A$14,0)))/INDEX('Cohort Summary'!$K$5:$K$14,MATCH($A1289,'Cohort Summary'!$A$5:$A$14,0))</f>
        <v>-1.40983606557377</v>
      </c>
      <c r="M1289" s="42" t="n">
        <f aca="false">MAX(I1289:K1289)</f>
        <v>-0.0261780104712046</v>
      </c>
      <c r="N1289" s="27" t="s">
        <v>197</v>
      </c>
      <c r="O1289" s="27"/>
      <c r="P1289" s="27" t="str">
        <f aca="false">A1289&amp;"|"&amp;N1289</f>
        <v>NURSE-07|normal</v>
      </c>
    </row>
    <row r="1290" customFormat="false" ht="15" hidden="false" customHeight="true" outlineLevel="0" collapsed="false">
      <c r="A1290" s="27" t="s">
        <v>95</v>
      </c>
      <c r="B1290" s="41" t="n">
        <v>46303.3222222222</v>
      </c>
      <c r="C1290" s="27" t="s">
        <v>200</v>
      </c>
      <c r="D1290" s="27" t="n">
        <v>47.3</v>
      </c>
      <c r="E1290" s="27" t="n">
        <v>18.5</v>
      </c>
      <c r="F1290" s="27" t="n">
        <v>30.2</v>
      </c>
      <c r="G1290" s="27" t="n">
        <v>33.9</v>
      </c>
      <c r="H1290" s="27" t="s">
        <v>199</v>
      </c>
      <c r="I1290" s="42" t="n">
        <f aca="false">(D1290-INDEX('Cohort Summary'!$D$5:$D$14,MATCH($A1290,'Cohort Summary'!$A$5:$A$14,0)))/INDEX('Cohort Summary'!$E$5:$E$14,MATCH($A1290,'Cohort Summary'!$A$5:$A$14,0))</f>
        <v>-0.242214532871973</v>
      </c>
      <c r="J1290" s="42" t="n">
        <f aca="false">(E1290-INDEX('Cohort Summary'!$F$5:$F$14,MATCH($A1290,'Cohort Summary'!$A$5:$A$14,0)))/INDEX('Cohort Summary'!$G$5:$G$14,MATCH($A1290,'Cohort Summary'!$A$5:$A$14,0))</f>
        <v>0.0261780104712046</v>
      </c>
      <c r="K1290" s="42" t="n">
        <f aca="false">(F1290-INDEX('Cohort Summary'!$H$5:$H$14,MATCH($A1290,'Cohort Summary'!$A$5:$A$14,0)))/INDEX('Cohort Summary'!$I$5:$I$14,MATCH($A1290,'Cohort Summary'!$A$5:$A$14,0))</f>
        <v>-1.66539923954373</v>
      </c>
      <c r="L1290" s="42" t="n">
        <f aca="false">(G1290-INDEX('Cohort Summary'!$J$5:$J$14,MATCH($A1290,'Cohort Summary'!$A$5:$A$14,0)))/INDEX('Cohort Summary'!$K$5:$K$14,MATCH($A1290,'Cohort Summary'!$A$5:$A$14,0))</f>
        <v>0.721311475409832</v>
      </c>
      <c r="M1290" s="42" t="n">
        <f aca="false">MAX(I1290:K1290)</f>
        <v>0.0261780104712046</v>
      </c>
      <c r="N1290" s="27" t="s">
        <v>197</v>
      </c>
      <c r="O1290" s="27"/>
      <c r="P1290" s="27" t="str">
        <f aca="false">A1290&amp;"|"&amp;N1290</f>
        <v>NURSE-07|normal</v>
      </c>
    </row>
    <row r="1291" customFormat="false" ht="15" hidden="false" customHeight="true" outlineLevel="0" collapsed="false">
      <c r="A1291" s="27" t="s">
        <v>95</v>
      </c>
      <c r="B1291" s="41" t="n">
        <v>46303.3225694444</v>
      </c>
      <c r="C1291" s="27" t="s">
        <v>200</v>
      </c>
      <c r="D1291" s="27" t="n">
        <v>51.7</v>
      </c>
      <c r="E1291" s="27" t="n">
        <v>21.9</v>
      </c>
      <c r="F1291" s="27" t="n">
        <v>37.6</v>
      </c>
      <c r="G1291" s="27" t="n">
        <v>32.5</v>
      </c>
      <c r="H1291" s="27" t="s">
        <v>199</v>
      </c>
      <c r="I1291" s="42" t="n">
        <f aca="false">(D1291-INDEX('Cohort Summary'!$D$5:$D$14,MATCH($A1291,'Cohort Summary'!$A$5:$A$14,0)))/INDEX('Cohort Summary'!$E$5:$E$14,MATCH($A1291,'Cohort Summary'!$A$5:$A$14,0))</f>
        <v>1.280276816609</v>
      </c>
      <c r="J1291" s="42" t="n">
        <f aca="false">(E1291-INDEX('Cohort Summary'!$F$5:$F$14,MATCH($A1291,'Cohort Summary'!$A$5:$A$14,0)))/INDEX('Cohort Summary'!$G$5:$G$14,MATCH($A1291,'Cohort Summary'!$A$5:$A$14,0))</f>
        <v>1.80628272251309</v>
      </c>
      <c r="K1291" s="42" t="n">
        <f aca="false">(F1291-INDEX('Cohort Summary'!$H$5:$H$14,MATCH($A1291,'Cohort Summary'!$A$5:$A$14,0)))/INDEX('Cohort Summary'!$I$5:$I$14,MATCH($A1291,'Cohort Summary'!$A$5:$A$14,0))</f>
        <v>1.14828897338403</v>
      </c>
      <c r="L1291" s="42" t="n">
        <f aca="false">(G1291-INDEX('Cohort Summary'!$J$5:$J$14,MATCH($A1291,'Cohort Summary'!$A$5:$A$14,0)))/INDEX('Cohort Summary'!$K$5:$K$14,MATCH($A1291,'Cohort Summary'!$A$5:$A$14,0))</f>
        <v>-1.57377049180328</v>
      </c>
      <c r="M1291" s="42" t="n">
        <f aca="false">MAX(I1291:K1291)</f>
        <v>1.80628272251309</v>
      </c>
      <c r="N1291" s="27" t="s">
        <v>197</v>
      </c>
      <c r="O1291" s="27"/>
      <c r="P1291" s="27" t="str">
        <f aca="false">A1291&amp;"|"&amp;N1291</f>
        <v>NURSE-07|normal</v>
      </c>
    </row>
    <row r="1292" customFormat="false" ht="15" hidden="false" customHeight="true" outlineLevel="0" collapsed="false">
      <c r="A1292" s="27" t="s">
        <v>95</v>
      </c>
      <c r="B1292" s="41" t="n">
        <v>46303.3229166667</v>
      </c>
      <c r="C1292" s="27" t="s">
        <v>200</v>
      </c>
      <c r="D1292" s="27" t="n">
        <v>49.7</v>
      </c>
      <c r="E1292" s="27" t="n">
        <v>16.9</v>
      </c>
      <c r="F1292" s="27" t="n">
        <v>39.2</v>
      </c>
      <c r="G1292" s="27" t="n">
        <v>34.1</v>
      </c>
      <c r="H1292" s="27" t="s">
        <v>198</v>
      </c>
      <c r="I1292" s="42" t="n">
        <f aca="false">(D1292-INDEX('Cohort Summary'!$D$5:$D$14,MATCH($A1292,'Cohort Summary'!$A$5:$A$14,0)))/INDEX('Cohort Summary'!$E$5:$E$14,MATCH($A1292,'Cohort Summary'!$A$5:$A$14,0))</f>
        <v>0.588235294117648</v>
      </c>
      <c r="J1292" s="42" t="n">
        <f aca="false">(E1292-INDEX('Cohort Summary'!$F$5:$F$14,MATCH($A1292,'Cohort Summary'!$A$5:$A$14,0)))/INDEX('Cohort Summary'!$G$5:$G$14,MATCH($A1292,'Cohort Summary'!$A$5:$A$14,0))</f>
        <v>-0.81151832460733</v>
      </c>
      <c r="K1292" s="42" t="n">
        <f aca="false">(F1292-INDEX('Cohort Summary'!$H$5:$H$14,MATCH($A1292,'Cohort Summary'!$A$5:$A$14,0)))/INDEX('Cohort Summary'!$I$5:$I$14,MATCH($A1292,'Cohort Summary'!$A$5:$A$14,0))</f>
        <v>1.75665399239544</v>
      </c>
      <c r="L1292" s="42" t="n">
        <f aca="false">(G1292-INDEX('Cohort Summary'!$J$5:$J$14,MATCH($A1292,'Cohort Summary'!$A$5:$A$14,0)))/INDEX('Cohort Summary'!$K$5:$K$14,MATCH($A1292,'Cohort Summary'!$A$5:$A$14,0))</f>
        <v>1.04918032786885</v>
      </c>
      <c r="M1292" s="42" t="n">
        <f aca="false">MAX(I1292:K1292)</f>
        <v>1.75665399239544</v>
      </c>
      <c r="N1292" s="27" t="s">
        <v>197</v>
      </c>
      <c r="O1292" s="27"/>
      <c r="P1292" s="27" t="str">
        <f aca="false">A1292&amp;"|"&amp;N1292</f>
        <v>NURSE-07|normal</v>
      </c>
    </row>
    <row r="1293" customFormat="false" ht="15" hidden="false" customHeight="true" outlineLevel="0" collapsed="false">
      <c r="A1293" s="27" t="s">
        <v>95</v>
      </c>
      <c r="B1293" s="41" t="n">
        <v>46303.3232638889</v>
      </c>
      <c r="C1293" s="27" t="s">
        <v>200</v>
      </c>
      <c r="D1293" s="27" t="n">
        <v>46.5</v>
      </c>
      <c r="E1293" s="27" t="n">
        <v>18.3</v>
      </c>
      <c r="F1293" s="27" t="n">
        <v>31</v>
      </c>
      <c r="G1293" s="27" t="n">
        <v>33.7</v>
      </c>
      <c r="H1293" s="27" t="s">
        <v>196</v>
      </c>
      <c r="I1293" s="42" t="n">
        <f aca="false">(D1293-INDEX('Cohort Summary'!$D$5:$D$14,MATCH($A1293,'Cohort Summary'!$A$5:$A$14,0)))/INDEX('Cohort Summary'!$E$5:$E$14,MATCH($A1293,'Cohort Summary'!$A$5:$A$14,0))</f>
        <v>-0.519031141868512</v>
      </c>
      <c r="J1293" s="42" t="n">
        <f aca="false">(E1293-INDEX('Cohort Summary'!$F$5:$F$14,MATCH($A1293,'Cohort Summary'!$A$5:$A$14,0)))/INDEX('Cohort Summary'!$G$5:$G$14,MATCH($A1293,'Cohort Summary'!$A$5:$A$14,0))</f>
        <v>-0.0785340314136118</v>
      </c>
      <c r="K1293" s="42" t="n">
        <f aca="false">(F1293-INDEX('Cohort Summary'!$H$5:$H$14,MATCH($A1293,'Cohort Summary'!$A$5:$A$14,0)))/INDEX('Cohort Summary'!$I$5:$I$14,MATCH($A1293,'Cohort Summary'!$A$5:$A$14,0))</f>
        <v>-1.36121673003802</v>
      </c>
      <c r="L1293" s="42" t="n">
        <f aca="false">(G1293-INDEX('Cohort Summary'!$J$5:$J$14,MATCH($A1293,'Cohort Summary'!$A$5:$A$14,0)))/INDEX('Cohort Summary'!$K$5:$K$14,MATCH($A1293,'Cohort Summary'!$A$5:$A$14,0))</f>
        <v>0.393442622950823</v>
      </c>
      <c r="M1293" s="42" t="n">
        <f aca="false">MAX(I1293:K1293)</f>
        <v>-0.0785340314136118</v>
      </c>
      <c r="N1293" s="27" t="s">
        <v>197</v>
      </c>
      <c r="O1293" s="27"/>
      <c r="P1293" s="27" t="str">
        <f aca="false">A1293&amp;"|"&amp;N1293</f>
        <v>NURSE-07|normal</v>
      </c>
    </row>
    <row r="1294" customFormat="false" ht="15" hidden="false" customHeight="true" outlineLevel="0" collapsed="false">
      <c r="A1294" s="27" t="s">
        <v>95</v>
      </c>
      <c r="B1294" s="41" t="n">
        <v>46303.3236111111</v>
      </c>
      <c r="C1294" s="27" t="s">
        <v>200</v>
      </c>
      <c r="D1294" s="27" t="n">
        <v>49.2</v>
      </c>
      <c r="E1294" s="27" t="n">
        <v>17.3</v>
      </c>
      <c r="F1294" s="27" t="n">
        <v>35.4</v>
      </c>
      <c r="G1294" s="27" t="n">
        <v>34.3</v>
      </c>
      <c r="H1294" s="27" t="s">
        <v>196</v>
      </c>
      <c r="I1294" s="42" t="n">
        <f aca="false">(D1294-INDEX('Cohort Summary'!$D$5:$D$14,MATCH($A1294,'Cohort Summary'!$A$5:$A$14,0)))/INDEX('Cohort Summary'!$E$5:$E$14,MATCH($A1294,'Cohort Summary'!$A$5:$A$14,0))</f>
        <v>0.415224913494811</v>
      </c>
      <c r="J1294" s="42" t="n">
        <f aca="false">(E1294-INDEX('Cohort Summary'!$F$5:$F$14,MATCH($A1294,'Cohort Summary'!$A$5:$A$14,0)))/INDEX('Cohort Summary'!$G$5:$G$14,MATCH($A1294,'Cohort Summary'!$A$5:$A$14,0))</f>
        <v>-0.602094240837696</v>
      </c>
      <c r="K1294" s="42" t="n">
        <f aca="false">(F1294-INDEX('Cohort Summary'!$H$5:$H$14,MATCH($A1294,'Cohort Summary'!$A$5:$A$14,0)))/INDEX('Cohort Summary'!$I$5:$I$14,MATCH($A1294,'Cohort Summary'!$A$5:$A$14,0))</f>
        <v>0.311787072243346</v>
      </c>
      <c r="L1294" s="42" t="n">
        <f aca="false">(G1294-INDEX('Cohort Summary'!$J$5:$J$14,MATCH($A1294,'Cohort Summary'!$A$5:$A$14,0)))/INDEX('Cohort Summary'!$K$5:$K$14,MATCH($A1294,'Cohort Summary'!$A$5:$A$14,0))</f>
        <v>1.37704918032786</v>
      </c>
      <c r="M1294" s="42" t="n">
        <f aca="false">MAX(I1294:K1294)</f>
        <v>0.415224913494811</v>
      </c>
      <c r="N1294" s="27" t="s">
        <v>197</v>
      </c>
      <c r="O1294" s="27"/>
      <c r="P1294" s="27" t="str">
        <f aca="false">A1294&amp;"|"&amp;N1294</f>
        <v>NURSE-07|normal</v>
      </c>
    </row>
    <row r="1295" customFormat="false" ht="15" hidden="false" customHeight="true" outlineLevel="0" collapsed="false">
      <c r="A1295" s="27" t="s">
        <v>95</v>
      </c>
      <c r="B1295" s="41" t="n">
        <v>46303.3239583333</v>
      </c>
      <c r="C1295" s="27" t="s">
        <v>200</v>
      </c>
      <c r="D1295" s="27" t="n">
        <v>47</v>
      </c>
      <c r="E1295" s="27" t="n">
        <v>21.2</v>
      </c>
      <c r="F1295" s="27" t="n">
        <v>38</v>
      </c>
      <c r="G1295" s="27" t="n">
        <v>33.7</v>
      </c>
      <c r="H1295" s="27" t="s">
        <v>199</v>
      </c>
      <c r="I1295" s="42" t="n">
        <f aca="false">(D1295-INDEX('Cohort Summary'!$D$5:$D$14,MATCH($A1295,'Cohort Summary'!$A$5:$A$14,0)))/INDEX('Cohort Summary'!$E$5:$E$14,MATCH($A1295,'Cohort Summary'!$A$5:$A$14,0))</f>
        <v>-0.346020761245675</v>
      </c>
      <c r="J1295" s="42" t="n">
        <f aca="false">(E1295-INDEX('Cohort Summary'!$F$5:$F$14,MATCH($A1295,'Cohort Summary'!$A$5:$A$14,0)))/INDEX('Cohort Summary'!$G$5:$G$14,MATCH($A1295,'Cohort Summary'!$A$5:$A$14,0))</f>
        <v>1.43979057591623</v>
      </c>
      <c r="K1295" s="42" t="n">
        <f aca="false">(F1295-INDEX('Cohort Summary'!$H$5:$H$14,MATCH($A1295,'Cohort Summary'!$A$5:$A$14,0)))/INDEX('Cohort Summary'!$I$5:$I$14,MATCH($A1295,'Cohort Summary'!$A$5:$A$14,0))</f>
        <v>1.30038022813688</v>
      </c>
      <c r="L1295" s="42" t="n">
        <f aca="false">(G1295-INDEX('Cohort Summary'!$J$5:$J$14,MATCH($A1295,'Cohort Summary'!$A$5:$A$14,0)))/INDEX('Cohort Summary'!$K$5:$K$14,MATCH($A1295,'Cohort Summary'!$A$5:$A$14,0))</f>
        <v>0.393442622950823</v>
      </c>
      <c r="M1295" s="42" t="n">
        <f aca="false">MAX(I1295:K1295)</f>
        <v>1.43979057591623</v>
      </c>
      <c r="N1295" s="27" t="s">
        <v>197</v>
      </c>
      <c r="O1295" s="27"/>
      <c r="P1295" s="27" t="str">
        <f aca="false">A1295&amp;"|"&amp;N1295</f>
        <v>NURSE-07|normal</v>
      </c>
    </row>
    <row r="1296" customFormat="false" ht="15" hidden="false" customHeight="true" outlineLevel="0" collapsed="false">
      <c r="A1296" s="27" t="s">
        <v>95</v>
      </c>
      <c r="B1296" s="41" t="n">
        <v>46303.3243055556</v>
      </c>
      <c r="C1296" s="27" t="s">
        <v>200</v>
      </c>
      <c r="D1296" s="27" t="n">
        <v>47.6</v>
      </c>
      <c r="E1296" s="27" t="n">
        <v>18.9</v>
      </c>
      <c r="F1296" s="27" t="n">
        <v>37.3</v>
      </c>
      <c r="G1296" s="27" t="n">
        <v>34.3</v>
      </c>
      <c r="H1296" s="27" t="s">
        <v>196</v>
      </c>
      <c r="I1296" s="42" t="n">
        <f aca="false">(D1296-INDEX('Cohort Summary'!$D$5:$D$14,MATCH($A1296,'Cohort Summary'!$A$5:$A$14,0)))/INDEX('Cohort Summary'!$E$5:$E$14,MATCH($A1296,'Cohort Summary'!$A$5:$A$14,0))</f>
        <v>-0.138408304498269</v>
      </c>
      <c r="J1296" s="42" t="n">
        <f aca="false">(E1296-INDEX('Cohort Summary'!$F$5:$F$14,MATCH($A1296,'Cohort Summary'!$A$5:$A$14,0)))/INDEX('Cohort Summary'!$G$5:$G$14,MATCH($A1296,'Cohort Summary'!$A$5:$A$14,0))</f>
        <v>0.235602094240837</v>
      </c>
      <c r="K1296" s="42" t="n">
        <f aca="false">(F1296-INDEX('Cohort Summary'!$H$5:$H$14,MATCH($A1296,'Cohort Summary'!$A$5:$A$14,0)))/INDEX('Cohort Summary'!$I$5:$I$14,MATCH($A1296,'Cohort Summary'!$A$5:$A$14,0))</f>
        <v>1.03422053231939</v>
      </c>
      <c r="L1296" s="42" t="n">
        <f aca="false">(G1296-INDEX('Cohort Summary'!$J$5:$J$14,MATCH($A1296,'Cohort Summary'!$A$5:$A$14,0)))/INDEX('Cohort Summary'!$K$5:$K$14,MATCH($A1296,'Cohort Summary'!$A$5:$A$14,0))</f>
        <v>1.37704918032786</v>
      </c>
      <c r="M1296" s="42" t="n">
        <f aca="false">MAX(I1296:K1296)</f>
        <v>1.03422053231939</v>
      </c>
      <c r="N1296" s="27" t="s">
        <v>197</v>
      </c>
      <c r="O1296" s="27"/>
      <c r="P1296" s="27" t="str">
        <f aca="false">A1296&amp;"|"&amp;N1296</f>
        <v>NURSE-07|normal</v>
      </c>
    </row>
    <row r="1297" customFormat="false" ht="15" hidden="false" customHeight="true" outlineLevel="0" collapsed="false">
      <c r="A1297" s="27" t="s">
        <v>95</v>
      </c>
      <c r="B1297" s="41" t="n">
        <v>46303.3246527778</v>
      </c>
      <c r="C1297" s="27" t="s">
        <v>200</v>
      </c>
      <c r="D1297" s="27" t="n">
        <v>50.3</v>
      </c>
      <c r="E1297" s="27" t="n">
        <v>17.1</v>
      </c>
      <c r="F1297" s="27" t="n">
        <v>39</v>
      </c>
      <c r="G1297" s="27" t="n">
        <v>32.5</v>
      </c>
      <c r="H1297" s="27" t="s">
        <v>199</v>
      </c>
      <c r="I1297" s="42" t="n">
        <f aca="false">(D1297-INDEX('Cohort Summary'!$D$5:$D$14,MATCH($A1297,'Cohort Summary'!$A$5:$A$14,0)))/INDEX('Cohort Summary'!$E$5:$E$14,MATCH($A1297,'Cohort Summary'!$A$5:$A$14,0))</f>
        <v>0.795847750865051</v>
      </c>
      <c r="J1297" s="42" t="n">
        <f aca="false">(E1297-INDEX('Cohort Summary'!$F$5:$F$14,MATCH($A1297,'Cohort Summary'!$A$5:$A$14,0)))/INDEX('Cohort Summary'!$G$5:$G$14,MATCH($A1297,'Cohort Summary'!$A$5:$A$14,0))</f>
        <v>-0.706806282722512</v>
      </c>
      <c r="K1297" s="42" t="n">
        <f aca="false">(F1297-INDEX('Cohort Summary'!$H$5:$H$14,MATCH($A1297,'Cohort Summary'!$A$5:$A$14,0)))/INDEX('Cohort Summary'!$I$5:$I$14,MATCH($A1297,'Cohort Summary'!$A$5:$A$14,0))</f>
        <v>1.68060836501901</v>
      </c>
      <c r="L1297" s="42" t="n">
        <f aca="false">(G1297-INDEX('Cohort Summary'!$J$5:$J$14,MATCH($A1297,'Cohort Summary'!$A$5:$A$14,0)))/INDEX('Cohort Summary'!$K$5:$K$14,MATCH($A1297,'Cohort Summary'!$A$5:$A$14,0))</f>
        <v>-1.57377049180328</v>
      </c>
      <c r="M1297" s="42" t="n">
        <f aca="false">MAX(I1297:K1297)</f>
        <v>1.68060836501901</v>
      </c>
      <c r="N1297" s="27" t="s">
        <v>197</v>
      </c>
      <c r="O1297" s="27"/>
      <c r="P1297" s="27" t="str">
        <f aca="false">A1297&amp;"|"&amp;N1297</f>
        <v>NURSE-07|normal</v>
      </c>
    </row>
    <row r="1298" customFormat="false" ht="15" hidden="false" customHeight="true" outlineLevel="0" collapsed="false">
      <c r="A1298" s="27" t="s">
        <v>95</v>
      </c>
      <c r="B1298" s="41" t="n">
        <v>46303.325</v>
      </c>
      <c r="C1298" s="27" t="s">
        <v>200</v>
      </c>
      <c r="D1298" s="27" t="n">
        <v>52.5</v>
      </c>
      <c r="E1298" s="27" t="n">
        <v>15.1</v>
      </c>
      <c r="F1298" s="27" t="n">
        <v>33.2</v>
      </c>
      <c r="G1298" s="27" t="n">
        <v>34.2</v>
      </c>
      <c r="H1298" s="27" t="s">
        <v>198</v>
      </c>
      <c r="I1298" s="42" t="n">
        <f aca="false">(D1298-INDEX('Cohort Summary'!$D$5:$D$14,MATCH($A1298,'Cohort Summary'!$A$5:$A$14,0)))/INDEX('Cohort Summary'!$E$5:$E$14,MATCH($A1298,'Cohort Summary'!$A$5:$A$14,0))</f>
        <v>1.55709342560554</v>
      </c>
      <c r="J1298" s="42" t="n">
        <f aca="false">(E1298-INDEX('Cohort Summary'!$F$5:$F$14,MATCH($A1298,'Cohort Summary'!$A$5:$A$14,0)))/INDEX('Cohort Summary'!$G$5:$G$14,MATCH($A1298,'Cohort Summary'!$A$5:$A$14,0))</f>
        <v>-1.75392670157068</v>
      </c>
      <c r="K1298" s="42" t="n">
        <f aca="false">(F1298-INDEX('Cohort Summary'!$H$5:$H$14,MATCH($A1298,'Cohort Summary'!$A$5:$A$14,0)))/INDEX('Cohort Summary'!$I$5:$I$14,MATCH($A1298,'Cohort Summary'!$A$5:$A$14,0))</f>
        <v>-0.524714828897337</v>
      </c>
      <c r="L1298" s="42" t="n">
        <f aca="false">(G1298-INDEX('Cohort Summary'!$J$5:$J$14,MATCH($A1298,'Cohort Summary'!$A$5:$A$14,0)))/INDEX('Cohort Summary'!$K$5:$K$14,MATCH($A1298,'Cohort Summary'!$A$5:$A$14,0))</f>
        <v>1.21311475409836</v>
      </c>
      <c r="M1298" s="42" t="n">
        <f aca="false">MAX(I1298:K1298)</f>
        <v>1.55709342560554</v>
      </c>
      <c r="N1298" s="27" t="s">
        <v>197</v>
      </c>
      <c r="O1298" s="27"/>
      <c r="P1298" s="27" t="str">
        <f aca="false">A1298&amp;"|"&amp;N1298</f>
        <v>NURSE-07|normal</v>
      </c>
    </row>
    <row r="1299" customFormat="false" ht="15" hidden="false" customHeight="true" outlineLevel="0" collapsed="false">
      <c r="A1299" s="27" t="s">
        <v>95</v>
      </c>
      <c r="B1299" s="41" t="n">
        <v>46303.3253472222</v>
      </c>
      <c r="C1299" s="27" t="s">
        <v>200</v>
      </c>
      <c r="D1299" s="27" t="n">
        <v>50.7</v>
      </c>
      <c r="E1299" s="27" t="n">
        <v>16.7</v>
      </c>
      <c r="F1299" s="27" t="n">
        <v>39.1</v>
      </c>
      <c r="G1299" s="27" t="n">
        <v>32.7</v>
      </c>
      <c r="H1299" s="27" t="s">
        <v>199</v>
      </c>
      <c r="I1299" s="42" t="n">
        <f aca="false">(D1299-INDEX('Cohort Summary'!$D$5:$D$14,MATCH($A1299,'Cohort Summary'!$A$5:$A$14,0)))/INDEX('Cohort Summary'!$E$5:$E$14,MATCH($A1299,'Cohort Summary'!$A$5:$A$14,0))</f>
        <v>0.934256055363323</v>
      </c>
      <c r="J1299" s="42" t="n">
        <f aca="false">(E1299-INDEX('Cohort Summary'!$F$5:$F$14,MATCH($A1299,'Cohort Summary'!$A$5:$A$14,0)))/INDEX('Cohort Summary'!$G$5:$G$14,MATCH($A1299,'Cohort Summary'!$A$5:$A$14,0))</f>
        <v>-0.916230366492147</v>
      </c>
      <c r="K1299" s="42" t="n">
        <f aca="false">(F1299-INDEX('Cohort Summary'!$H$5:$H$14,MATCH($A1299,'Cohort Summary'!$A$5:$A$14,0)))/INDEX('Cohort Summary'!$I$5:$I$14,MATCH($A1299,'Cohort Summary'!$A$5:$A$14,0))</f>
        <v>1.71863117870723</v>
      </c>
      <c r="L1299" s="42" t="n">
        <f aca="false">(G1299-INDEX('Cohort Summary'!$J$5:$J$14,MATCH($A1299,'Cohort Summary'!$A$5:$A$14,0)))/INDEX('Cohort Summary'!$K$5:$K$14,MATCH($A1299,'Cohort Summary'!$A$5:$A$14,0))</f>
        <v>-1.24590163934426</v>
      </c>
      <c r="M1299" s="42" t="n">
        <f aca="false">MAX(I1299:K1299)</f>
        <v>1.71863117870723</v>
      </c>
      <c r="N1299" s="27" t="s">
        <v>197</v>
      </c>
      <c r="O1299" s="27"/>
      <c r="P1299" s="27" t="str">
        <f aca="false">A1299&amp;"|"&amp;N1299</f>
        <v>NURSE-07|normal</v>
      </c>
    </row>
    <row r="1300" customFormat="false" ht="15" hidden="false" customHeight="true" outlineLevel="0" collapsed="false">
      <c r="A1300" s="27" t="s">
        <v>95</v>
      </c>
      <c r="B1300" s="41" t="n">
        <v>46303.3256944444</v>
      </c>
      <c r="C1300" s="27" t="s">
        <v>200</v>
      </c>
      <c r="D1300" s="27" t="n">
        <v>58.4</v>
      </c>
      <c r="E1300" s="27" t="n">
        <v>17.7</v>
      </c>
      <c r="F1300" s="27" t="n">
        <v>42.3</v>
      </c>
      <c r="G1300" s="27" t="n">
        <v>36.6</v>
      </c>
      <c r="H1300" s="27" t="s">
        <v>198</v>
      </c>
      <c r="I1300" s="42" t="n">
        <f aca="false">(D1300-INDEX('Cohort Summary'!$D$5:$D$14,MATCH($A1300,'Cohort Summary'!$A$5:$A$14,0)))/INDEX('Cohort Summary'!$E$5:$E$14,MATCH($A1300,'Cohort Summary'!$A$5:$A$14,0))</f>
        <v>3.59861591695502</v>
      </c>
      <c r="J1300" s="42" t="n">
        <f aca="false">(E1300-INDEX('Cohort Summary'!$F$5:$F$14,MATCH($A1300,'Cohort Summary'!$A$5:$A$14,0)))/INDEX('Cohort Summary'!$G$5:$G$14,MATCH($A1300,'Cohort Summary'!$A$5:$A$14,0))</f>
        <v>-0.392670157068063</v>
      </c>
      <c r="K1300" s="42" t="n">
        <f aca="false">(F1300-INDEX('Cohort Summary'!$H$5:$H$14,MATCH($A1300,'Cohort Summary'!$A$5:$A$14,0)))/INDEX('Cohort Summary'!$I$5:$I$14,MATCH($A1300,'Cohort Summary'!$A$5:$A$14,0))</f>
        <v>2.93536121673004</v>
      </c>
      <c r="L1300" s="42" t="n">
        <f aca="false">(G1300-INDEX('Cohort Summary'!$J$5:$J$14,MATCH($A1300,'Cohort Summary'!$A$5:$A$14,0)))/INDEX('Cohort Summary'!$K$5:$K$14,MATCH($A1300,'Cohort Summary'!$A$5:$A$14,0))</f>
        <v>5.14754098360656</v>
      </c>
      <c r="M1300" s="42" t="n">
        <f aca="false">MAX(I1300:K1300)</f>
        <v>3.59861591695502</v>
      </c>
      <c r="N1300" s="27" t="s">
        <v>212</v>
      </c>
      <c r="O1300" s="27" t="s">
        <v>278</v>
      </c>
      <c r="P1300" s="27" t="str">
        <f aca="false">A1300&amp;"|"&amp;N1300</f>
        <v>NURSE-07|alert</v>
      </c>
    </row>
    <row r="1301" customFormat="false" ht="15" hidden="false" customHeight="true" outlineLevel="0" collapsed="false">
      <c r="A1301" s="27" t="s">
        <v>95</v>
      </c>
      <c r="B1301" s="41" t="n">
        <v>46303.3260416667</v>
      </c>
      <c r="C1301" s="27" t="s">
        <v>200</v>
      </c>
      <c r="D1301" s="27" t="n">
        <v>65.8</v>
      </c>
      <c r="E1301" s="27" t="n">
        <v>20.4</v>
      </c>
      <c r="F1301" s="27" t="n">
        <v>46.1</v>
      </c>
      <c r="G1301" s="27" t="n">
        <v>35.5</v>
      </c>
      <c r="H1301" s="27" t="s">
        <v>198</v>
      </c>
      <c r="I1301" s="42" t="n">
        <f aca="false">(D1301-INDEX('Cohort Summary'!$D$5:$D$14,MATCH($A1301,'Cohort Summary'!$A$5:$A$14,0)))/INDEX('Cohort Summary'!$E$5:$E$14,MATCH($A1301,'Cohort Summary'!$A$5:$A$14,0))</f>
        <v>6.15916955017301</v>
      </c>
      <c r="J1301" s="42" t="n">
        <f aca="false">(E1301-INDEX('Cohort Summary'!$F$5:$F$14,MATCH($A1301,'Cohort Summary'!$A$5:$A$14,0)))/INDEX('Cohort Summary'!$G$5:$G$14,MATCH($A1301,'Cohort Summary'!$A$5:$A$14,0))</f>
        <v>1.02094240837696</v>
      </c>
      <c r="K1301" s="42" t="n">
        <f aca="false">(F1301-INDEX('Cohort Summary'!$H$5:$H$14,MATCH($A1301,'Cohort Summary'!$A$5:$A$14,0)))/INDEX('Cohort Summary'!$I$5:$I$14,MATCH($A1301,'Cohort Summary'!$A$5:$A$14,0))</f>
        <v>4.38022813688213</v>
      </c>
      <c r="L1301" s="42" t="n">
        <f aca="false">(G1301-INDEX('Cohort Summary'!$J$5:$J$14,MATCH($A1301,'Cohort Summary'!$A$5:$A$14,0)))/INDEX('Cohort Summary'!$K$5:$K$14,MATCH($A1301,'Cohort Summary'!$A$5:$A$14,0))</f>
        <v>3.34426229508197</v>
      </c>
      <c r="M1301" s="42" t="n">
        <f aca="false">MAX(I1301:K1301)</f>
        <v>6.15916955017301</v>
      </c>
      <c r="N1301" s="27" t="s">
        <v>212</v>
      </c>
      <c r="O1301" s="27" t="s">
        <v>279</v>
      </c>
      <c r="P1301" s="27" t="str">
        <f aca="false">A1301&amp;"|"&amp;N1301</f>
        <v>NURSE-07|alert</v>
      </c>
    </row>
    <row r="1302" customFormat="false" ht="15" hidden="false" customHeight="true" outlineLevel="0" collapsed="false">
      <c r="A1302" s="27" t="s">
        <v>95</v>
      </c>
      <c r="B1302" s="41" t="n">
        <v>46303.3263888889</v>
      </c>
      <c r="C1302" s="27" t="s">
        <v>200</v>
      </c>
      <c r="D1302" s="27" t="n">
        <v>58.5</v>
      </c>
      <c r="E1302" s="27" t="n">
        <v>18.6</v>
      </c>
      <c r="F1302" s="27" t="n">
        <v>43.9</v>
      </c>
      <c r="G1302" s="27" t="n">
        <v>35.9</v>
      </c>
      <c r="H1302" s="27" t="s">
        <v>198</v>
      </c>
      <c r="I1302" s="42" t="n">
        <f aca="false">(D1302-INDEX('Cohort Summary'!$D$5:$D$14,MATCH($A1302,'Cohort Summary'!$A$5:$A$14,0)))/INDEX('Cohort Summary'!$E$5:$E$14,MATCH($A1302,'Cohort Summary'!$A$5:$A$14,0))</f>
        <v>3.63321799307958</v>
      </c>
      <c r="J1302" s="42" t="n">
        <f aca="false">(E1302-INDEX('Cohort Summary'!$F$5:$F$14,MATCH($A1302,'Cohort Summary'!$A$5:$A$14,0)))/INDEX('Cohort Summary'!$G$5:$G$14,MATCH($A1302,'Cohort Summary'!$A$5:$A$14,0))</f>
        <v>0.0785340314136137</v>
      </c>
      <c r="K1302" s="42" t="n">
        <f aca="false">(F1302-INDEX('Cohort Summary'!$H$5:$H$14,MATCH($A1302,'Cohort Summary'!$A$5:$A$14,0)))/INDEX('Cohort Summary'!$I$5:$I$14,MATCH($A1302,'Cohort Summary'!$A$5:$A$14,0))</f>
        <v>3.54372623574145</v>
      </c>
      <c r="L1302" s="42" t="n">
        <f aca="false">(G1302-INDEX('Cohort Summary'!$J$5:$J$14,MATCH($A1302,'Cohort Summary'!$A$5:$A$14,0)))/INDEX('Cohort Summary'!$K$5:$K$14,MATCH($A1302,'Cohort Summary'!$A$5:$A$14,0))</f>
        <v>4</v>
      </c>
      <c r="M1302" s="42" t="n">
        <f aca="false">MAX(I1302:K1302)</f>
        <v>3.63321799307958</v>
      </c>
      <c r="N1302" s="27" t="s">
        <v>212</v>
      </c>
      <c r="O1302" s="27" t="s">
        <v>280</v>
      </c>
      <c r="P1302" s="27" t="str">
        <f aca="false">A1302&amp;"|"&amp;N1302</f>
        <v>NURSE-07|alert</v>
      </c>
    </row>
    <row r="1303" customFormat="false" ht="15" hidden="false" customHeight="true" outlineLevel="0" collapsed="false">
      <c r="A1303" s="27" t="s">
        <v>95</v>
      </c>
      <c r="B1303" s="41" t="n">
        <v>46303.3267361111</v>
      </c>
      <c r="C1303" s="27" t="s">
        <v>200</v>
      </c>
      <c r="D1303" s="27" t="n">
        <v>57.7</v>
      </c>
      <c r="E1303" s="27" t="n">
        <v>18.9</v>
      </c>
      <c r="F1303" s="27" t="n">
        <v>47.7</v>
      </c>
      <c r="G1303" s="27" t="n">
        <v>37.1</v>
      </c>
      <c r="H1303" s="27" t="s">
        <v>198</v>
      </c>
      <c r="I1303" s="42" t="n">
        <f aca="false">(D1303-INDEX('Cohort Summary'!$D$5:$D$14,MATCH($A1303,'Cohort Summary'!$A$5:$A$14,0)))/INDEX('Cohort Summary'!$E$5:$E$14,MATCH($A1303,'Cohort Summary'!$A$5:$A$14,0))</f>
        <v>3.35640138408305</v>
      </c>
      <c r="J1303" s="42" t="n">
        <f aca="false">(E1303-INDEX('Cohort Summary'!$F$5:$F$14,MATCH($A1303,'Cohort Summary'!$A$5:$A$14,0)))/INDEX('Cohort Summary'!$G$5:$G$14,MATCH($A1303,'Cohort Summary'!$A$5:$A$14,0))</f>
        <v>0.235602094240837</v>
      </c>
      <c r="K1303" s="42" t="n">
        <f aca="false">(F1303-INDEX('Cohort Summary'!$H$5:$H$14,MATCH($A1303,'Cohort Summary'!$A$5:$A$14,0)))/INDEX('Cohort Summary'!$I$5:$I$14,MATCH($A1303,'Cohort Summary'!$A$5:$A$14,0))</f>
        <v>4.98859315589354</v>
      </c>
      <c r="L1303" s="42" t="n">
        <f aca="false">(G1303-INDEX('Cohort Summary'!$J$5:$J$14,MATCH($A1303,'Cohort Summary'!$A$5:$A$14,0)))/INDEX('Cohort Summary'!$K$5:$K$14,MATCH($A1303,'Cohort Summary'!$A$5:$A$14,0))</f>
        <v>5.9672131147541</v>
      </c>
      <c r="M1303" s="42" t="n">
        <f aca="false">MAX(I1303:K1303)</f>
        <v>4.98859315589354</v>
      </c>
      <c r="N1303" s="27" t="s">
        <v>212</v>
      </c>
      <c r="O1303" s="27" t="s">
        <v>281</v>
      </c>
      <c r="P1303" s="27" t="str">
        <f aca="false">A1303&amp;"|"&amp;N1303</f>
        <v>NURSE-07|alert</v>
      </c>
    </row>
    <row r="1304" customFormat="false" ht="15" hidden="false" customHeight="true" outlineLevel="0" collapsed="false">
      <c r="A1304" s="27" t="s">
        <v>95</v>
      </c>
      <c r="B1304" s="41" t="n">
        <v>46303.3270833333</v>
      </c>
      <c r="C1304" s="27" t="s">
        <v>200</v>
      </c>
      <c r="D1304" s="27" t="n">
        <v>61.3</v>
      </c>
      <c r="E1304" s="27" t="n">
        <v>20.6</v>
      </c>
      <c r="F1304" s="27" t="n">
        <v>40.5</v>
      </c>
      <c r="G1304" s="27" t="n">
        <v>35.4</v>
      </c>
      <c r="H1304" s="27" t="s">
        <v>198</v>
      </c>
      <c r="I1304" s="42" t="n">
        <f aca="false">(D1304-INDEX('Cohort Summary'!$D$5:$D$14,MATCH($A1304,'Cohort Summary'!$A$5:$A$14,0)))/INDEX('Cohort Summary'!$E$5:$E$14,MATCH($A1304,'Cohort Summary'!$A$5:$A$14,0))</f>
        <v>4.60207612456747</v>
      </c>
      <c r="J1304" s="42" t="n">
        <f aca="false">(E1304-INDEX('Cohort Summary'!$F$5:$F$14,MATCH($A1304,'Cohort Summary'!$A$5:$A$14,0)))/INDEX('Cohort Summary'!$G$5:$G$14,MATCH($A1304,'Cohort Summary'!$A$5:$A$14,0))</f>
        <v>1.12565445026178</v>
      </c>
      <c r="K1304" s="42" t="n">
        <f aca="false">(F1304-INDEX('Cohort Summary'!$H$5:$H$14,MATCH($A1304,'Cohort Summary'!$A$5:$A$14,0)))/INDEX('Cohort Summary'!$I$5:$I$14,MATCH($A1304,'Cohort Summary'!$A$5:$A$14,0))</f>
        <v>2.25095057034221</v>
      </c>
      <c r="L1304" s="42" t="n">
        <f aca="false">(G1304-INDEX('Cohort Summary'!$J$5:$J$14,MATCH($A1304,'Cohort Summary'!$A$5:$A$14,0)))/INDEX('Cohort Summary'!$K$5:$K$14,MATCH($A1304,'Cohort Summary'!$A$5:$A$14,0))</f>
        <v>3.18032786885246</v>
      </c>
      <c r="M1304" s="42" t="n">
        <f aca="false">MAX(I1304:K1304)</f>
        <v>4.60207612456747</v>
      </c>
      <c r="N1304" s="27" t="s">
        <v>212</v>
      </c>
      <c r="O1304" s="27" t="s">
        <v>282</v>
      </c>
      <c r="P1304" s="27" t="str">
        <f aca="false">A1304&amp;"|"&amp;N1304</f>
        <v>NURSE-07|alert</v>
      </c>
    </row>
    <row r="1305" customFormat="false" ht="15" hidden="false" customHeight="true" outlineLevel="0" collapsed="false">
      <c r="A1305" s="27" t="s">
        <v>95</v>
      </c>
      <c r="B1305" s="41" t="n">
        <v>46303.3274305556</v>
      </c>
      <c r="C1305" s="27" t="s">
        <v>200</v>
      </c>
      <c r="D1305" s="27" t="n">
        <v>60</v>
      </c>
      <c r="E1305" s="27" t="n">
        <v>18.8</v>
      </c>
      <c r="F1305" s="27" t="n">
        <v>49.3</v>
      </c>
      <c r="G1305" s="27" t="n">
        <v>35.3</v>
      </c>
      <c r="H1305" s="27" t="s">
        <v>198</v>
      </c>
      <c r="I1305" s="42" t="n">
        <f aca="false">(D1305-INDEX('Cohort Summary'!$D$5:$D$14,MATCH($A1305,'Cohort Summary'!$A$5:$A$14,0)))/INDEX('Cohort Summary'!$E$5:$E$14,MATCH($A1305,'Cohort Summary'!$A$5:$A$14,0))</f>
        <v>4.1522491349481</v>
      </c>
      <c r="J1305" s="42" t="n">
        <f aca="false">(E1305-INDEX('Cohort Summary'!$F$5:$F$14,MATCH($A1305,'Cohort Summary'!$A$5:$A$14,0)))/INDEX('Cohort Summary'!$G$5:$G$14,MATCH($A1305,'Cohort Summary'!$A$5:$A$14,0))</f>
        <v>0.18324607329843</v>
      </c>
      <c r="K1305" s="42" t="n">
        <f aca="false">(F1305-INDEX('Cohort Summary'!$H$5:$H$14,MATCH($A1305,'Cohort Summary'!$A$5:$A$14,0)))/INDEX('Cohort Summary'!$I$5:$I$14,MATCH($A1305,'Cohort Summary'!$A$5:$A$14,0))</f>
        <v>5.59695817490494</v>
      </c>
      <c r="L1305" s="42" t="n">
        <f aca="false">(G1305-INDEX('Cohort Summary'!$J$5:$J$14,MATCH($A1305,'Cohort Summary'!$A$5:$A$14,0)))/INDEX('Cohort Summary'!$K$5:$K$14,MATCH($A1305,'Cohort Summary'!$A$5:$A$14,0))</f>
        <v>3.01639344262295</v>
      </c>
      <c r="M1305" s="42" t="n">
        <f aca="false">MAX(I1305:K1305)</f>
        <v>5.59695817490494</v>
      </c>
      <c r="N1305" s="27" t="s">
        <v>212</v>
      </c>
      <c r="O1305" s="27" t="s">
        <v>283</v>
      </c>
      <c r="P1305" s="27" t="str">
        <f aca="false">A1305&amp;"|"&amp;N1305</f>
        <v>NURSE-07|alert</v>
      </c>
    </row>
    <row r="1306" customFormat="false" ht="15" hidden="false" customHeight="true" outlineLevel="0" collapsed="false">
      <c r="A1306" s="27" t="s">
        <v>95</v>
      </c>
      <c r="B1306" s="41" t="n">
        <v>46303.3277777778</v>
      </c>
      <c r="C1306" s="27" t="s">
        <v>200</v>
      </c>
      <c r="D1306" s="27" t="n">
        <v>56.7</v>
      </c>
      <c r="E1306" s="27" t="n">
        <v>17.7</v>
      </c>
      <c r="F1306" s="27" t="n">
        <v>49.3</v>
      </c>
      <c r="G1306" s="27" t="n">
        <v>36.3</v>
      </c>
      <c r="H1306" s="27" t="s">
        <v>198</v>
      </c>
      <c r="I1306" s="42" t="n">
        <f aca="false">(D1306-INDEX('Cohort Summary'!$D$5:$D$14,MATCH($A1306,'Cohort Summary'!$A$5:$A$14,0)))/INDEX('Cohort Summary'!$E$5:$E$14,MATCH($A1306,'Cohort Summary'!$A$5:$A$14,0))</f>
        <v>3.01038062283737</v>
      </c>
      <c r="J1306" s="42" t="n">
        <f aca="false">(E1306-INDEX('Cohort Summary'!$F$5:$F$14,MATCH($A1306,'Cohort Summary'!$A$5:$A$14,0)))/INDEX('Cohort Summary'!$G$5:$G$14,MATCH($A1306,'Cohort Summary'!$A$5:$A$14,0))</f>
        <v>-0.392670157068063</v>
      </c>
      <c r="K1306" s="42" t="n">
        <f aca="false">(F1306-INDEX('Cohort Summary'!$H$5:$H$14,MATCH($A1306,'Cohort Summary'!$A$5:$A$14,0)))/INDEX('Cohort Summary'!$I$5:$I$14,MATCH($A1306,'Cohort Summary'!$A$5:$A$14,0))</f>
        <v>5.59695817490494</v>
      </c>
      <c r="L1306" s="42" t="n">
        <f aca="false">(G1306-INDEX('Cohort Summary'!$J$5:$J$14,MATCH($A1306,'Cohort Summary'!$A$5:$A$14,0)))/INDEX('Cohort Summary'!$K$5:$K$14,MATCH($A1306,'Cohort Summary'!$A$5:$A$14,0))</f>
        <v>4.65573770491803</v>
      </c>
      <c r="M1306" s="42" t="n">
        <f aca="false">MAX(I1306:K1306)</f>
        <v>5.59695817490494</v>
      </c>
      <c r="N1306" s="27" t="s">
        <v>212</v>
      </c>
      <c r="O1306" s="27" t="s">
        <v>284</v>
      </c>
      <c r="P1306" s="27" t="str">
        <f aca="false">A1306&amp;"|"&amp;N1306</f>
        <v>NURSE-07|alert</v>
      </c>
    </row>
    <row r="1307" customFormat="false" ht="15" hidden="false" customHeight="true" outlineLevel="0" collapsed="false">
      <c r="A1307" s="27" t="s">
        <v>95</v>
      </c>
      <c r="B1307" s="41" t="n">
        <v>46303.328125</v>
      </c>
      <c r="C1307" s="27" t="s">
        <v>200</v>
      </c>
      <c r="D1307" s="27" t="n">
        <v>61.8</v>
      </c>
      <c r="E1307" s="27" t="n">
        <v>15.9</v>
      </c>
      <c r="F1307" s="27" t="n">
        <v>48</v>
      </c>
      <c r="G1307" s="27" t="n">
        <v>36.2</v>
      </c>
      <c r="H1307" s="27" t="s">
        <v>198</v>
      </c>
      <c r="I1307" s="42" t="n">
        <f aca="false">(D1307-INDEX('Cohort Summary'!$D$5:$D$14,MATCH($A1307,'Cohort Summary'!$A$5:$A$14,0)))/INDEX('Cohort Summary'!$E$5:$E$14,MATCH($A1307,'Cohort Summary'!$A$5:$A$14,0))</f>
        <v>4.77508650519031</v>
      </c>
      <c r="J1307" s="42" t="n">
        <f aca="false">(E1307-INDEX('Cohort Summary'!$F$5:$F$14,MATCH($A1307,'Cohort Summary'!$A$5:$A$14,0)))/INDEX('Cohort Summary'!$G$5:$G$14,MATCH($A1307,'Cohort Summary'!$A$5:$A$14,0))</f>
        <v>-1.33507853403141</v>
      </c>
      <c r="K1307" s="42" t="n">
        <f aca="false">(F1307-INDEX('Cohort Summary'!$H$5:$H$14,MATCH($A1307,'Cohort Summary'!$A$5:$A$14,0)))/INDEX('Cohort Summary'!$I$5:$I$14,MATCH($A1307,'Cohort Summary'!$A$5:$A$14,0))</f>
        <v>5.10266159695818</v>
      </c>
      <c r="L1307" s="42" t="n">
        <f aca="false">(G1307-INDEX('Cohort Summary'!$J$5:$J$14,MATCH($A1307,'Cohort Summary'!$A$5:$A$14,0)))/INDEX('Cohort Summary'!$K$5:$K$14,MATCH($A1307,'Cohort Summary'!$A$5:$A$14,0))</f>
        <v>4.49180327868853</v>
      </c>
      <c r="M1307" s="42" t="n">
        <f aca="false">MAX(I1307:K1307)</f>
        <v>5.10266159695818</v>
      </c>
      <c r="N1307" s="27" t="s">
        <v>212</v>
      </c>
      <c r="O1307" s="27" t="s">
        <v>285</v>
      </c>
      <c r="P1307" s="27" t="str">
        <f aca="false">A1307&amp;"|"&amp;N1307</f>
        <v>NURSE-07|alert</v>
      </c>
    </row>
    <row r="1308" customFormat="false" ht="15" hidden="false" customHeight="true" outlineLevel="0" collapsed="false">
      <c r="A1308" s="27" t="s">
        <v>95</v>
      </c>
      <c r="B1308" s="41" t="n">
        <v>46303.3284722222</v>
      </c>
      <c r="C1308" s="27" t="s">
        <v>200</v>
      </c>
      <c r="D1308" s="27" t="n">
        <v>60.9</v>
      </c>
      <c r="E1308" s="27" t="n">
        <v>20.9</v>
      </c>
      <c r="F1308" s="27" t="n">
        <v>41.2</v>
      </c>
      <c r="G1308" s="27" t="n">
        <v>37</v>
      </c>
      <c r="H1308" s="27" t="s">
        <v>198</v>
      </c>
      <c r="I1308" s="42" t="n">
        <f aca="false">(D1308-INDEX('Cohort Summary'!$D$5:$D$14,MATCH($A1308,'Cohort Summary'!$A$5:$A$14,0)))/INDEX('Cohort Summary'!$E$5:$E$14,MATCH($A1308,'Cohort Summary'!$A$5:$A$14,0))</f>
        <v>4.4636678200692</v>
      </c>
      <c r="J1308" s="42" t="n">
        <f aca="false">(E1308-INDEX('Cohort Summary'!$F$5:$F$14,MATCH($A1308,'Cohort Summary'!$A$5:$A$14,0)))/INDEX('Cohort Summary'!$G$5:$G$14,MATCH($A1308,'Cohort Summary'!$A$5:$A$14,0))</f>
        <v>1.28272251308901</v>
      </c>
      <c r="K1308" s="42" t="n">
        <f aca="false">(F1308-INDEX('Cohort Summary'!$H$5:$H$14,MATCH($A1308,'Cohort Summary'!$A$5:$A$14,0)))/INDEX('Cohort Summary'!$I$5:$I$14,MATCH($A1308,'Cohort Summary'!$A$5:$A$14,0))</f>
        <v>2.5171102661597</v>
      </c>
      <c r="L1308" s="42" t="n">
        <f aca="false">(G1308-INDEX('Cohort Summary'!$J$5:$J$14,MATCH($A1308,'Cohort Summary'!$A$5:$A$14,0)))/INDEX('Cohort Summary'!$K$5:$K$14,MATCH($A1308,'Cohort Summary'!$A$5:$A$14,0))</f>
        <v>5.80327868852459</v>
      </c>
      <c r="M1308" s="42" t="n">
        <f aca="false">MAX(I1308:K1308)</f>
        <v>4.4636678200692</v>
      </c>
      <c r="N1308" s="27" t="s">
        <v>212</v>
      </c>
      <c r="O1308" s="27" t="s">
        <v>286</v>
      </c>
      <c r="P1308" s="27" t="str">
        <f aca="false">A1308&amp;"|"&amp;N1308</f>
        <v>NURSE-07|alert</v>
      </c>
    </row>
    <row r="1309" customFormat="false" ht="15" hidden="false" customHeight="true" outlineLevel="0" collapsed="false">
      <c r="A1309" s="27" t="s">
        <v>95</v>
      </c>
      <c r="B1309" s="41" t="n">
        <v>46303.3288194445</v>
      </c>
      <c r="C1309" s="27" t="s">
        <v>200</v>
      </c>
      <c r="D1309" s="27" t="n">
        <v>64.1</v>
      </c>
      <c r="E1309" s="27" t="n">
        <v>16.6</v>
      </c>
      <c r="F1309" s="27" t="n">
        <v>40</v>
      </c>
      <c r="G1309" s="27" t="n">
        <v>36.9</v>
      </c>
      <c r="H1309" s="27" t="s">
        <v>198</v>
      </c>
      <c r="I1309" s="42" t="n">
        <f aca="false">(D1309-INDEX('Cohort Summary'!$D$5:$D$14,MATCH($A1309,'Cohort Summary'!$A$5:$A$14,0)))/INDEX('Cohort Summary'!$E$5:$E$14,MATCH($A1309,'Cohort Summary'!$A$5:$A$14,0))</f>
        <v>5.57093425605536</v>
      </c>
      <c r="J1309" s="42" t="n">
        <f aca="false">(E1309-INDEX('Cohort Summary'!$F$5:$F$14,MATCH($A1309,'Cohort Summary'!$A$5:$A$14,0)))/INDEX('Cohort Summary'!$G$5:$G$14,MATCH($A1309,'Cohort Summary'!$A$5:$A$14,0))</f>
        <v>-0.968586387434554</v>
      </c>
      <c r="K1309" s="42" t="n">
        <f aca="false">(F1309-INDEX('Cohort Summary'!$H$5:$H$14,MATCH($A1309,'Cohort Summary'!$A$5:$A$14,0)))/INDEX('Cohort Summary'!$I$5:$I$14,MATCH($A1309,'Cohort Summary'!$A$5:$A$14,0))</f>
        <v>2.06083650190114</v>
      </c>
      <c r="L1309" s="42" t="n">
        <f aca="false">(G1309-INDEX('Cohort Summary'!$J$5:$J$14,MATCH($A1309,'Cohort Summary'!$A$5:$A$14,0)))/INDEX('Cohort Summary'!$K$5:$K$14,MATCH($A1309,'Cohort Summary'!$A$5:$A$14,0))</f>
        <v>5.63934426229508</v>
      </c>
      <c r="M1309" s="42" t="n">
        <f aca="false">MAX(I1309:K1309)</f>
        <v>5.57093425605536</v>
      </c>
      <c r="N1309" s="27" t="s">
        <v>212</v>
      </c>
      <c r="O1309" s="27" t="s">
        <v>287</v>
      </c>
      <c r="P1309" s="27" t="str">
        <f aca="false">A1309&amp;"|"&amp;N1309</f>
        <v>NURSE-07|alert</v>
      </c>
    </row>
    <row r="1310" customFormat="false" ht="15" hidden="false" customHeight="true" outlineLevel="0" collapsed="false">
      <c r="A1310" s="27" t="s">
        <v>95</v>
      </c>
      <c r="B1310" s="41" t="n">
        <v>46303.3291666667</v>
      </c>
      <c r="C1310" s="27" t="s">
        <v>200</v>
      </c>
      <c r="D1310" s="27" t="n">
        <v>57</v>
      </c>
      <c r="E1310" s="27" t="n">
        <v>20.4</v>
      </c>
      <c r="F1310" s="27" t="n">
        <v>47.7</v>
      </c>
      <c r="G1310" s="27" t="n">
        <v>36.5</v>
      </c>
      <c r="H1310" s="27" t="s">
        <v>198</v>
      </c>
      <c r="I1310" s="42" t="n">
        <f aca="false">(D1310-INDEX('Cohort Summary'!$D$5:$D$14,MATCH($A1310,'Cohort Summary'!$A$5:$A$14,0)))/INDEX('Cohort Summary'!$E$5:$E$14,MATCH($A1310,'Cohort Summary'!$A$5:$A$14,0))</f>
        <v>3.11418685121107</v>
      </c>
      <c r="J1310" s="42" t="n">
        <f aca="false">(E1310-INDEX('Cohort Summary'!$F$5:$F$14,MATCH($A1310,'Cohort Summary'!$A$5:$A$14,0)))/INDEX('Cohort Summary'!$G$5:$G$14,MATCH($A1310,'Cohort Summary'!$A$5:$A$14,0))</f>
        <v>1.02094240837696</v>
      </c>
      <c r="K1310" s="42" t="n">
        <f aca="false">(F1310-INDEX('Cohort Summary'!$H$5:$H$14,MATCH($A1310,'Cohort Summary'!$A$5:$A$14,0)))/INDEX('Cohort Summary'!$I$5:$I$14,MATCH($A1310,'Cohort Summary'!$A$5:$A$14,0))</f>
        <v>4.98859315589354</v>
      </c>
      <c r="L1310" s="42" t="n">
        <f aca="false">(G1310-INDEX('Cohort Summary'!$J$5:$J$14,MATCH($A1310,'Cohort Summary'!$A$5:$A$14,0)))/INDEX('Cohort Summary'!$K$5:$K$14,MATCH($A1310,'Cohort Summary'!$A$5:$A$14,0))</f>
        <v>4.98360655737705</v>
      </c>
      <c r="M1310" s="42" t="n">
        <f aca="false">MAX(I1310:K1310)</f>
        <v>4.98859315589354</v>
      </c>
      <c r="N1310" s="27" t="s">
        <v>212</v>
      </c>
      <c r="O1310" s="27" t="s">
        <v>288</v>
      </c>
      <c r="P1310" s="27" t="str">
        <f aca="false">A1310&amp;"|"&amp;N1310</f>
        <v>NURSE-07|alert</v>
      </c>
    </row>
    <row r="1311" customFormat="false" ht="15" hidden="false" customHeight="true" outlineLevel="0" collapsed="false">
      <c r="A1311" s="27" t="s">
        <v>95</v>
      </c>
      <c r="B1311" s="41" t="n">
        <v>46303.3295138889</v>
      </c>
      <c r="C1311" s="27" t="s">
        <v>200</v>
      </c>
      <c r="D1311" s="27" t="n">
        <v>65.8</v>
      </c>
      <c r="E1311" s="27" t="n">
        <v>15.9</v>
      </c>
      <c r="F1311" s="27" t="n">
        <v>41.9</v>
      </c>
      <c r="G1311" s="27" t="n">
        <v>36.6</v>
      </c>
      <c r="H1311" s="27" t="s">
        <v>198</v>
      </c>
      <c r="I1311" s="42" t="n">
        <f aca="false">(D1311-INDEX('Cohort Summary'!$D$5:$D$14,MATCH($A1311,'Cohort Summary'!$A$5:$A$14,0)))/INDEX('Cohort Summary'!$E$5:$E$14,MATCH($A1311,'Cohort Summary'!$A$5:$A$14,0))</f>
        <v>6.15916955017301</v>
      </c>
      <c r="J1311" s="42" t="n">
        <f aca="false">(E1311-INDEX('Cohort Summary'!$F$5:$F$14,MATCH($A1311,'Cohort Summary'!$A$5:$A$14,0)))/INDEX('Cohort Summary'!$G$5:$G$14,MATCH($A1311,'Cohort Summary'!$A$5:$A$14,0))</f>
        <v>-1.33507853403141</v>
      </c>
      <c r="K1311" s="42" t="n">
        <f aca="false">(F1311-INDEX('Cohort Summary'!$H$5:$H$14,MATCH($A1311,'Cohort Summary'!$A$5:$A$14,0)))/INDEX('Cohort Summary'!$I$5:$I$14,MATCH($A1311,'Cohort Summary'!$A$5:$A$14,0))</f>
        <v>2.78326996197719</v>
      </c>
      <c r="L1311" s="42" t="n">
        <f aca="false">(G1311-INDEX('Cohort Summary'!$J$5:$J$14,MATCH($A1311,'Cohort Summary'!$A$5:$A$14,0)))/INDEX('Cohort Summary'!$K$5:$K$14,MATCH($A1311,'Cohort Summary'!$A$5:$A$14,0))</f>
        <v>5.14754098360656</v>
      </c>
      <c r="M1311" s="42" t="n">
        <f aca="false">MAX(I1311:K1311)</f>
        <v>6.15916955017301</v>
      </c>
      <c r="N1311" s="27" t="s">
        <v>212</v>
      </c>
      <c r="O1311" s="27" t="s">
        <v>289</v>
      </c>
      <c r="P1311" s="27" t="str">
        <f aca="false">A1311&amp;"|"&amp;N1311</f>
        <v>NURSE-07|alert</v>
      </c>
    </row>
    <row r="1312" customFormat="false" ht="15" hidden="false" customHeight="true" outlineLevel="0" collapsed="false">
      <c r="A1312" s="27" t="s">
        <v>95</v>
      </c>
      <c r="B1312" s="41" t="n">
        <v>46303.3298611111</v>
      </c>
      <c r="C1312" s="27" t="s">
        <v>200</v>
      </c>
      <c r="D1312" s="27" t="n">
        <v>62.8</v>
      </c>
      <c r="E1312" s="27" t="n">
        <v>20.9</v>
      </c>
      <c r="F1312" s="27" t="n">
        <v>45.7</v>
      </c>
      <c r="G1312" s="27" t="n">
        <v>35.8</v>
      </c>
      <c r="H1312" s="27" t="s">
        <v>198</v>
      </c>
      <c r="I1312" s="42" t="n">
        <f aca="false">(D1312-INDEX('Cohort Summary'!$D$5:$D$14,MATCH($A1312,'Cohort Summary'!$A$5:$A$14,0)))/INDEX('Cohort Summary'!$E$5:$E$14,MATCH($A1312,'Cohort Summary'!$A$5:$A$14,0))</f>
        <v>5.12110726643599</v>
      </c>
      <c r="J1312" s="42" t="n">
        <f aca="false">(E1312-INDEX('Cohort Summary'!$F$5:$F$14,MATCH($A1312,'Cohort Summary'!$A$5:$A$14,0)))/INDEX('Cohort Summary'!$G$5:$G$14,MATCH($A1312,'Cohort Summary'!$A$5:$A$14,0))</f>
        <v>1.28272251308901</v>
      </c>
      <c r="K1312" s="42" t="n">
        <f aca="false">(F1312-INDEX('Cohort Summary'!$H$5:$H$14,MATCH($A1312,'Cohort Summary'!$A$5:$A$14,0)))/INDEX('Cohort Summary'!$I$5:$I$14,MATCH($A1312,'Cohort Summary'!$A$5:$A$14,0))</f>
        <v>4.22813688212928</v>
      </c>
      <c r="L1312" s="42" t="n">
        <f aca="false">(G1312-INDEX('Cohort Summary'!$J$5:$J$14,MATCH($A1312,'Cohort Summary'!$A$5:$A$14,0)))/INDEX('Cohort Summary'!$K$5:$K$14,MATCH($A1312,'Cohort Summary'!$A$5:$A$14,0))</f>
        <v>3.83606557377049</v>
      </c>
      <c r="M1312" s="42" t="n">
        <f aca="false">MAX(I1312:K1312)</f>
        <v>5.12110726643599</v>
      </c>
      <c r="N1312" s="27" t="s">
        <v>212</v>
      </c>
      <c r="O1312" s="27" t="s">
        <v>290</v>
      </c>
      <c r="P1312" s="27" t="str">
        <f aca="false">A1312&amp;"|"&amp;N1312</f>
        <v>NURSE-07|alert</v>
      </c>
    </row>
    <row r="1313" customFormat="false" ht="15" hidden="false" customHeight="true" outlineLevel="0" collapsed="false">
      <c r="A1313" s="27" t="s">
        <v>95</v>
      </c>
      <c r="B1313" s="41" t="n">
        <v>46303.3302083333</v>
      </c>
      <c r="C1313" s="27" t="s">
        <v>200</v>
      </c>
      <c r="D1313" s="27" t="n">
        <v>62</v>
      </c>
      <c r="E1313" s="27" t="n">
        <v>16.3</v>
      </c>
      <c r="F1313" s="27" t="n">
        <v>46.1</v>
      </c>
      <c r="G1313" s="27" t="n">
        <v>35.9</v>
      </c>
      <c r="H1313" s="27" t="s">
        <v>198</v>
      </c>
      <c r="I1313" s="42" t="n">
        <f aca="false">(D1313-INDEX('Cohort Summary'!$D$5:$D$14,MATCH($A1313,'Cohort Summary'!$A$5:$A$14,0)))/INDEX('Cohort Summary'!$E$5:$E$14,MATCH($A1313,'Cohort Summary'!$A$5:$A$14,0))</f>
        <v>4.84429065743945</v>
      </c>
      <c r="J1313" s="42" t="n">
        <f aca="false">(E1313-INDEX('Cohort Summary'!$F$5:$F$14,MATCH($A1313,'Cohort Summary'!$A$5:$A$14,0)))/INDEX('Cohort Summary'!$G$5:$G$14,MATCH($A1313,'Cohort Summary'!$A$5:$A$14,0))</f>
        <v>-1.12565445026178</v>
      </c>
      <c r="K1313" s="42" t="n">
        <f aca="false">(F1313-INDEX('Cohort Summary'!$H$5:$H$14,MATCH($A1313,'Cohort Summary'!$A$5:$A$14,0)))/INDEX('Cohort Summary'!$I$5:$I$14,MATCH($A1313,'Cohort Summary'!$A$5:$A$14,0))</f>
        <v>4.38022813688213</v>
      </c>
      <c r="L1313" s="42" t="n">
        <f aca="false">(G1313-INDEX('Cohort Summary'!$J$5:$J$14,MATCH($A1313,'Cohort Summary'!$A$5:$A$14,0)))/INDEX('Cohort Summary'!$K$5:$K$14,MATCH($A1313,'Cohort Summary'!$A$5:$A$14,0))</f>
        <v>4</v>
      </c>
      <c r="M1313" s="42" t="n">
        <f aca="false">MAX(I1313:K1313)</f>
        <v>4.84429065743945</v>
      </c>
      <c r="N1313" s="27" t="s">
        <v>212</v>
      </c>
      <c r="O1313" s="27" t="s">
        <v>291</v>
      </c>
      <c r="P1313" s="27" t="str">
        <f aca="false">A1313&amp;"|"&amp;N1313</f>
        <v>NURSE-07|alert</v>
      </c>
    </row>
    <row r="1314" customFormat="false" ht="15" hidden="false" customHeight="true" outlineLevel="0" collapsed="false">
      <c r="A1314" s="27" t="s">
        <v>95</v>
      </c>
      <c r="B1314" s="41" t="n">
        <v>46303.3305555556</v>
      </c>
      <c r="C1314" s="27" t="s">
        <v>200</v>
      </c>
      <c r="D1314" s="27" t="n">
        <v>45.4</v>
      </c>
      <c r="E1314" s="27" t="n">
        <v>19.9</v>
      </c>
      <c r="F1314" s="27" t="n">
        <v>36.7</v>
      </c>
      <c r="G1314" s="27" t="n">
        <v>32.6</v>
      </c>
      <c r="H1314" s="27" t="s">
        <v>199</v>
      </c>
      <c r="I1314" s="42" t="n">
        <f aca="false">(D1314-INDEX('Cohort Summary'!$D$5:$D$14,MATCH($A1314,'Cohort Summary'!$A$5:$A$14,0)))/INDEX('Cohort Summary'!$E$5:$E$14,MATCH($A1314,'Cohort Summary'!$A$5:$A$14,0))</f>
        <v>-0.899653979238755</v>
      </c>
      <c r="J1314" s="42" t="n">
        <f aca="false">(E1314-INDEX('Cohort Summary'!$F$5:$F$14,MATCH($A1314,'Cohort Summary'!$A$5:$A$14,0)))/INDEX('Cohort Summary'!$G$5:$G$14,MATCH($A1314,'Cohort Summary'!$A$5:$A$14,0))</f>
        <v>0.759162303664921</v>
      </c>
      <c r="K1314" s="42" t="n">
        <f aca="false">(F1314-INDEX('Cohort Summary'!$H$5:$H$14,MATCH($A1314,'Cohort Summary'!$A$5:$A$14,0)))/INDEX('Cohort Summary'!$I$5:$I$14,MATCH($A1314,'Cohort Summary'!$A$5:$A$14,0))</f>
        <v>0.806083650190116</v>
      </c>
      <c r="L1314" s="42" t="n">
        <f aca="false">(G1314-INDEX('Cohort Summary'!$J$5:$J$14,MATCH($A1314,'Cohort Summary'!$A$5:$A$14,0)))/INDEX('Cohort Summary'!$K$5:$K$14,MATCH($A1314,'Cohort Summary'!$A$5:$A$14,0))</f>
        <v>-1.40983606557377</v>
      </c>
      <c r="M1314" s="42" t="n">
        <f aca="false">MAX(I1314:K1314)</f>
        <v>0.806083650190116</v>
      </c>
      <c r="N1314" s="27" t="s">
        <v>197</v>
      </c>
      <c r="O1314" s="27"/>
      <c r="P1314" s="27" t="str">
        <f aca="false">A1314&amp;"|"&amp;N1314</f>
        <v>NURSE-07|normal</v>
      </c>
    </row>
    <row r="1315" customFormat="false" ht="15" hidden="false" customHeight="true" outlineLevel="0" collapsed="false">
      <c r="A1315" s="27" t="s">
        <v>95</v>
      </c>
      <c r="B1315" s="41" t="n">
        <v>46303.3309027778</v>
      </c>
      <c r="C1315" s="27" t="s">
        <v>200</v>
      </c>
      <c r="D1315" s="27" t="n">
        <v>50.7</v>
      </c>
      <c r="E1315" s="27" t="n">
        <v>17.1</v>
      </c>
      <c r="F1315" s="27" t="n">
        <v>31</v>
      </c>
      <c r="G1315" s="27" t="n">
        <v>33</v>
      </c>
      <c r="H1315" s="27" t="s">
        <v>196</v>
      </c>
      <c r="I1315" s="42" t="n">
        <f aca="false">(D1315-INDEX('Cohort Summary'!$D$5:$D$14,MATCH($A1315,'Cohort Summary'!$A$5:$A$14,0)))/INDEX('Cohort Summary'!$E$5:$E$14,MATCH($A1315,'Cohort Summary'!$A$5:$A$14,0))</f>
        <v>0.934256055363323</v>
      </c>
      <c r="J1315" s="42" t="n">
        <f aca="false">(E1315-INDEX('Cohort Summary'!$F$5:$F$14,MATCH($A1315,'Cohort Summary'!$A$5:$A$14,0)))/INDEX('Cohort Summary'!$G$5:$G$14,MATCH($A1315,'Cohort Summary'!$A$5:$A$14,0))</f>
        <v>-0.706806282722512</v>
      </c>
      <c r="K1315" s="42" t="n">
        <f aca="false">(F1315-INDEX('Cohort Summary'!$H$5:$H$14,MATCH($A1315,'Cohort Summary'!$A$5:$A$14,0)))/INDEX('Cohort Summary'!$I$5:$I$14,MATCH($A1315,'Cohort Summary'!$A$5:$A$14,0))</f>
        <v>-1.36121673003802</v>
      </c>
      <c r="L1315" s="42" t="n">
        <f aca="false">(G1315-INDEX('Cohort Summary'!$J$5:$J$14,MATCH($A1315,'Cohort Summary'!$A$5:$A$14,0)))/INDEX('Cohort Summary'!$K$5:$K$14,MATCH($A1315,'Cohort Summary'!$A$5:$A$14,0))</f>
        <v>-0.754098360655739</v>
      </c>
      <c r="M1315" s="42" t="n">
        <f aca="false">MAX(I1315:K1315)</f>
        <v>0.934256055363323</v>
      </c>
      <c r="N1315" s="27" t="s">
        <v>197</v>
      </c>
      <c r="O1315" s="27"/>
      <c r="P1315" s="27" t="str">
        <f aca="false">A1315&amp;"|"&amp;N1315</f>
        <v>NURSE-07|normal</v>
      </c>
    </row>
    <row r="1316" customFormat="false" ht="15" hidden="false" customHeight="true" outlineLevel="0" collapsed="false">
      <c r="A1316" s="27" t="s">
        <v>95</v>
      </c>
      <c r="B1316" s="41" t="n">
        <v>46303.33125</v>
      </c>
      <c r="C1316" s="27" t="s">
        <v>200</v>
      </c>
      <c r="D1316" s="27" t="n">
        <v>47.7</v>
      </c>
      <c r="E1316" s="27" t="n">
        <v>20.7</v>
      </c>
      <c r="F1316" s="27" t="n">
        <v>31.6</v>
      </c>
      <c r="G1316" s="27" t="n">
        <v>32.6</v>
      </c>
      <c r="H1316" s="27" t="s">
        <v>199</v>
      </c>
      <c r="I1316" s="42" t="n">
        <f aca="false">(D1316-INDEX('Cohort Summary'!$D$5:$D$14,MATCH($A1316,'Cohort Summary'!$A$5:$A$14,0)))/INDEX('Cohort Summary'!$E$5:$E$14,MATCH($A1316,'Cohort Summary'!$A$5:$A$14,0))</f>
        <v>-0.103806228373701</v>
      </c>
      <c r="J1316" s="42" t="n">
        <f aca="false">(E1316-INDEX('Cohort Summary'!$F$5:$F$14,MATCH($A1316,'Cohort Summary'!$A$5:$A$14,0)))/INDEX('Cohort Summary'!$G$5:$G$14,MATCH($A1316,'Cohort Summary'!$A$5:$A$14,0))</f>
        <v>1.17801047120419</v>
      </c>
      <c r="K1316" s="42" t="n">
        <f aca="false">(F1316-INDEX('Cohort Summary'!$H$5:$H$14,MATCH($A1316,'Cohort Summary'!$A$5:$A$14,0)))/INDEX('Cohort Summary'!$I$5:$I$14,MATCH($A1316,'Cohort Summary'!$A$5:$A$14,0))</f>
        <v>-1.13307984790874</v>
      </c>
      <c r="L1316" s="42" t="n">
        <f aca="false">(G1316-INDEX('Cohort Summary'!$J$5:$J$14,MATCH($A1316,'Cohort Summary'!$A$5:$A$14,0)))/INDEX('Cohort Summary'!$K$5:$K$14,MATCH($A1316,'Cohort Summary'!$A$5:$A$14,0))</f>
        <v>-1.40983606557377</v>
      </c>
      <c r="M1316" s="42" t="n">
        <f aca="false">MAX(I1316:K1316)</f>
        <v>1.17801047120419</v>
      </c>
      <c r="N1316" s="27" t="s">
        <v>197</v>
      </c>
      <c r="O1316" s="27"/>
      <c r="P1316" s="27" t="str">
        <f aca="false">A1316&amp;"|"&amp;N1316</f>
        <v>NURSE-07|normal</v>
      </c>
    </row>
    <row r="1317" customFormat="false" ht="15" hidden="false" customHeight="true" outlineLevel="0" collapsed="false">
      <c r="A1317" s="27" t="s">
        <v>95</v>
      </c>
      <c r="B1317" s="41" t="n">
        <v>46303.3315972222</v>
      </c>
      <c r="C1317" s="27" t="s">
        <v>200</v>
      </c>
      <c r="D1317" s="27" t="n">
        <v>47</v>
      </c>
      <c r="E1317" s="27" t="n">
        <v>16.3</v>
      </c>
      <c r="F1317" s="27" t="n">
        <v>32.1</v>
      </c>
      <c r="G1317" s="27" t="n">
        <v>34.3</v>
      </c>
      <c r="H1317" s="27" t="s">
        <v>198</v>
      </c>
      <c r="I1317" s="42" t="n">
        <f aca="false">(D1317-INDEX('Cohort Summary'!$D$5:$D$14,MATCH($A1317,'Cohort Summary'!$A$5:$A$14,0)))/INDEX('Cohort Summary'!$E$5:$E$14,MATCH($A1317,'Cohort Summary'!$A$5:$A$14,0))</f>
        <v>-0.346020761245675</v>
      </c>
      <c r="J1317" s="42" t="n">
        <f aca="false">(E1317-INDEX('Cohort Summary'!$F$5:$F$14,MATCH($A1317,'Cohort Summary'!$A$5:$A$14,0)))/INDEX('Cohort Summary'!$G$5:$G$14,MATCH($A1317,'Cohort Summary'!$A$5:$A$14,0))</f>
        <v>-1.12565445026178</v>
      </c>
      <c r="K1317" s="42" t="n">
        <f aca="false">(F1317-INDEX('Cohort Summary'!$H$5:$H$14,MATCH($A1317,'Cohort Summary'!$A$5:$A$14,0)))/INDEX('Cohort Summary'!$I$5:$I$14,MATCH($A1317,'Cohort Summary'!$A$5:$A$14,0))</f>
        <v>-0.94296577946768</v>
      </c>
      <c r="L1317" s="42" t="n">
        <f aca="false">(G1317-INDEX('Cohort Summary'!$J$5:$J$14,MATCH($A1317,'Cohort Summary'!$A$5:$A$14,0)))/INDEX('Cohort Summary'!$K$5:$K$14,MATCH($A1317,'Cohort Summary'!$A$5:$A$14,0))</f>
        <v>1.37704918032786</v>
      </c>
      <c r="M1317" s="42" t="n">
        <f aca="false">MAX(I1317:K1317)</f>
        <v>-0.346020761245675</v>
      </c>
      <c r="N1317" s="27" t="s">
        <v>197</v>
      </c>
      <c r="O1317" s="27"/>
      <c r="P1317" s="27" t="str">
        <f aca="false">A1317&amp;"|"&amp;N1317</f>
        <v>NURSE-07|normal</v>
      </c>
    </row>
    <row r="1318" customFormat="false" ht="15" hidden="false" customHeight="true" outlineLevel="0" collapsed="false">
      <c r="A1318" s="27" t="s">
        <v>95</v>
      </c>
      <c r="B1318" s="41" t="n">
        <v>46303.3319444444</v>
      </c>
      <c r="C1318" s="27" t="s">
        <v>200</v>
      </c>
      <c r="D1318" s="27" t="n">
        <v>43.9</v>
      </c>
      <c r="E1318" s="27" t="n">
        <v>19.7</v>
      </c>
      <c r="F1318" s="27" t="n">
        <v>30.8</v>
      </c>
      <c r="G1318" s="27" t="n">
        <v>32.9</v>
      </c>
      <c r="H1318" s="27" t="s">
        <v>196</v>
      </c>
      <c r="I1318" s="42" t="n">
        <f aca="false">(D1318-INDEX('Cohort Summary'!$D$5:$D$14,MATCH($A1318,'Cohort Summary'!$A$5:$A$14,0)))/INDEX('Cohort Summary'!$E$5:$E$14,MATCH($A1318,'Cohort Summary'!$A$5:$A$14,0))</f>
        <v>-1.41868512110727</v>
      </c>
      <c r="J1318" s="42" t="n">
        <f aca="false">(E1318-INDEX('Cohort Summary'!$F$5:$F$14,MATCH($A1318,'Cohort Summary'!$A$5:$A$14,0)))/INDEX('Cohort Summary'!$G$5:$G$14,MATCH($A1318,'Cohort Summary'!$A$5:$A$14,0))</f>
        <v>0.654450261780105</v>
      </c>
      <c r="K1318" s="42" t="n">
        <f aca="false">(F1318-INDEX('Cohort Summary'!$H$5:$H$14,MATCH($A1318,'Cohort Summary'!$A$5:$A$14,0)))/INDEX('Cohort Summary'!$I$5:$I$14,MATCH($A1318,'Cohort Summary'!$A$5:$A$14,0))</f>
        <v>-1.43726235741445</v>
      </c>
      <c r="L1318" s="42" t="n">
        <f aca="false">(G1318-INDEX('Cohort Summary'!$J$5:$J$14,MATCH($A1318,'Cohort Summary'!$A$5:$A$14,0)))/INDEX('Cohort Summary'!$K$5:$K$14,MATCH($A1318,'Cohort Summary'!$A$5:$A$14,0))</f>
        <v>-0.91803278688525</v>
      </c>
      <c r="M1318" s="42" t="n">
        <f aca="false">MAX(I1318:K1318)</f>
        <v>0.654450261780105</v>
      </c>
      <c r="N1318" s="27" t="s">
        <v>197</v>
      </c>
      <c r="O1318" s="27"/>
      <c r="P1318" s="27" t="str">
        <f aca="false">A1318&amp;"|"&amp;N1318</f>
        <v>NURSE-07|normal</v>
      </c>
    </row>
    <row r="1319" customFormat="false" ht="15" hidden="false" customHeight="true" outlineLevel="0" collapsed="false">
      <c r="A1319" s="27" t="s">
        <v>95</v>
      </c>
      <c r="B1319" s="41" t="n">
        <v>46303.3322916667</v>
      </c>
      <c r="C1319" s="27" t="s">
        <v>200</v>
      </c>
      <c r="D1319" s="27" t="n">
        <v>43.5</v>
      </c>
      <c r="E1319" s="27" t="n">
        <v>21.6</v>
      </c>
      <c r="F1319" s="27" t="n">
        <v>36.3</v>
      </c>
      <c r="G1319" s="27" t="n">
        <v>32.6</v>
      </c>
      <c r="H1319" s="27" t="s">
        <v>199</v>
      </c>
      <c r="I1319" s="42" t="n">
        <f aca="false">(D1319-INDEX('Cohort Summary'!$D$5:$D$14,MATCH($A1319,'Cohort Summary'!$A$5:$A$14,0)))/INDEX('Cohort Summary'!$E$5:$E$14,MATCH($A1319,'Cohort Summary'!$A$5:$A$14,0))</f>
        <v>-1.55709342560554</v>
      </c>
      <c r="J1319" s="42" t="n">
        <f aca="false">(E1319-INDEX('Cohort Summary'!$F$5:$F$14,MATCH($A1319,'Cohort Summary'!$A$5:$A$14,0)))/INDEX('Cohort Summary'!$G$5:$G$14,MATCH($A1319,'Cohort Summary'!$A$5:$A$14,0))</f>
        <v>1.64921465968587</v>
      </c>
      <c r="K1319" s="42" t="n">
        <f aca="false">(F1319-INDEX('Cohort Summary'!$H$5:$H$14,MATCH($A1319,'Cohort Summary'!$A$5:$A$14,0)))/INDEX('Cohort Summary'!$I$5:$I$14,MATCH($A1319,'Cohort Summary'!$A$5:$A$14,0))</f>
        <v>0.653992395437262</v>
      </c>
      <c r="L1319" s="42" t="n">
        <f aca="false">(G1319-INDEX('Cohort Summary'!$J$5:$J$14,MATCH($A1319,'Cohort Summary'!$A$5:$A$14,0)))/INDEX('Cohort Summary'!$K$5:$K$14,MATCH($A1319,'Cohort Summary'!$A$5:$A$14,0))</f>
        <v>-1.40983606557377</v>
      </c>
      <c r="M1319" s="42" t="n">
        <f aca="false">MAX(I1319:K1319)</f>
        <v>1.64921465968587</v>
      </c>
      <c r="N1319" s="27" t="s">
        <v>197</v>
      </c>
      <c r="O1319" s="27"/>
      <c r="P1319" s="27" t="str">
        <f aca="false">A1319&amp;"|"&amp;N1319</f>
        <v>NURSE-07|normal</v>
      </c>
    </row>
    <row r="1320" customFormat="false" ht="15" hidden="false" customHeight="true" outlineLevel="0" collapsed="false">
      <c r="A1320" s="27" t="s">
        <v>95</v>
      </c>
      <c r="B1320" s="41" t="n">
        <v>46303.3326388889</v>
      </c>
      <c r="C1320" s="27" t="s">
        <v>200</v>
      </c>
      <c r="D1320" s="27" t="n">
        <v>46.4</v>
      </c>
      <c r="E1320" s="27" t="n">
        <v>16.7</v>
      </c>
      <c r="F1320" s="27" t="n">
        <v>37.9</v>
      </c>
      <c r="G1320" s="27" t="n">
        <v>33.8</v>
      </c>
      <c r="H1320" s="27" t="s">
        <v>199</v>
      </c>
      <c r="I1320" s="42" t="n">
        <f aca="false">(D1320-INDEX('Cohort Summary'!$D$5:$D$14,MATCH($A1320,'Cohort Summary'!$A$5:$A$14,0)))/INDEX('Cohort Summary'!$E$5:$E$14,MATCH($A1320,'Cohort Summary'!$A$5:$A$14,0))</f>
        <v>-0.55363321799308</v>
      </c>
      <c r="J1320" s="42" t="n">
        <f aca="false">(E1320-INDEX('Cohort Summary'!$F$5:$F$14,MATCH($A1320,'Cohort Summary'!$A$5:$A$14,0)))/INDEX('Cohort Summary'!$G$5:$G$14,MATCH($A1320,'Cohort Summary'!$A$5:$A$14,0))</f>
        <v>-0.916230366492147</v>
      </c>
      <c r="K1320" s="42" t="n">
        <f aca="false">(F1320-INDEX('Cohort Summary'!$H$5:$H$14,MATCH($A1320,'Cohort Summary'!$A$5:$A$14,0)))/INDEX('Cohort Summary'!$I$5:$I$14,MATCH($A1320,'Cohort Summary'!$A$5:$A$14,0))</f>
        <v>1.26235741444867</v>
      </c>
      <c r="L1320" s="42" t="n">
        <f aca="false">(G1320-INDEX('Cohort Summary'!$J$5:$J$14,MATCH($A1320,'Cohort Summary'!$A$5:$A$14,0)))/INDEX('Cohort Summary'!$K$5:$K$14,MATCH($A1320,'Cohort Summary'!$A$5:$A$14,0))</f>
        <v>0.557377049180322</v>
      </c>
      <c r="M1320" s="42" t="n">
        <f aca="false">MAX(I1320:K1320)</f>
        <v>1.26235741444867</v>
      </c>
      <c r="N1320" s="27" t="s">
        <v>197</v>
      </c>
      <c r="O1320" s="27"/>
      <c r="P1320" s="27" t="str">
        <f aca="false">A1320&amp;"|"&amp;N1320</f>
        <v>NURSE-07|normal</v>
      </c>
    </row>
    <row r="1321" customFormat="false" ht="15" hidden="false" customHeight="true" outlineLevel="0" collapsed="false">
      <c r="A1321" s="27" t="s">
        <v>95</v>
      </c>
      <c r="B1321" s="41" t="n">
        <v>46303.3329861111</v>
      </c>
      <c r="C1321" s="27" t="s">
        <v>200</v>
      </c>
      <c r="D1321" s="27" t="n">
        <v>48.3</v>
      </c>
      <c r="E1321" s="27" t="n">
        <v>19.9</v>
      </c>
      <c r="F1321" s="27" t="n">
        <v>31.3</v>
      </c>
      <c r="G1321" s="27" t="n">
        <v>33.2</v>
      </c>
      <c r="H1321" s="27" t="s">
        <v>199</v>
      </c>
      <c r="I1321" s="42" t="n">
        <f aca="false">(D1321-INDEX('Cohort Summary'!$D$5:$D$14,MATCH($A1321,'Cohort Summary'!$A$5:$A$14,0)))/INDEX('Cohort Summary'!$E$5:$E$14,MATCH($A1321,'Cohort Summary'!$A$5:$A$14,0))</f>
        <v>0.103806228373701</v>
      </c>
      <c r="J1321" s="42" t="n">
        <f aca="false">(E1321-INDEX('Cohort Summary'!$F$5:$F$14,MATCH($A1321,'Cohort Summary'!$A$5:$A$14,0)))/INDEX('Cohort Summary'!$G$5:$G$14,MATCH($A1321,'Cohort Summary'!$A$5:$A$14,0))</f>
        <v>0.759162303664921</v>
      </c>
      <c r="K1321" s="42" t="n">
        <f aca="false">(F1321-INDEX('Cohort Summary'!$H$5:$H$14,MATCH($A1321,'Cohort Summary'!$A$5:$A$14,0)))/INDEX('Cohort Summary'!$I$5:$I$14,MATCH($A1321,'Cohort Summary'!$A$5:$A$14,0))</f>
        <v>-1.24714828897338</v>
      </c>
      <c r="L1321" s="42" t="n">
        <f aca="false">(G1321-INDEX('Cohort Summary'!$J$5:$J$14,MATCH($A1321,'Cohort Summary'!$A$5:$A$14,0)))/INDEX('Cohort Summary'!$K$5:$K$14,MATCH($A1321,'Cohort Summary'!$A$5:$A$14,0))</f>
        <v>-0.426229508196718</v>
      </c>
      <c r="M1321" s="42" t="n">
        <f aca="false">MAX(I1321:K1321)</f>
        <v>0.759162303664921</v>
      </c>
      <c r="N1321" s="27" t="s">
        <v>197</v>
      </c>
      <c r="O1321" s="27"/>
      <c r="P1321" s="27" t="str">
        <f aca="false">A1321&amp;"|"&amp;N1321</f>
        <v>NURSE-07|normal</v>
      </c>
    </row>
    <row r="1322" customFormat="false" ht="15" hidden="false" customHeight="true" outlineLevel="0" collapsed="false">
      <c r="A1322" s="27" t="s">
        <v>95</v>
      </c>
      <c r="B1322" s="41" t="n">
        <v>46303.3333333333</v>
      </c>
      <c r="C1322" s="27" t="s">
        <v>200</v>
      </c>
      <c r="D1322" s="27" t="n">
        <v>47.2</v>
      </c>
      <c r="E1322" s="27" t="n">
        <v>17</v>
      </c>
      <c r="F1322" s="27" t="n">
        <v>31.2</v>
      </c>
      <c r="G1322" s="27" t="n">
        <v>33.3</v>
      </c>
      <c r="H1322" s="27" t="s">
        <v>199</v>
      </c>
      <c r="I1322" s="42" t="n">
        <f aca="false">(D1322-INDEX('Cohort Summary'!$D$5:$D$14,MATCH($A1322,'Cohort Summary'!$A$5:$A$14,0)))/INDEX('Cohort Summary'!$E$5:$E$14,MATCH($A1322,'Cohort Summary'!$A$5:$A$14,0))</f>
        <v>-0.276816608996539</v>
      </c>
      <c r="J1322" s="42" t="n">
        <f aca="false">(E1322-INDEX('Cohort Summary'!$F$5:$F$14,MATCH($A1322,'Cohort Summary'!$A$5:$A$14,0)))/INDEX('Cohort Summary'!$G$5:$G$14,MATCH($A1322,'Cohort Summary'!$A$5:$A$14,0))</f>
        <v>-0.759162303664921</v>
      </c>
      <c r="K1322" s="42" t="n">
        <f aca="false">(F1322-INDEX('Cohort Summary'!$H$5:$H$14,MATCH($A1322,'Cohort Summary'!$A$5:$A$14,0)))/INDEX('Cohort Summary'!$I$5:$I$14,MATCH($A1322,'Cohort Summary'!$A$5:$A$14,0))</f>
        <v>-1.2851711026616</v>
      </c>
      <c r="L1322" s="42" t="n">
        <f aca="false">(G1322-INDEX('Cohort Summary'!$J$5:$J$14,MATCH($A1322,'Cohort Summary'!$A$5:$A$14,0)))/INDEX('Cohort Summary'!$K$5:$K$14,MATCH($A1322,'Cohort Summary'!$A$5:$A$14,0))</f>
        <v>-0.262295081967219</v>
      </c>
      <c r="M1322" s="42" t="n">
        <f aca="false">MAX(I1322:K1322)</f>
        <v>-0.276816608996539</v>
      </c>
      <c r="N1322" s="27" t="s">
        <v>197</v>
      </c>
      <c r="O1322" s="27"/>
      <c r="P1322" s="27" t="str">
        <f aca="false">A1322&amp;"|"&amp;N1322</f>
        <v>NURSE-07|normal</v>
      </c>
    </row>
    <row r="1323" customFormat="false" ht="15" hidden="false" customHeight="true" outlineLevel="0" collapsed="false">
      <c r="A1323" s="27" t="s">
        <v>95</v>
      </c>
      <c r="B1323" s="41" t="n">
        <v>46303.3336805556</v>
      </c>
      <c r="C1323" s="27" t="s">
        <v>200</v>
      </c>
      <c r="D1323" s="27" t="n">
        <v>45.8</v>
      </c>
      <c r="E1323" s="27" t="n">
        <v>21</v>
      </c>
      <c r="F1323" s="27" t="n">
        <v>36.4</v>
      </c>
      <c r="G1323" s="27" t="n">
        <v>33.4</v>
      </c>
      <c r="H1323" s="27" t="s">
        <v>199</v>
      </c>
      <c r="I1323" s="42" t="n">
        <f aca="false">(D1323-INDEX('Cohort Summary'!$D$5:$D$14,MATCH($A1323,'Cohort Summary'!$A$5:$A$14,0)))/INDEX('Cohort Summary'!$E$5:$E$14,MATCH($A1323,'Cohort Summary'!$A$5:$A$14,0))</f>
        <v>-0.761245674740485</v>
      </c>
      <c r="J1323" s="42" t="n">
        <f aca="false">(E1323-INDEX('Cohort Summary'!$F$5:$F$14,MATCH($A1323,'Cohort Summary'!$A$5:$A$14,0)))/INDEX('Cohort Summary'!$G$5:$G$14,MATCH($A1323,'Cohort Summary'!$A$5:$A$14,0))</f>
        <v>1.33507853403141</v>
      </c>
      <c r="K1323" s="42" t="n">
        <f aca="false">(F1323-INDEX('Cohort Summary'!$H$5:$H$14,MATCH($A1323,'Cohort Summary'!$A$5:$A$14,0)))/INDEX('Cohort Summary'!$I$5:$I$14,MATCH($A1323,'Cohort Summary'!$A$5:$A$14,0))</f>
        <v>0.692015209125475</v>
      </c>
      <c r="L1323" s="42" t="n">
        <f aca="false">(G1323-INDEX('Cohort Summary'!$J$5:$J$14,MATCH($A1323,'Cohort Summary'!$A$5:$A$14,0)))/INDEX('Cohort Summary'!$K$5:$K$14,MATCH($A1323,'Cohort Summary'!$A$5:$A$14,0))</f>
        <v>-0.0983606557377087</v>
      </c>
      <c r="M1323" s="42" t="n">
        <f aca="false">MAX(I1323:K1323)</f>
        <v>1.33507853403141</v>
      </c>
      <c r="N1323" s="27" t="s">
        <v>197</v>
      </c>
      <c r="O1323" s="27"/>
      <c r="P1323" s="27" t="str">
        <f aca="false">A1323&amp;"|"&amp;N1323</f>
        <v>NURSE-07|normal</v>
      </c>
    </row>
    <row r="1324" customFormat="false" ht="15" hidden="false" customHeight="true" outlineLevel="0" collapsed="false">
      <c r="A1324" s="27" t="s">
        <v>95</v>
      </c>
      <c r="B1324" s="41" t="n">
        <v>46303.3340277778</v>
      </c>
      <c r="C1324" s="27" t="s">
        <v>200</v>
      </c>
      <c r="D1324" s="27" t="n">
        <v>49.2</v>
      </c>
      <c r="E1324" s="27" t="n">
        <v>15.6</v>
      </c>
      <c r="F1324" s="27" t="n">
        <v>31.2</v>
      </c>
      <c r="G1324" s="27" t="n">
        <v>32.5</v>
      </c>
      <c r="H1324" s="27" t="s">
        <v>199</v>
      </c>
      <c r="I1324" s="42" t="n">
        <f aca="false">(D1324-INDEX('Cohort Summary'!$D$5:$D$14,MATCH($A1324,'Cohort Summary'!$A$5:$A$14,0)))/INDEX('Cohort Summary'!$E$5:$E$14,MATCH($A1324,'Cohort Summary'!$A$5:$A$14,0))</f>
        <v>0.415224913494811</v>
      </c>
      <c r="J1324" s="42" t="n">
        <f aca="false">(E1324-INDEX('Cohort Summary'!$F$5:$F$14,MATCH($A1324,'Cohort Summary'!$A$5:$A$14,0)))/INDEX('Cohort Summary'!$G$5:$G$14,MATCH($A1324,'Cohort Summary'!$A$5:$A$14,0))</f>
        <v>-1.49214659685864</v>
      </c>
      <c r="K1324" s="42" t="n">
        <f aca="false">(F1324-INDEX('Cohort Summary'!$H$5:$H$14,MATCH($A1324,'Cohort Summary'!$A$5:$A$14,0)))/INDEX('Cohort Summary'!$I$5:$I$14,MATCH($A1324,'Cohort Summary'!$A$5:$A$14,0))</f>
        <v>-1.2851711026616</v>
      </c>
      <c r="L1324" s="42" t="n">
        <f aca="false">(G1324-INDEX('Cohort Summary'!$J$5:$J$14,MATCH($A1324,'Cohort Summary'!$A$5:$A$14,0)))/INDEX('Cohort Summary'!$K$5:$K$14,MATCH($A1324,'Cohort Summary'!$A$5:$A$14,0))</f>
        <v>-1.57377049180328</v>
      </c>
      <c r="M1324" s="42" t="n">
        <f aca="false">MAX(I1324:K1324)</f>
        <v>0.415224913494811</v>
      </c>
      <c r="N1324" s="27" t="s">
        <v>197</v>
      </c>
      <c r="O1324" s="27"/>
      <c r="P1324" s="27" t="str">
        <f aca="false">A1324&amp;"|"&amp;N1324</f>
        <v>NURSE-07|normal</v>
      </c>
    </row>
    <row r="1325" customFormat="false" ht="15" hidden="false" customHeight="true" outlineLevel="0" collapsed="false">
      <c r="A1325" s="27" t="s">
        <v>95</v>
      </c>
      <c r="B1325" s="41" t="n">
        <v>46303.334375</v>
      </c>
      <c r="C1325" s="27" t="s">
        <v>200</v>
      </c>
      <c r="D1325" s="27" t="n">
        <v>51.6</v>
      </c>
      <c r="E1325" s="27" t="n">
        <v>16.8</v>
      </c>
      <c r="F1325" s="27" t="n">
        <v>32.6</v>
      </c>
      <c r="G1325" s="27" t="n">
        <v>32.6</v>
      </c>
      <c r="H1325" s="27" t="s">
        <v>196</v>
      </c>
      <c r="I1325" s="42" t="n">
        <f aca="false">(D1325-INDEX('Cohort Summary'!$D$5:$D$14,MATCH($A1325,'Cohort Summary'!$A$5:$A$14,0)))/INDEX('Cohort Summary'!$E$5:$E$14,MATCH($A1325,'Cohort Summary'!$A$5:$A$14,0))</f>
        <v>1.24567474048443</v>
      </c>
      <c r="J1325" s="42" t="n">
        <f aca="false">(E1325-INDEX('Cohort Summary'!$F$5:$F$14,MATCH($A1325,'Cohort Summary'!$A$5:$A$14,0)))/INDEX('Cohort Summary'!$G$5:$G$14,MATCH($A1325,'Cohort Summary'!$A$5:$A$14,0))</f>
        <v>-0.863874345549738</v>
      </c>
      <c r="K1325" s="42" t="n">
        <f aca="false">(F1325-INDEX('Cohort Summary'!$H$5:$H$14,MATCH($A1325,'Cohort Summary'!$A$5:$A$14,0)))/INDEX('Cohort Summary'!$I$5:$I$14,MATCH($A1325,'Cohort Summary'!$A$5:$A$14,0))</f>
        <v>-0.752851711026615</v>
      </c>
      <c r="L1325" s="42" t="n">
        <f aca="false">(G1325-INDEX('Cohort Summary'!$J$5:$J$14,MATCH($A1325,'Cohort Summary'!$A$5:$A$14,0)))/INDEX('Cohort Summary'!$K$5:$K$14,MATCH($A1325,'Cohort Summary'!$A$5:$A$14,0))</f>
        <v>-1.40983606557377</v>
      </c>
      <c r="M1325" s="42" t="n">
        <f aca="false">MAX(I1325:K1325)</f>
        <v>1.24567474048443</v>
      </c>
      <c r="N1325" s="27" t="s">
        <v>197</v>
      </c>
      <c r="O1325" s="27"/>
      <c r="P1325" s="27" t="str">
        <f aca="false">A1325&amp;"|"&amp;N1325</f>
        <v>NURSE-07|normal</v>
      </c>
    </row>
    <row r="1326" customFormat="false" ht="15" hidden="false" customHeight="true" outlineLevel="0" collapsed="false">
      <c r="A1326" s="27" t="s">
        <v>95</v>
      </c>
      <c r="B1326" s="41" t="n">
        <v>46303.3347222222</v>
      </c>
      <c r="C1326" s="27" t="s">
        <v>200</v>
      </c>
      <c r="D1326" s="27" t="n">
        <v>50</v>
      </c>
      <c r="E1326" s="27" t="n">
        <v>19.5</v>
      </c>
      <c r="F1326" s="27" t="n">
        <v>35.1</v>
      </c>
      <c r="G1326" s="27" t="n">
        <v>32.8</v>
      </c>
      <c r="H1326" s="27" t="s">
        <v>198</v>
      </c>
      <c r="I1326" s="42" t="n">
        <f aca="false">(D1326-INDEX('Cohort Summary'!$D$5:$D$14,MATCH($A1326,'Cohort Summary'!$A$5:$A$14,0)))/INDEX('Cohort Summary'!$E$5:$E$14,MATCH($A1326,'Cohort Summary'!$A$5:$A$14,0))</f>
        <v>0.692041522491349</v>
      </c>
      <c r="J1326" s="42" t="n">
        <f aca="false">(E1326-INDEX('Cohort Summary'!$F$5:$F$14,MATCH($A1326,'Cohort Summary'!$A$5:$A$14,0)))/INDEX('Cohort Summary'!$G$5:$G$14,MATCH($A1326,'Cohort Summary'!$A$5:$A$14,0))</f>
        <v>0.549738219895288</v>
      </c>
      <c r="K1326" s="42" t="n">
        <f aca="false">(F1326-INDEX('Cohort Summary'!$H$5:$H$14,MATCH($A1326,'Cohort Summary'!$A$5:$A$14,0)))/INDEX('Cohort Summary'!$I$5:$I$14,MATCH($A1326,'Cohort Summary'!$A$5:$A$14,0))</f>
        <v>0.197718631178708</v>
      </c>
      <c r="L1326" s="42" t="n">
        <f aca="false">(G1326-INDEX('Cohort Summary'!$J$5:$J$14,MATCH($A1326,'Cohort Summary'!$A$5:$A$14,0)))/INDEX('Cohort Summary'!$K$5:$K$14,MATCH($A1326,'Cohort Summary'!$A$5:$A$14,0))</f>
        <v>-1.08196721311476</v>
      </c>
      <c r="M1326" s="42" t="n">
        <f aca="false">MAX(I1326:K1326)</f>
        <v>0.692041522491349</v>
      </c>
      <c r="N1326" s="27" t="s">
        <v>197</v>
      </c>
      <c r="O1326" s="27"/>
      <c r="P1326" s="27" t="str">
        <f aca="false">A1326&amp;"|"&amp;N1326</f>
        <v>NURSE-07|normal</v>
      </c>
    </row>
    <row r="1327" customFormat="false" ht="15" hidden="false" customHeight="true" outlineLevel="0" collapsed="false">
      <c r="A1327" s="27" t="s">
        <v>95</v>
      </c>
      <c r="B1327" s="41" t="n">
        <v>46303.3350694445</v>
      </c>
      <c r="C1327" s="27" t="s">
        <v>200</v>
      </c>
      <c r="D1327" s="27" t="n">
        <v>47.8</v>
      </c>
      <c r="E1327" s="27" t="n">
        <v>17.7</v>
      </c>
      <c r="F1327" s="27" t="n">
        <v>38.4</v>
      </c>
      <c r="G1327" s="27" t="n">
        <v>34.2</v>
      </c>
      <c r="H1327" s="27" t="s">
        <v>199</v>
      </c>
      <c r="I1327" s="42" t="n">
        <f aca="false">(D1327-INDEX('Cohort Summary'!$D$5:$D$14,MATCH($A1327,'Cohort Summary'!$A$5:$A$14,0)))/INDEX('Cohort Summary'!$E$5:$E$14,MATCH($A1327,'Cohort Summary'!$A$5:$A$14,0))</f>
        <v>-0.0692041522491359</v>
      </c>
      <c r="J1327" s="42" t="n">
        <f aca="false">(E1327-INDEX('Cohort Summary'!$F$5:$F$14,MATCH($A1327,'Cohort Summary'!$A$5:$A$14,0)))/INDEX('Cohort Summary'!$G$5:$G$14,MATCH($A1327,'Cohort Summary'!$A$5:$A$14,0))</f>
        <v>-0.392670157068063</v>
      </c>
      <c r="K1327" s="42" t="n">
        <f aca="false">(F1327-INDEX('Cohort Summary'!$H$5:$H$14,MATCH($A1327,'Cohort Summary'!$A$5:$A$14,0)))/INDEX('Cohort Summary'!$I$5:$I$14,MATCH($A1327,'Cohort Summary'!$A$5:$A$14,0))</f>
        <v>1.45247148288973</v>
      </c>
      <c r="L1327" s="42" t="n">
        <f aca="false">(G1327-INDEX('Cohort Summary'!$J$5:$J$14,MATCH($A1327,'Cohort Summary'!$A$5:$A$14,0)))/INDEX('Cohort Summary'!$K$5:$K$14,MATCH($A1327,'Cohort Summary'!$A$5:$A$14,0))</f>
        <v>1.21311475409836</v>
      </c>
      <c r="M1327" s="42" t="n">
        <f aca="false">MAX(I1327:K1327)</f>
        <v>1.45247148288973</v>
      </c>
      <c r="N1327" s="27" t="s">
        <v>197</v>
      </c>
      <c r="O1327" s="27"/>
      <c r="P1327" s="27" t="str">
        <f aca="false">A1327&amp;"|"&amp;N1327</f>
        <v>NURSE-07|normal</v>
      </c>
    </row>
    <row r="1328" customFormat="false" ht="15" hidden="false" customHeight="true" outlineLevel="0" collapsed="false">
      <c r="A1328" s="27" t="s">
        <v>95</v>
      </c>
      <c r="B1328" s="41" t="n">
        <v>46303.3354166667</v>
      </c>
      <c r="C1328" s="27" t="s">
        <v>200</v>
      </c>
      <c r="D1328" s="27" t="n">
        <v>49.4</v>
      </c>
      <c r="E1328" s="27" t="n">
        <v>18.9</v>
      </c>
      <c r="F1328" s="27" t="n">
        <v>37.2</v>
      </c>
      <c r="G1328" s="27" t="n">
        <v>32.6</v>
      </c>
      <c r="H1328" s="27" t="s">
        <v>199</v>
      </c>
      <c r="I1328" s="42" t="n">
        <f aca="false">(D1328-INDEX('Cohort Summary'!$D$5:$D$14,MATCH($A1328,'Cohort Summary'!$A$5:$A$14,0)))/INDEX('Cohort Summary'!$E$5:$E$14,MATCH($A1328,'Cohort Summary'!$A$5:$A$14,0))</f>
        <v>0.484429065743944</v>
      </c>
      <c r="J1328" s="42" t="n">
        <f aca="false">(E1328-INDEX('Cohort Summary'!$F$5:$F$14,MATCH($A1328,'Cohort Summary'!$A$5:$A$14,0)))/INDEX('Cohort Summary'!$G$5:$G$14,MATCH($A1328,'Cohort Summary'!$A$5:$A$14,0))</f>
        <v>0.235602094240837</v>
      </c>
      <c r="K1328" s="42" t="n">
        <f aca="false">(F1328-INDEX('Cohort Summary'!$H$5:$H$14,MATCH($A1328,'Cohort Summary'!$A$5:$A$14,0)))/INDEX('Cohort Summary'!$I$5:$I$14,MATCH($A1328,'Cohort Summary'!$A$5:$A$14,0))</f>
        <v>0.996197718631181</v>
      </c>
      <c r="L1328" s="42" t="n">
        <f aca="false">(G1328-INDEX('Cohort Summary'!$J$5:$J$14,MATCH($A1328,'Cohort Summary'!$A$5:$A$14,0)))/INDEX('Cohort Summary'!$K$5:$K$14,MATCH($A1328,'Cohort Summary'!$A$5:$A$14,0))</f>
        <v>-1.40983606557377</v>
      </c>
      <c r="M1328" s="42" t="n">
        <f aca="false">MAX(I1328:K1328)</f>
        <v>0.996197718631181</v>
      </c>
      <c r="N1328" s="27" t="s">
        <v>197</v>
      </c>
      <c r="O1328" s="27"/>
      <c r="P1328" s="27" t="str">
        <f aca="false">A1328&amp;"|"&amp;N1328</f>
        <v>NURSE-07|normal</v>
      </c>
    </row>
    <row r="1329" customFormat="false" ht="15" hidden="false" customHeight="true" outlineLevel="0" collapsed="false">
      <c r="A1329" s="27" t="s">
        <v>95</v>
      </c>
      <c r="B1329" s="41" t="n">
        <v>46303.3357638889</v>
      </c>
      <c r="C1329" s="27" t="s">
        <v>200</v>
      </c>
      <c r="D1329" s="27" t="n">
        <v>49.6</v>
      </c>
      <c r="E1329" s="27" t="n">
        <v>17.2</v>
      </c>
      <c r="F1329" s="27" t="n">
        <v>35.1</v>
      </c>
      <c r="G1329" s="27" t="n">
        <v>33</v>
      </c>
      <c r="H1329" s="27" t="s">
        <v>199</v>
      </c>
      <c r="I1329" s="42" t="n">
        <f aca="false">(D1329-INDEX('Cohort Summary'!$D$5:$D$14,MATCH($A1329,'Cohort Summary'!$A$5:$A$14,0)))/INDEX('Cohort Summary'!$E$5:$E$14,MATCH($A1329,'Cohort Summary'!$A$5:$A$14,0))</f>
        <v>0.55363321799308</v>
      </c>
      <c r="J1329" s="42" t="n">
        <f aca="false">(E1329-INDEX('Cohort Summary'!$F$5:$F$14,MATCH($A1329,'Cohort Summary'!$A$5:$A$14,0)))/INDEX('Cohort Summary'!$G$5:$G$14,MATCH($A1329,'Cohort Summary'!$A$5:$A$14,0))</f>
        <v>-0.654450261780105</v>
      </c>
      <c r="K1329" s="42" t="n">
        <f aca="false">(F1329-INDEX('Cohort Summary'!$H$5:$H$14,MATCH($A1329,'Cohort Summary'!$A$5:$A$14,0)))/INDEX('Cohort Summary'!$I$5:$I$14,MATCH($A1329,'Cohort Summary'!$A$5:$A$14,0))</f>
        <v>0.197718631178708</v>
      </c>
      <c r="L1329" s="42" t="n">
        <f aca="false">(G1329-INDEX('Cohort Summary'!$J$5:$J$14,MATCH($A1329,'Cohort Summary'!$A$5:$A$14,0)))/INDEX('Cohort Summary'!$K$5:$K$14,MATCH($A1329,'Cohort Summary'!$A$5:$A$14,0))</f>
        <v>-0.754098360655739</v>
      </c>
      <c r="M1329" s="42" t="n">
        <f aca="false">MAX(I1329:K1329)</f>
        <v>0.55363321799308</v>
      </c>
      <c r="N1329" s="27" t="s">
        <v>197</v>
      </c>
      <c r="O1329" s="27"/>
      <c r="P1329" s="27" t="str">
        <f aca="false">A1329&amp;"|"&amp;N1329</f>
        <v>NURSE-07|normal</v>
      </c>
    </row>
    <row r="1330" customFormat="false" ht="15" hidden="false" customHeight="true" outlineLevel="0" collapsed="false">
      <c r="A1330" s="27" t="s">
        <v>95</v>
      </c>
      <c r="B1330" s="41" t="n">
        <v>46303.3361111111</v>
      </c>
      <c r="C1330" s="27" t="s">
        <v>200</v>
      </c>
      <c r="D1330" s="27" t="n">
        <v>51.3</v>
      </c>
      <c r="E1330" s="27" t="n">
        <v>17</v>
      </c>
      <c r="F1330" s="27" t="n">
        <v>38.7</v>
      </c>
      <c r="G1330" s="27" t="n">
        <v>33.9</v>
      </c>
      <c r="H1330" s="27" t="s">
        <v>196</v>
      </c>
      <c r="I1330" s="42" t="n">
        <f aca="false">(D1330-INDEX('Cohort Summary'!$D$5:$D$14,MATCH($A1330,'Cohort Summary'!$A$5:$A$14,0)))/INDEX('Cohort Summary'!$E$5:$E$14,MATCH($A1330,'Cohort Summary'!$A$5:$A$14,0))</f>
        <v>1.14186851211073</v>
      </c>
      <c r="J1330" s="42" t="n">
        <f aca="false">(E1330-INDEX('Cohort Summary'!$F$5:$F$14,MATCH($A1330,'Cohort Summary'!$A$5:$A$14,0)))/INDEX('Cohort Summary'!$G$5:$G$14,MATCH($A1330,'Cohort Summary'!$A$5:$A$14,0))</f>
        <v>-0.759162303664921</v>
      </c>
      <c r="K1330" s="42" t="n">
        <f aca="false">(F1330-INDEX('Cohort Summary'!$H$5:$H$14,MATCH($A1330,'Cohort Summary'!$A$5:$A$14,0)))/INDEX('Cohort Summary'!$I$5:$I$14,MATCH($A1330,'Cohort Summary'!$A$5:$A$14,0))</f>
        <v>1.56653992395437</v>
      </c>
      <c r="L1330" s="42" t="n">
        <f aca="false">(G1330-INDEX('Cohort Summary'!$J$5:$J$14,MATCH($A1330,'Cohort Summary'!$A$5:$A$14,0)))/INDEX('Cohort Summary'!$K$5:$K$14,MATCH($A1330,'Cohort Summary'!$A$5:$A$14,0))</f>
        <v>0.721311475409832</v>
      </c>
      <c r="M1330" s="42" t="n">
        <f aca="false">MAX(I1330:K1330)</f>
        <v>1.56653992395437</v>
      </c>
      <c r="N1330" s="27" t="s">
        <v>197</v>
      </c>
      <c r="O1330" s="27"/>
      <c r="P1330" s="27" t="str">
        <f aca="false">A1330&amp;"|"&amp;N1330</f>
        <v>NURSE-07|normal</v>
      </c>
    </row>
    <row r="1331" customFormat="false" ht="15" hidden="false" customHeight="true" outlineLevel="0" collapsed="false">
      <c r="A1331" s="27" t="s">
        <v>95</v>
      </c>
      <c r="B1331" s="41" t="n">
        <v>46303.3364583333</v>
      </c>
      <c r="C1331" s="27" t="s">
        <v>200</v>
      </c>
      <c r="D1331" s="27" t="n">
        <v>47.8</v>
      </c>
      <c r="E1331" s="27" t="n">
        <v>21.8</v>
      </c>
      <c r="F1331" s="27" t="n">
        <v>31.4</v>
      </c>
      <c r="G1331" s="27" t="n">
        <v>34.2</v>
      </c>
      <c r="H1331" s="27" t="s">
        <v>196</v>
      </c>
      <c r="I1331" s="42" t="n">
        <f aca="false">(D1331-INDEX('Cohort Summary'!$D$5:$D$14,MATCH($A1331,'Cohort Summary'!$A$5:$A$14,0)))/INDEX('Cohort Summary'!$E$5:$E$14,MATCH($A1331,'Cohort Summary'!$A$5:$A$14,0))</f>
        <v>-0.0692041522491359</v>
      </c>
      <c r="J1331" s="42" t="n">
        <f aca="false">(E1331-INDEX('Cohort Summary'!$F$5:$F$14,MATCH($A1331,'Cohort Summary'!$A$5:$A$14,0)))/INDEX('Cohort Summary'!$G$5:$G$14,MATCH($A1331,'Cohort Summary'!$A$5:$A$14,0))</f>
        <v>1.75392670157068</v>
      </c>
      <c r="K1331" s="42" t="n">
        <f aca="false">(F1331-INDEX('Cohort Summary'!$H$5:$H$14,MATCH($A1331,'Cohort Summary'!$A$5:$A$14,0)))/INDEX('Cohort Summary'!$I$5:$I$14,MATCH($A1331,'Cohort Summary'!$A$5:$A$14,0))</f>
        <v>-1.20912547528517</v>
      </c>
      <c r="L1331" s="42" t="n">
        <f aca="false">(G1331-INDEX('Cohort Summary'!$J$5:$J$14,MATCH($A1331,'Cohort Summary'!$A$5:$A$14,0)))/INDEX('Cohort Summary'!$K$5:$K$14,MATCH($A1331,'Cohort Summary'!$A$5:$A$14,0))</f>
        <v>1.21311475409836</v>
      </c>
      <c r="M1331" s="42" t="n">
        <f aca="false">MAX(I1331:K1331)</f>
        <v>1.75392670157068</v>
      </c>
      <c r="N1331" s="27" t="s">
        <v>197</v>
      </c>
      <c r="O1331" s="27"/>
      <c r="P1331" s="27" t="str">
        <f aca="false">A1331&amp;"|"&amp;N1331</f>
        <v>NURSE-07|normal</v>
      </c>
    </row>
    <row r="1332" customFormat="false" ht="15" hidden="false" customHeight="true" outlineLevel="0" collapsed="false">
      <c r="A1332" s="27" t="s">
        <v>95</v>
      </c>
      <c r="B1332" s="41" t="n">
        <v>46303.3368055556</v>
      </c>
      <c r="C1332" s="27" t="s">
        <v>200</v>
      </c>
      <c r="D1332" s="27" t="n">
        <v>48</v>
      </c>
      <c r="E1332" s="27" t="n">
        <v>15.1</v>
      </c>
      <c r="F1332" s="27" t="n">
        <v>37.1</v>
      </c>
      <c r="G1332" s="27" t="n">
        <v>34</v>
      </c>
      <c r="H1332" s="27" t="s">
        <v>199</v>
      </c>
      <c r="I1332" s="42" t="n">
        <f aca="false">(D1332-INDEX('Cohort Summary'!$D$5:$D$14,MATCH($A1332,'Cohort Summary'!$A$5:$A$14,0)))/INDEX('Cohort Summary'!$E$5:$E$14,MATCH($A1332,'Cohort Summary'!$A$5:$A$14,0))</f>
        <v>0</v>
      </c>
      <c r="J1332" s="42" t="n">
        <f aca="false">(E1332-INDEX('Cohort Summary'!$F$5:$F$14,MATCH($A1332,'Cohort Summary'!$A$5:$A$14,0)))/INDEX('Cohort Summary'!$G$5:$G$14,MATCH($A1332,'Cohort Summary'!$A$5:$A$14,0))</f>
        <v>-1.75392670157068</v>
      </c>
      <c r="K1332" s="42" t="n">
        <f aca="false">(F1332-INDEX('Cohort Summary'!$H$5:$H$14,MATCH($A1332,'Cohort Summary'!$A$5:$A$14,0)))/INDEX('Cohort Summary'!$I$5:$I$14,MATCH($A1332,'Cohort Summary'!$A$5:$A$14,0))</f>
        <v>0.958174904942967</v>
      </c>
      <c r="L1332" s="42" t="n">
        <f aca="false">(G1332-INDEX('Cohort Summary'!$J$5:$J$14,MATCH($A1332,'Cohort Summary'!$A$5:$A$14,0)))/INDEX('Cohort Summary'!$K$5:$K$14,MATCH($A1332,'Cohort Summary'!$A$5:$A$14,0))</f>
        <v>0.885245901639343</v>
      </c>
      <c r="M1332" s="42" t="n">
        <f aca="false">MAX(I1332:K1332)</f>
        <v>0.958174904942967</v>
      </c>
      <c r="N1332" s="27" t="s">
        <v>197</v>
      </c>
      <c r="O1332" s="27"/>
      <c r="P1332" s="27" t="str">
        <f aca="false">A1332&amp;"|"&amp;N1332</f>
        <v>NURSE-07|normal</v>
      </c>
    </row>
    <row r="1333" customFormat="false" ht="15" hidden="false" customHeight="true" outlineLevel="0" collapsed="false">
      <c r="A1333" s="27" t="s">
        <v>95</v>
      </c>
      <c r="B1333" s="41" t="n">
        <v>46303.3371527778</v>
      </c>
      <c r="C1333" s="27" t="s">
        <v>200</v>
      </c>
      <c r="D1333" s="27" t="n">
        <v>51.5</v>
      </c>
      <c r="E1333" s="27" t="n">
        <v>20.7</v>
      </c>
      <c r="F1333" s="27" t="n">
        <v>33.7</v>
      </c>
      <c r="G1333" s="27" t="n">
        <v>34.1</v>
      </c>
      <c r="H1333" s="27" t="s">
        <v>198</v>
      </c>
      <c r="I1333" s="42" t="n">
        <f aca="false">(D1333-INDEX('Cohort Summary'!$D$5:$D$14,MATCH($A1333,'Cohort Summary'!$A$5:$A$14,0)))/INDEX('Cohort Summary'!$E$5:$E$14,MATCH($A1333,'Cohort Summary'!$A$5:$A$14,0))</f>
        <v>1.21107266435986</v>
      </c>
      <c r="J1333" s="42" t="n">
        <f aca="false">(E1333-INDEX('Cohort Summary'!$F$5:$F$14,MATCH($A1333,'Cohort Summary'!$A$5:$A$14,0)))/INDEX('Cohort Summary'!$G$5:$G$14,MATCH($A1333,'Cohort Summary'!$A$5:$A$14,0))</f>
        <v>1.17801047120419</v>
      </c>
      <c r="K1333" s="42" t="n">
        <f aca="false">(F1333-INDEX('Cohort Summary'!$H$5:$H$14,MATCH($A1333,'Cohort Summary'!$A$5:$A$14,0)))/INDEX('Cohort Summary'!$I$5:$I$14,MATCH($A1333,'Cohort Summary'!$A$5:$A$14,0))</f>
        <v>-0.334600760456272</v>
      </c>
      <c r="L1333" s="42" t="n">
        <f aca="false">(G1333-INDEX('Cohort Summary'!$J$5:$J$14,MATCH($A1333,'Cohort Summary'!$A$5:$A$14,0)))/INDEX('Cohort Summary'!$K$5:$K$14,MATCH($A1333,'Cohort Summary'!$A$5:$A$14,0))</f>
        <v>1.04918032786885</v>
      </c>
      <c r="M1333" s="42" t="n">
        <f aca="false">MAX(I1333:K1333)</f>
        <v>1.21107266435986</v>
      </c>
      <c r="N1333" s="27" t="s">
        <v>197</v>
      </c>
      <c r="O1333" s="27"/>
      <c r="P1333" s="27" t="str">
        <f aca="false">A1333&amp;"|"&amp;N1333</f>
        <v>NURSE-07|normal</v>
      </c>
    </row>
    <row r="1334" customFormat="false" ht="15" hidden="false" customHeight="true" outlineLevel="0" collapsed="false">
      <c r="A1334" s="27" t="s">
        <v>95</v>
      </c>
      <c r="B1334" s="41" t="n">
        <v>46303.3375</v>
      </c>
      <c r="C1334" s="27" t="s">
        <v>200</v>
      </c>
      <c r="D1334" s="27" t="n">
        <v>47.3</v>
      </c>
      <c r="E1334" s="27" t="n">
        <v>15.1</v>
      </c>
      <c r="F1334" s="27" t="n">
        <v>40</v>
      </c>
      <c r="G1334" s="27" t="n">
        <v>33.9</v>
      </c>
      <c r="H1334" s="27" t="s">
        <v>196</v>
      </c>
      <c r="I1334" s="42" t="n">
        <f aca="false">(D1334-INDEX('Cohort Summary'!$D$5:$D$14,MATCH($A1334,'Cohort Summary'!$A$5:$A$14,0)))/INDEX('Cohort Summary'!$E$5:$E$14,MATCH($A1334,'Cohort Summary'!$A$5:$A$14,0))</f>
        <v>-0.242214532871973</v>
      </c>
      <c r="J1334" s="42" t="n">
        <f aca="false">(E1334-INDEX('Cohort Summary'!$F$5:$F$14,MATCH($A1334,'Cohort Summary'!$A$5:$A$14,0)))/INDEX('Cohort Summary'!$G$5:$G$14,MATCH($A1334,'Cohort Summary'!$A$5:$A$14,0))</f>
        <v>-1.75392670157068</v>
      </c>
      <c r="K1334" s="42" t="n">
        <f aca="false">(F1334-INDEX('Cohort Summary'!$H$5:$H$14,MATCH($A1334,'Cohort Summary'!$A$5:$A$14,0)))/INDEX('Cohort Summary'!$I$5:$I$14,MATCH($A1334,'Cohort Summary'!$A$5:$A$14,0))</f>
        <v>2.06083650190114</v>
      </c>
      <c r="L1334" s="42" t="n">
        <f aca="false">(G1334-INDEX('Cohort Summary'!$J$5:$J$14,MATCH($A1334,'Cohort Summary'!$A$5:$A$14,0)))/INDEX('Cohort Summary'!$K$5:$K$14,MATCH($A1334,'Cohort Summary'!$A$5:$A$14,0))</f>
        <v>0.721311475409832</v>
      </c>
      <c r="M1334" s="42" t="n">
        <f aca="false">MAX(I1334:K1334)</f>
        <v>2.06083650190114</v>
      </c>
      <c r="N1334" s="27" t="s">
        <v>201</v>
      </c>
      <c r="O1334" s="27" t="s">
        <v>259</v>
      </c>
      <c r="P1334" s="27" t="str">
        <f aca="false">A1334&amp;"|"&amp;N1334</f>
        <v>NURSE-07|caution</v>
      </c>
    </row>
    <row r="1335" customFormat="false" ht="15" hidden="false" customHeight="true" outlineLevel="0" collapsed="false">
      <c r="A1335" s="27" t="s">
        <v>95</v>
      </c>
      <c r="B1335" s="41" t="n">
        <v>46303.3378472222</v>
      </c>
      <c r="C1335" s="27" t="s">
        <v>200</v>
      </c>
      <c r="D1335" s="27" t="n">
        <v>51</v>
      </c>
      <c r="E1335" s="27" t="n">
        <v>20.1</v>
      </c>
      <c r="F1335" s="27" t="n">
        <v>30.9</v>
      </c>
      <c r="G1335" s="27" t="n">
        <v>34.4</v>
      </c>
      <c r="H1335" s="27" t="s">
        <v>198</v>
      </c>
      <c r="I1335" s="42" t="n">
        <f aca="false">(D1335-INDEX('Cohort Summary'!$D$5:$D$14,MATCH($A1335,'Cohort Summary'!$A$5:$A$14,0)))/INDEX('Cohort Summary'!$E$5:$E$14,MATCH($A1335,'Cohort Summary'!$A$5:$A$14,0))</f>
        <v>1.03806228373702</v>
      </c>
      <c r="J1335" s="42" t="n">
        <f aca="false">(E1335-INDEX('Cohort Summary'!$F$5:$F$14,MATCH($A1335,'Cohort Summary'!$A$5:$A$14,0)))/INDEX('Cohort Summary'!$G$5:$G$14,MATCH($A1335,'Cohort Summary'!$A$5:$A$14,0))</f>
        <v>0.863874345549739</v>
      </c>
      <c r="K1335" s="42" t="n">
        <f aca="false">(F1335-INDEX('Cohort Summary'!$H$5:$H$14,MATCH($A1335,'Cohort Summary'!$A$5:$A$14,0)))/INDEX('Cohort Summary'!$I$5:$I$14,MATCH($A1335,'Cohort Summary'!$A$5:$A$14,0))</f>
        <v>-1.39923954372624</v>
      </c>
      <c r="L1335" s="42" t="n">
        <f aca="false">(G1335-INDEX('Cohort Summary'!$J$5:$J$14,MATCH($A1335,'Cohort Summary'!$A$5:$A$14,0)))/INDEX('Cohort Summary'!$K$5:$K$14,MATCH($A1335,'Cohort Summary'!$A$5:$A$14,0))</f>
        <v>1.54098360655737</v>
      </c>
      <c r="M1335" s="42" t="n">
        <f aca="false">MAX(I1335:K1335)</f>
        <v>1.03806228373702</v>
      </c>
      <c r="N1335" s="27" t="s">
        <v>197</v>
      </c>
      <c r="O1335" s="27"/>
      <c r="P1335" s="27" t="str">
        <f aca="false">A1335&amp;"|"&amp;N1335</f>
        <v>NURSE-07|normal</v>
      </c>
    </row>
    <row r="1336" customFormat="false" ht="15" hidden="false" customHeight="true" outlineLevel="0" collapsed="false">
      <c r="A1336" s="27" t="s">
        <v>95</v>
      </c>
      <c r="B1336" s="41" t="n">
        <v>46303.3381944444</v>
      </c>
      <c r="C1336" s="27" t="s">
        <v>200</v>
      </c>
      <c r="D1336" s="27" t="n">
        <v>46.1</v>
      </c>
      <c r="E1336" s="27" t="n">
        <v>16.4</v>
      </c>
      <c r="F1336" s="27" t="n">
        <v>33.7</v>
      </c>
      <c r="G1336" s="27" t="n">
        <v>33.7</v>
      </c>
      <c r="H1336" s="27" t="s">
        <v>196</v>
      </c>
      <c r="I1336" s="42" t="n">
        <f aca="false">(D1336-INDEX('Cohort Summary'!$D$5:$D$14,MATCH($A1336,'Cohort Summary'!$A$5:$A$14,0)))/INDEX('Cohort Summary'!$E$5:$E$14,MATCH($A1336,'Cohort Summary'!$A$5:$A$14,0))</f>
        <v>-0.657439446366782</v>
      </c>
      <c r="J1336" s="42" t="n">
        <f aca="false">(E1336-INDEX('Cohort Summary'!$F$5:$F$14,MATCH($A1336,'Cohort Summary'!$A$5:$A$14,0)))/INDEX('Cohort Summary'!$G$5:$G$14,MATCH($A1336,'Cohort Summary'!$A$5:$A$14,0))</f>
        <v>-1.07329842931937</v>
      </c>
      <c r="K1336" s="42" t="n">
        <f aca="false">(F1336-INDEX('Cohort Summary'!$H$5:$H$14,MATCH($A1336,'Cohort Summary'!$A$5:$A$14,0)))/INDEX('Cohort Summary'!$I$5:$I$14,MATCH($A1336,'Cohort Summary'!$A$5:$A$14,0))</f>
        <v>-0.334600760456272</v>
      </c>
      <c r="L1336" s="42" t="n">
        <f aca="false">(G1336-INDEX('Cohort Summary'!$J$5:$J$14,MATCH($A1336,'Cohort Summary'!$A$5:$A$14,0)))/INDEX('Cohort Summary'!$K$5:$K$14,MATCH($A1336,'Cohort Summary'!$A$5:$A$14,0))</f>
        <v>0.393442622950823</v>
      </c>
      <c r="M1336" s="42" t="n">
        <f aca="false">MAX(I1336:K1336)</f>
        <v>-0.334600760456272</v>
      </c>
      <c r="N1336" s="27" t="s">
        <v>197</v>
      </c>
      <c r="O1336" s="27"/>
      <c r="P1336" s="27" t="str">
        <f aca="false">A1336&amp;"|"&amp;N1336</f>
        <v>NURSE-07|normal</v>
      </c>
    </row>
    <row r="1337" customFormat="false" ht="15" hidden="false" customHeight="true" outlineLevel="0" collapsed="false">
      <c r="A1337" s="27" t="s">
        <v>95</v>
      </c>
      <c r="B1337" s="41" t="n">
        <v>46303.3385416667</v>
      </c>
      <c r="C1337" s="27" t="s">
        <v>200</v>
      </c>
      <c r="D1337" s="27" t="n">
        <v>52.5</v>
      </c>
      <c r="E1337" s="27" t="n">
        <v>19.4</v>
      </c>
      <c r="F1337" s="27" t="n">
        <v>33.7</v>
      </c>
      <c r="G1337" s="27" t="n">
        <v>32.6</v>
      </c>
      <c r="H1337" s="27" t="s">
        <v>198</v>
      </c>
      <c r="I1337" s="42" t="n">
        <f aca="false">(D1337-INDEX('Cohort Summary'!$D$5:$D$14,MATCH($A1337,'Cohort Summary'!$A$5:$A$14,0)))/INDEX('Cohort Summary'!$E$5:$E$14,MATCH($A1337,'Cohort Summary'!$A$5:$A$14,0))</f>
        <v>1.55709342560554</v>
      </c>
      <c r="J1337" s="42" t="n">
        <f aca="false">(E1337-INDEX('Cohort Summary'!$F$5:$F$14,MATCH($A1337,'Cohort Summary'!$A$5:$A$14,0)))/INDEX('Cohort Summary'!$G$5:$G$14,MATCH($A1337,'Cohort Summary'!$A$5:$A$14,0))</f>
        <v>0.497382198952879</v>
      </c>
      <c r="K1337" s="42" t="n">
        <f aca="false">(F1337-INDEX('Cohort Summary'!$H$5:$H$14,MATCH($A1337,'Cohort Summary'!$A$5:$A$14,0)))/INDEX('Cohort Summary'!$I$5:$I$14,MATCH($A1337,'Cohort Summary'!$A$5:$A$14,0))</f>
        <v>-0.334600760456272</v>
      </c>
      <c r="L1337" s="42" t="n">
        <f aca="false">(G1337-INDEX('Cohort Summary'!$J$5:$J$14,MATCH($A1337,'Cohort Summary'!$A$5:$A$14,0)))/INDEX('Cohort Summary'!$K$5:$K$14,MATCH($A1337,'Cohort Summary'!$A$5:$A$14,0))</f>
        <v>-1.40983606557377</v>
      </c>
      <c r="M1337" s="42" t="n">
        <f aca="false">MAX(I1337:K1337)</f>
        <v>1.55709342560554</v>
      </c>
      <c r="N1337" s="27" t="s">
        <v>197</v>
      </c>
      <c r="O1337" s="27"/>
      <c r="P1337" s="27" t="str">
        <f aca="false">A1337&amp;"|"&amp;N1337</f>
        <v>NURSE-07|normal</v>
      </c>
    </row>
    <row r="1338" customFormat="false" ht="15" hidden="false" customHeight="true" outlineLevel="0" collapsed="false">
      <c r="A1338" s="27" t="s">
        <v>95</v>
      </c>
      <c r="B1338" s="41" t="n">
        <v>46303.3388888889</v>
      </c>
      <c r="C1338" s="27" t="s">
        <v>200</v>
      </c>
      <c r="D1338" s="27" t="n">
        <v>46.1</v>
      </c>
      <c r="E1338" s="27" t="n">
        <v>15.8</v>
      </c>
      <c r="F1338" s="27" t="n">
        <v>37.5</v>
      </c>
      <c r="G1338" s="27" t="n">
        <v>33.9</v>
      </c>
      <c r="H1338" s="27" t="s">
        <v>199</v>
      </c>
      <c r="I1338" s="42" t="n">
        <f aca="false">(D1338-INDEX('Cohort Summary'!$D$5:$D$14,MATCH($A1338,'Cohort Summary'!$A$5:$A$14,0)))/INDEX('Cohort Summary'!$E$5:$E$14,MATCH($A1338,'Cohort Summary'!$A$5:$A$14,0))</f>
        <v>-0.657439446366782</v>
      </c>
      <c r="J1338" s="42" t="n">
        <f aca="false">(E1338-INDEX('Cohort Summary'!$F$5:$F$14,MATCH($A1338,'Cohort Summary'!$A$5:$A$14,0)))/INDEX('Cohort Summary'!$G$5:$G$14,MATCH($A1338,'Cohort Summary'!$A$5:$A$14,0))</f>
        <v>-1.38743455497382</v>
      </c>
      <c r="K1338" s="42" t="n">
        <f aca="false">(F1338-INDEX('Cohort Summary'!$H$5:$H$14,MATCH($A1338,'Cohort Summary'!$A$5:$A$14,0)))/INDEX('Cohort Summary'!$I$5:$I$14,MATCH($A1338,'Cohort Summary'!$A$5:$A$14,0))</f>
        <v>1.11026615969582</v>
      </c>
      <c r="L1338" s="42" t="n">
        <f aca="false">(G1338-INDEX('Cohort Summary'!$J$5:$J$14,MATCH($A1338,'Cohort Summary'!$A$5:$A$14,0)))/INDEX('Cohort Summary'!$K$5:$K$14,MATCH($A1338,'Cohort Summary'!$A$5:$A$14,0))</f>
        <v>0.721311475409832</v>
      </c>
      <c r="M1338" s="42" t="n">
        <f aca="false">MAX(I1338:K1338)</f>
        <v>1.11026615969582</v>
      </c>
      <c r="N1338" s="27" t="s">
        <v>197</v>
      </c>
      <c r="O1338" s="27"/>
      <c r="P1338" s="27" t="str">
        <f aca="false">A1338&amp;"|"&amp;N1338</f>
        <v>NURSE-07|normal</v>
      </c>
    </row>
    <row r="1339" customFormat="false" ht="15" hidden="false" customHeight="true" outlineLevel="0" collapsed="false">
      <c r="A1339" s="27" t="s">
        <v>95</v>
      </c>
      <c r="B1339" s="41" t="n">
        <v>46303.3392361111</v>
      </c>
      <c r="C1339" s="27" t="s">
        <v>200</v>
      </c>
      <c r="D1339" s="27" t="n">
        <v>49.6</v>
      </c>
      <c r="E1339" s="27" t="n">
        <v>19</v>
      </c>
      <c r="F1339" s="27" t="n">
        <v>36.3</v>
      </c>
      <c r="G1339" s="27" t="n">
        <v>32.9</v>
      </c>
      <c r="H1339" s="27" t="s">
        <v>196</v>
      </c>
      <c r="I1339" s="42" t="n">
        <f aca="false">(D1339-INDEX('Cohort Summary'!$D$5:$D$14,MATCH($A1339,'Cohort Summary'!$A$5:$A$14,0)))/INDEX('Cohort Summary'!$E$5:$E$14,MATCH($A1339,'Cohort Summary'!$A$5:$A$14,0))</f>
        <v>0.55363321799308</v>
      </c>
      <c r="J1339" s="42" t="n">
        <f aca="false">(E1339-INDEX('Cohort Summary'!$F$5:$F$14,MATCH($A1339,'Cohort Summary'!$A$5:$A$14,0)))/INDEX('Cohort Summary'!$G$5:$G$14,MATCH($A1339,'Cohort Summary'!$A$5:$A$14,0))</f>
        <v>0.287958115183246</v>
      </c>
      <c r="K1339" s="42" t="n">
        <f aca="false">(F1339-INDEX('Cohort Summary'!$H$5:$H$14,MATCH($A1339,'Cohort Summary'!$A$5:$A$14,0)))/INDEX('Cohort Summary'!$I$5:$I$14,MATCH($A1339,'Cohort Summary'!$A$5:$A$14,0))</f>
        <v>0.653992395437262</v>
      </c>
      <c r="L1339" s="42" t="n">
        <f aca="false">(G1339-INDEX('Cohort Summary'!$J$5:$J$14,MATCH($A1339,'Cohort Summary'!$A$5:$A$14,0)))/INDEX('Cohort Summary'!$K$5:$K$14,MATCH($A1339,'Cohort Summary'!$A$5:$A$14,0))</f>
        <v>-0.91803278688525</v>
      </c>
      <c r="M1339" s="42" t="n">
        <f aca="false">MAX(I1339:K1339)</f>
        <v>0.653992395437262</v>
      </c>
      <c r="N1339" s="27" t="s">
        <v>197</v>
      </c>
      <c r="O1339" s="27"/>
      <c r="P1339" s="27" t="str">
        <f aca="false">A1339&amp;"|"&amp;N1339</f>
        <v>NURSE-07|normal</v>
      </c>
    </row>
    <row r="1340" customFormat="false" ht="15" hidden="false" customHeight="true" outlineLevel="0" collapsed="false">
      <c r="A1340" s="27" t="s">
        <v>95</v>
      </c>
      <c r="B1340" s="41" t="n">
        <v>46303.3395833333</v>
      </c>
      <c r="C1340" s="27" t="s">
        <v>200</v>
      </c>
      <c r="D1340" s="27" t="n">
        <v>60.9</v>
      </c>
      <c r="E1340" s="27" t="n">
        <v>18.8</v>
      </c>
      <c r="F1340" s="27" t="n">
        <v>43.3</v>
      </c>
      <c r="G1340" s="27" t="n">
        <v>35.5</v>
      </c>
      <c r="H1340" s="27" t="s">
        <v>198</v>
      </c>
      <c r="I1340" s="42" t="n">
        <f aca="false">(D1340-INDEX('Cohort Summary'!$D$5:$D$14,MATCH($A1340,'Cohort Summary'!$A$5:$A$14,0)))/INDEX('Cohort Summary'!$E$5:$E$14,MATCH($A1340,'Cohort Summary'!$A$5:$A$14,0))</f>
        <v>4.4636678200692</v>
      </c>
      <c r="J1340" s="42" t="n">
        <f aca="false">(E1340-INDEX('Cohort Summary'!$F$5:$F$14,MATCH($A1340,'Cohort Summary'!$A$5:$A$14,0)))/INDEX('Cohort Summary'!$G$5:$G$14,MATCH($A1340,'Cohort Summary'!$A$5:$A$14,0))</f>
        <v>0.18324607329843</v>
      </c>
      <c r="K1340" s="42" t="n">
        <f aca="false">(F1340-INDEX('Cohort Summary'!$H$5:$H$14,MATCH($A1340,'Cohort Summary'!$A$5:$A$14,0)))/INDEX('Cohort Summary'!$I$5:$I$14,MATCH($A1340,'Cohort Summary'!$A$5:$A$14,0))</f>
        <v>3.31558935361217</v>
      </c>
      <c r="L1340" s="42" t="n">
        <f aca="false">(G1340-INDEX('Cohort Summary'!$J$5:$J$14,MATCH($A1340,'Cohort Summary'!$A$5:$A$14,0)))/INDEX('Cohort Summary'!$K$5:$K$14,MATCH($A1340,'Cohort Summary'!$A$5:$A$14,0))</f>
        <v>3.34426229508197</v>
      </c>
      <c r="M1340" s="42" t="n">
        <f aca="false">MAX(I1340:K1340)</f>
        <v>4.4636678200692</v>
      </c>
      <c r="N1340" s="27" t="s">
        <v>212</v>
      </c>
      <c r="O1340" s="27" t="s">
        <v>292</v>
      </c>
      <c r="P1340" s="27" t="str">
        <f aca="false">A1340&amp;"|"&amp;N1340</f>
        <v>NURSE-07|alert</v>
      </c>
    </row>
    <row r="1341" customFormat="false" ht="15" hidden="false" customHeight="true" outlineLevel="0" collapsed="false">
      <c r="A1341" s="27" t="s">
        <v>95</v>
      </c>
      <c r="B1341" s="41" t="n">
        <v>46303.3399305556</v>
      </c>
      <c r="C1341" s="27" t="s">
        <v>200</v>
      </c>
      <c r="D1341" s="27" t="n">
        <v>65</v>
      </c>
      <c r="E1341" s="27" t="n">
        <v>20.1</v>
      </c>
      <c r="F1341" s="27" t="n">
        <v>39.4</v>
      </c>
      <c r="G1341" s="27" t="n">
        <v>36</v>
      </c>
      <c r="H1341" s="27" t="s">
        <v>198</v>
      </c>
      <c r="I1341" s="42" t="n">
        <f aca="false">(D1341-INDEX('Cohort Summary'!$D$5:$D$14,MATCH($A1341,'Cohort Summary'!$A$5:$A$14,0)))/INDEX('Cohort Summary'!$E$5:$E$14,MATCH($A1341,'Cohort Summary'!$A$5:$A$14,0))</f>
        <v>5.88235294117647</v>
      </c>
      <c r="J1341" s="42" t="n">
        <f aca="false">(E1341-INDEX('Cohort Summary'!$F$5:$F$14,MATCH($A1341,'Cohort Summary'!$A$5:$A$14,0)))/INDEX('Cohort Summary'!$G$5:$G$14,MATCH($A1341,'Cohort Summary'!$A$5:$A$14,0))</f>
        <v>0.863874345549739</v>
      </c>
      <c r="K1341" s="42" t="n">
        <f aca="false">(F1341-INDEX('Cohort Summary'!$H$5:$H$14,MATCH($A1341,'Cohort Summary'!$A$5:$A$14,0)))/INDEX('Cohort Summary'!$I$5:$I$14,MATCH($A1341,'Cohort Summary'!$A$5:$A$14,0))</f>
        <v>1.83269961977186</v>
      </c>
      <c r="L1341" s="42" t="n">
        <f aca="false">(G1341-INDEX('Cohort Summary'!$J$5:$J$14,MATCH($A1341,'Cohort Summary'!$A$5:$A$14,0)))/INDEX('Cohort Summary'!$K$5:$K$14,MATCH($A1341,'Cohort Summary'!$A$5:$A$14,0))</f>
        <v>4.16393442622951</v>
      </c>
      <c r="M1341" s="42" t="n">
        <f aca="false">MAX(I1341:K1341)</f>
        <v>5.88235294117647</v>
      </c>
      <c r="N1341" s="27" t="s">
        <v>212</v>
      </c>
      <c r="O1341" s="27" t="s">
        <v>293</v>
      </c>
      <c r="P1341" s="27" t="str">
        <f aca="false">A1341&amp;"|"&amp;N1341</f>
        <v>NURSE-07|alert</v>
      </c>
    </row>
    <row r="1342" customFormat="false" ht="15" hidden="false" customHeight="true" outlineLevel="0" collapsed="false">
      <c r="A1342" s="27" t="s">
        <v>95</v>
      </c>
      <c r="B1342" s="41" t="n">
        <v>46303.3402777778</v>
      </c>
      <c r="C1342" s="27" t="s">
        <v>200</v>
      </c>
      <c r="D1342" s="27" t="n">
        <v>57.1</v>
      </c>
      <c r="E1342" s="27" t="n">
        <v>15.4</v>
      </c>
      <c r="F1342" s="27" t="n">
        <v>40.6</v>
      </c>
      <c r="G1342" s="27" t="n">
        <v>35.7</v>
      </c>
      <c r="H1342" s="27" t="s">
        <v>198</v>
      </c>
      <c r="I1342" s="42" t="n">
        <f aca="false">(D1342-INDEX('Cohort Summary'!$D$5:$D$14,MATCH($A1342,'Cohort Summary'!$A$5:$A$14,0)))/INDEX('Cohort Summary'!$E$5:$E$14,MATCH($A1342,'Cohort Summary'!$A$5:$A$14,0))</f>
        <v>3.14878892733564</v>
      </c>
      <c r="J1342" s="42" t="n">
        <f aca="false">(E1342-INDEX('Cohort Summary'!$F$5:$F$14,MATCH($A1342,'Cohort Summary'!$A$5:$A$14,0)))/INDEX('Cohort Summary'!$G$5:$G$14,MATCH($A1342,'Cohort Summary'!$A$5:$A$14,0))</f>
        <v>-1.59685863874346</v>
      </c>
      <c r="K1342" s="42" t="n">
        <f aca="false">(F1342-INDEX('Cohort Summary'!$H$5:$H$14,MATCH($A1342,'Cohort Summary'!$A$5:$A$14,0)))/INDEX('Cohort Summary'!$I$5:$I$14,MATCH($A1342,'Cohort Summary'!$A$5:$A$14,0))</f>
        <v>2.28897338403042</v>
      </c>
      <c r="L1342" s="42" t="n">
        <f aca="false">(G1342-INDEX('Cohort Summary'!$J$5:$J$14,MATCH($A1342,'Cohort Summary'!$A$5:$A$14,0)))/INDEX('Cohort Summary'!$K$5:$K$14,MATCH($A1342,'Cohort Summary'!$A$5:$A$14,0))</f>
        <v>3.67213114754099</v>
      </c>
      <c r="M1342" s="42" t="n">
        <f aca="false">MAX(I1342:K1342)</f>
        <v>3.14878892733564</v>
      </c>
      <c r="N1342" s="27" t="s">
        <v>212</v>
      </c>
      <c r="O1342" s="27" t="s">
        <v>294</v>
      </c>
      <c r="P1342" s="27" t="str">
        <f aca="false">A1342&amp;"|"&amp;N1342</f>
        <v>NURSE-07|alert</v>
      </c>
    </row>
    <row r="1343" customFormat="false" ht="15" hidden="false" customHeight="true" outlineLevel="0" collapsed="false">
      <c r="A1343" s="27" t="s">
        <v>95</v>
      </c>
      <c r="B1343" s="41" t="n">
        <v>46303.340625</v>
      </c>
      <c r="C1343" s="27" t="s">
        <v>200</v>
      </c>
      <c r="D1343" s="27" t="n">
        <v>63.9</v>
      </c>
      <c r="E1343" s="27" t="n">
        <v>16.7</v>
      </c>
      <c r="F1343" s="27" t="n">
        <v>46.8</v>
      </c>
      <c r="G1343" s="27" t="n">
        <v>35.9</v>
      </c>
      <c r="H1343" s="27" t="s">
        <v>198</v>
      </c>
      <c r="I1343" s="42" t="n">
        <f aca="false">(D1343-INDEX('Cohort Summary'!$D$5:$D$14,MATCH($A1343,'Cohort Summary'!$A$5:$A$14,0)))/INDEX('Cohort Summary'!$E$5:$E$14,MATCH($A1343,'Cohort Summary'!$A$5:$A$14,0))</f>
        <v>5.50173010380623</v>
      </c>
      <c r="J1343" s="42" t="n">
        <f aca="false">(E1343-INDEX('Cohort Summary'!$F$5:$F$14,MATCH($A1343,'Cohort Summary'!$A$5:$A$14,0)))/INDEX('Cohort Summary'!$G$5:$G$14,MATCH($A1343,'Cohort Summary'!$A$5:$A$14,0))</f>
        <v>-0.916230366492147</v>
      </c>
      <c r="K1343" s="42" t="n">
        <f aca="false">(F1343-INDEX('Cohort Summary'!$H$5:$H$14,MATCH($A1343,'Cohort Summary'!$A$5:$A$14,0)))/INDEX('Cohort Summary'!$I$5:$I$14,MATCH($A1343,'Cohort Summary'!$A$5:$A$14,0))</f>
        <v>4.64638783269962</v>
      </c>
      <c r="L1343" s="42" t="n">
        <f aca="false">(G1343-INDEX('Cohort Summary'!$J$5:$J$14,MATCH($A1343,'Cohort Summary'!$A$5:$A$14,0)))/INDEX('Cohort Summary'!$K$5:$K$14,MATCH($A1343,'Cohort Summary'!$A$5:$A$14,0))</f>
        <v>4</v>
      </c>
      <c r="M1343" s="42" t="n">
        <f aca="false">MAX(I1343:K1343)</f>
        <v>5.50173010380623</v>
      </c>
      <c r="N1343" s="27" t="s">
        <v>212</v>
      </c>
      <c r="O1343" s="27" t="s">
        <v>295</v>
      </c>
      <c r="P1343" s="27" t="str">
        <f aca="false">A1343&amp;"|"&amp;N1343</f>
        <v>NURSE-07|alert</v>
      </c>
    </row>
    <row r="1344" customFormat="false" ht="15" hidden="false" customHeight="true" outlineLevel="0" collapsed="false">
      <c r="A1344" s="27" t="s">
        <v>95</v>
      </c>
      <c r="B1344" s="41" t="n">
        <v>46303.3409722222</v>
      </c>
      <c r="C1344" s="27" t="s">
        <v>200</v>
      </c>
      <c r="D1344" s="27" t="n">
        <v>59.1</v>
      </c>
      <c r="E1344" s="27" t="n">
        <v>15.5</v>
      </c>
      <c r="F1344" s="27" t="n">
        <v>46.3</v>
      </c>
      <c r="G1344" s="27" t="n">
        <v>35.3</v>
      </c>
      <c r="H1344" s="27" t="s">
        <v>198</v>
      </c>
      <c r="I1344" s="42" t="n">
        <f aca="false">(D1344-INDEX('Cohort Summary'!$D$5:$D$14,MATCH($A1344,'Cohort Summary'!$A$5:$A$14,0)))/INDEX('Cohort Summary'!$E$5:$E$14,MATCH($A1344,'Cohort Summary'!$A$5:$A$14,0))</f>
        <v>3.84083044982699</v>
      </c>
      <c r="J1344" s="42" t="n">
        <f aca="false">(E1344-INDEX('Cohort Summary'!$F$5:$F$14,MATCH($A1344,'Cohort Summary'!$A$5:$A$14,0)))/INDEX('Cohort Summary'!$G$5:$G$14,MATCH($A1344,'Cohort Summary'!$A$5:$A$14,0))</f>
        <v>-1.54450261780105</v>
      </c>
      <c r="K1344" s="42" t="n">
        <f aca="false">(F1344-INDEX('Cohort Summary'!$H$5:$H$14,MATCH($A1344,'Cohort Summary'!$A$5:$A$14,0)))/INDEX('Cohort Summary'!$I$5:$I$14,MATCH($A1344,'Cohort Summary'!$A$5:$A$14,0))</f>
        <v>4.45627376425856</v>
      </c>
      <c r="L1344" s="42" t="n">
        <f aca="false">(G1344-INDEX('Cohort Summary'!$J$5:$J$14,MATCH($A1344,'Cohort Summary'!$A$5:$A$14,0)))/INDEX('Cohort Summary'!$K$5:$K$14,MATCH($A1344,'Cohort Summary'!$A$5:$A$14,0))</f>
        <v>3.01639344262295</v>
      </c>
      <c r="M1344" s="42" t="n">
        <f aca="false">MAX(I1344:K1344)</f>
        <v>4.45627376425856</v>
      </c>
      <c r="N1344" s="27" t="s">
        <v>212</v>
      </c>
      <c r="O1344" s="27" t="s">
        <v>296</v>
      </c>
      <c r="P1344" s="27" t="str">
        <f aca="false">A1344&amp;"|"&amp;N1344</f>
        <v>NURSE-07|alert</v>
      </c>
    </row>
    <row r="1345" customFormat="false" ht="15" hidden="false" customHeight="true" outlineLevel="0" collapsed="false">
      <c r="A1345" s="27" t="s">
        <v>95</v>
      </c>
      <c r="B1345" s="41" t="n">
        <v>46303.3413194444</v>
      </c>
      <c r="C1345" s="27" t="s">
        <v>200</v>
      </c>
      <c r="D1345" s="27" t="n">
        <v>61.9</v>
      </c>
      <c r="E1345" s="27" t="n">
        <v>17.7</v>
      </c>
      <c r="F1345" s="27" t="n">
        <v>48.2</v>
      </c>
      <c r="G1345" s="27" t="n">
        <v>36.6</v>
      </c>
      <c r="H1345" s="27" t="s">
        <v>198</v>
      </c>
      <c r="I1345" s="42" t="n">
        <f aca="false">(D1345-INDEX('Cohort Summary'!$D$5:$D$14,MATCH($A1345,'Cohort Summary'!$A$5:$A$14,0)))/INDEX('Cohort Summary'!$E$5:$E$14,MATCH($A1345,'Cohort Summary'!$A$5:$A$14,0))</f>
        <v>4.80968858131488</v>
      </c>
      <c r="J1345" s="42" t="n">
        <f aca="false">(E1345-INDEX('Cohort Summary'!$F$5:$F$14,MATCH($A1345,'Cohort Summary'!$A$5:$A$14,0)))/INDEX('Cohort Summary'!$G$5:$G$14,MATCH($A1345,'Cohort Summary'!$A$5:$A$14,0))</f>
        <v>-0.392670157068063</v>
      </c>
      <c r="K1345" s="42" t="n">
        <f aca="false">(F1345-INDEX('Cohort Summary'!$H$5:$H$14,MATCH($A1345,'Cohort Summary'!$A$5:$A$14,0)))/INDEX('Cohort Summary'!$I$5:$I$14,MATCH($A1345,'Cohort Summary'!$A$5:$A$14,0))</f>
        <v>5.1787072243346</v>
      </c>
      <c r="L1345" s="42" t="n">
        <f aca="false">(G1345-INDEX('Cohort Summary'!$J$5:$J$14,MATCH($A1345,'Cohort Summary'!$A$5:$A$14,0)))/INDEX('Cohort Summary'!$K$5:$K$14,MATCH($A1345,'Cohort Summary'!$A$5:$A$14,0))</f>
        <v>5.14754098360656</v>
      </c>
      <c r="M1345" s="42" t="n">
        <f aca="false">MAX(I1345:K1345)</f>
        <v>5.1787072243346</v>
      </c>
      <c r="N1345" s="27" t="s">
        <v>212</v>
      </c>
      <c r="O1345" s="27" t="s">
        <v>297</v>
      </c>
      <c r="P1345" s="27" t="str">
        <f aca="false">A1345&amp;"|"&amp;N1345</f>
        <v>NURSE-07|alert</v>
      </c>
    </row>
    <row r="1346" customFormat="false" ht="15" hidden="false" customHeight="true" outlineLevel="0" collapsed="false">
      <c r="A1346" s="27" t="s">
        <v>95</v>
      </c>
      <c r="B1346" s="41" t="n">
        <v>46303.3416666667</v>
      </c>
      <c r="C1346" s="27" t="s">
        <v>200</v>
      </c>
      <c r="D1346" s="27" t="n">
        <v>58.6</v>
      </c>
      <c r="E1346" s="27" t="n">
        <v>16</v>
      </c>
      <c r="F1346" s="27" t="n">
        <v>42.2</v>
      </c>
      <c r="G1346" s="27" t="n">
        <v>35.9</v>
      </c>
      <c r="H1346" s="27" t="s">
        <v>198</v>
      </c>
      <c r="I1346" s="42" t="n">
        <f aca="false">(D1346-INDEX('Cohort Summary'!$D$5:$D$14,MATCH($A1346,'Cohort Summary'!$A$5:$A$14,0)))/INDEX('Cohort Summary'!$E$5:$E$14,MATCH($A1346,'Cohort Summary'!$A$5:$A$14,0))</f>
        <v>3.66782006920415</v>
      </c>
      <c r="J1346" s="42" t="n">
        <f aca="false">(E1346-INDEX('Cohort Summary'!$F$5:$F$14,MATCH($A1346,'Cohort Summary'!$A$5:$A$14,0)))/INDEX('Cohort Summary'!$G$5:$G$14,MATCH($A1346,'Cohort Summary'!$A$5:$A$14,0))</f>
        <v>-1.28272251308901</v>
      </c>
      <c r="K1346" s="42" t="n">
        <f aca="false">(F1346-INDEX('Cohort Summary'!$H$5:$H$14,MATCH($A1346,'Cohort Summary'!$A$5:$A$14,0)))/INDEX('Cohort Summary'!$I$5:$I$14,MATCH($A1346,'Cohort Summary'!$A$5:$A$14,0))</f>
        <v>2.89733840304183</v>
      </c>
      <c r="L1346" s="42" t="n">
        <f aca="false">(G1346-INDEX('Cohort Summary'!$J$5:$J$14,MATCH($A1346,'Cohort Summary'!$A$5:$A$14,0)))/INDEX('Cohort Summary'!$K$5:$K$14,MATCH($A1346,'Cohort Summary'!$A$5:$A$14,0))</f>
        <v>4</v>
      </c>
      <c r="M1346" s="42" t="n">
        <f aca="false">MAX(I1346:K1346)</f>
        <v>3.66782006920415</v>
      </c>
      <c r="N1346" s="27" t="s">
        <v>212</v>
      </c>
      <c r="O1346" s="27" t="s">
        <v>298</v>
      </c>
      <c r="P1346" s="27" t="str">
        <f aca="false">A1346&amp;"|"&amp;N1346</f>
        <v>NURSE-07|alert</v>
      </c>
    </row>
    <row r="1347" customFormat="false" ht="15" hidden="false" customHeight="true" outlineLevel="0" collapsed="false">
      <c r="A1347" s="27" t="s">
        <v>95</v>
      </c>
      <c r="B1347" s="41" t="n">
        <v>46303.3420138889</v>
      </c>
      <c r="C1347" s="27" t="s">
        <v>200</v>
      </c>
      <c r="D1347" s="27" t="n">
        <v>55.4</v>
      </c>
      <c r="E1347" s="27" t="n">
        <v>18.4</v>
      </c>
      <c r="F1347" s="27" t="n">
        <v>39.3</v>
      </c>
      <c r="G1347" s="27" t="n">
        <v>36.5</v>
      </c>
      <c r="H1347" s="27" t="s">
        <v>198</v>
      </c>
      <c r="I1347" s="42" t="n">
        <f aca="false">(D1347-INDEX('Cohort Summary'!$D$5:$D$14,MATCH($A1347,'Cohort Summary'!$A$5:$A$14,0)))/INDEX('Cohort Summary'!$E$5:$E$14,MATCH($A1347,'Cohort Summary'!$A$5:$A$14,0))</f>
        <v>2.56055363321799</v>
      </c>
      <c r="J1347" s="42" t="n">
        <f aca="false">(E1347-INDEX('Cohort Summary'!$F$5:$F$14,MATCH($A1347,'Cohort Summary'!$A$5:$A$14,0)))/INDEX('Cohort Summary'!$G$5:$G$14,MATCH($A1347,'Cohort Summary'!$A$5:$A$14,0))</f>
        <v>-0.0261780104712046</v>
      </c>
      <c r="K1347" s="42" t="n">
        <f aca="false">(F1347-INDEX('Cohort Summary'!$H$5:$H$14,MATCH($A1347,'Cohort Summary'!$A$5:$A$14,0)))/INDEX('Cohort Summary'!$I$5:$I$14,MATCH($A1347,'Cohort Summary'!$A$5:$A$14,0))</f>
        <v>1.79467680608365</v>
      </c>
      <c r="L1347" s="42" t="n">
        <f aca="false">(G1347-INDEX('Cohort Summary'!$J$5:$J$14,MATCH($A1347,'Cohort Summary'!$A$5:$A$14,0)))/INDEX('Cohort Summary'!$K$5:$K$14,MATCH($A1347,'Cohort Summary'!$A$5:$A$14,0))</f>
        <v>4.98360655737705</v>
      </c>
      <c r="M1347" s="42" t="n">
        <f aca="false">MAX(I1347:K1347)</f>
        <v>2.56055363321799</v>
      </c>
      <c r="N1347" s="27" t="s">
        <v>212</v>
      </c>
      <c r="O1347" s="27" t="s">
        <v>299</v>
      </c>
      <c r="P1347" s="27" t="str">
        <f aca="false">A1347&amp;"|"&amp;N1347</f>
        <v>NURSE-07|alert</v>
      </c>
    </row>
    <row r="1348" customFormat="false" ht="15" hidden="false" customHeight="true" outlineLevel="0" collapsed="false">
      <c r="A1348" s="27" t="s">
        <v>95</v>
      </c>
      <c r="B1348" s="41" t="n">
        <v>46303.3423611111</v>
      </c>
      <c r="C1348" s="27" t="s">
        <v>200</v>
      </c>
      <c r="D1348" s="27" t="n">
        <v>62.3</v>
      </c>
      <c r="E1348" s="27" t="n">
        <v>17.6</v>
      </c>
      <c r="F1348" s="27" t="n">
        <v>48.8</v>
      </c>
      <c r="G1348" s="27" t="n">
        <v>35.5</v>
      </c>
      <c r="H1348" s="27" t="s">
        <v>198</v>
      </c>
      <c r="I1348" s="42" t="n">
        <f aca="false">(D1348-INDEX('Cohort Summary'!$D$5:$D$14,MATCH($A1348,'Cohort Summary'!$A$5:$A$14,0)))/INDEX('Cohort Summary'!$E$5:$E$14,MATCH($A1348,'Cohort Summary'!$A$5:$A$14,0))</f>
        <v>4.94809688581315</v>
      </c>
      <c r="J1348" s="42" t="n">
        <f aca="false">(E1348-INDEX('Cohort Summary'!$F$5:$F$14,MATCH($A1348,'Cohort Summary'!$A$5:$A$14,0)))/INDEX('Cohort Summary'!$G$5:$G$14,MATCH($A1348,'Cohort Summary'!$A$5:$A$14,0))</f>
        <v>-0.44502617801047</v>
      </c>
      <c r="K1348" s="42" t="n">
        <f aca="false">(F1348-INDEX('Cohort Summary'!$H$5:$H$14,MATCH($A1348,'Cohort Summary'!$A$5:$A$14,0)))/INDEX('Cohort Summary'!$I$5:$I$14,MATCH($A1348,'Cohort Summary'!$A$5:$A$14,0))</f>
        <v>5.40684410646388</v>
      </c>
      <c r="L1348" s="42" t="n">
        <f aca="false">(G1348-INDEX('Cohort Summary'!$J$5:$J$14,MATCH($A1348,'Cohort Summary'!$A$5:$A$14,0)))/INDEX('Cohort Summary'!$K$5:$K$14,MATCH($A1348,'Cohort Summary'!$A$5:$A$14,0))</f>
        <v>3.34426229508197</v>
      </c>
      <c r="M1348" s="42" t="n">
        <f aca="false">MAX(I1348:K1348)</f>
        <v>5.40684410646388</v>
      </c>
      <c r="N1348" s="27" t="s">
        <v>212</v>
      </c>
      <c r="O1348" s="27" t="s">
        <v>300</v>
      </c>
      <c r="P1348" s="27" t="str">
        <f aca="false">A1348&amp;"|"&amp;N1348</f>
        <v>NURSE-07|alert</v>
      </c>
    </row>
    <row r="1349" customFormat="false" ht="15" hidden="false" customHeight="true" outlineLevel="0" collapsed="false">
      <c r="A1349" s="27" t="s">
        <v>95</v>
      </c>
      <c r="B1349" s="41" t="n">
        <v>46303.3427083333</v>
      </c>
      <c r="C1349" s="27" t="s">
        <v>200</v>
      </c>
      <c r="D1349" s="27" t="n">
        <v>56.8</v>
      </c>
      <c r="E1349" s="27" t="n">
        <v>20.7</v>
      </c>
      <c r="F1349" s="27" t="n">
        <v>43.5</v>
      </c>
      <c r="G1349" s="27" t="n">
        <v>36.4</v>
      </c>
      <c r="H1349" s="27" t="s">
        <v>198</v>
      </c>
      <c r="I1349" s="42" t="n">
        <f aca="false">(D1349-INDEX('Cohort Summary'!$D$5:$D$14,MATCH($A1349,'Cohort Summary'!$A$5:$A$14,0)))/INDEX('Cohort Summary'!$E$5:$E$14,MATCH($A1349,'Cohort Summary'!$A$5:$A$14,0))</f>
        <v>3.04498269896194</v>
      </c>
      <c r="J1349" s="42" t="n">
        <f aca="false">(E1349-INDEX('Cohort Summary'!$F$5:$F$14,MATCH($A1349,'Cohort Summary'!$A$5:$A$14,0)))/INDEX('Cohort Summary'!$G$5:$G$14,MATCH($A1349,'Cohort Summary'!$A$5:$A$14,0))</f>
        <v>1.17801047120419</v>
      </c>
      <c r="K1349" s="42" t="n">
        <f aca="false">(F1349-INDEX('Cohort Summary'!$H$5:$H$14,MATCH($A1349,'Cohort Summary'!$A$5:$A$14,0)))/INDEX('Cohort Summary'!$I$5:$I$14,MATCH($A1349,'Cohort Summary'!$A$5:$A$14,0))</f>
        <v>3.39163498098859</v>
      </c>
      <c r="L1349" s="42" t="n">
        <f aca="false">(G1349-INDEX('Cohort Summary'!$J$5:$J$14,MATCH($A1349,'Cohort Summary'!$A$5:$A$14,0)))/INDEX('Cohort Summary'!$K$5:$K$14,MATCH($A1349,'Cohort Summary'!$A$5:$A$14,0))</f>
        <v>4.81967213114754</v>
      </c>
      <c r="M1349" s="42" t="n">
        <f aca="false">MAX(I1349:K1349)</f>
        <v>3.39163498098859</v>
      </c>
      <c r="N1349" s="27" t="s">
        <v>212</v>
      </c>
      <c r="O1349" s="27" t="s">
        <v>301</v>
      </c>
      <c r="P1349" s="27" t="str">
        <f aca="false">A1349&amp;"|"&amp;N1349</f>
        <v>NURSE-07|alert</v>
      </c>
    </row>
    <row r="1350" customFormat="false" ht="15" hidden="false" customHeight="true" outlineLevel="0" collapsed="false">
      <c r="A1350" s="27" t="s">
        <v>95</v>
      </c>
      <c r="B1350" s="41" t="n">
        <v>46303.3430555556</v>
      </c>
      <c r="C1350" s="27" t="s">
        <v>200</v>
      </c>
      <c r="D1350" s="27" t="n">
        <v>62.6</v>
      </c>
      <c r="E1350" s="27" t="n">
        <v>15.9</v>
      </c>
      <c r="F1350" s="27" t="n">
        <v>46.1</v>
      </c>
      <c r="G1350" s="27" t="n">
        <v>36.6</v>
      </c>
      <c r="H1350" s="27" t="s">
        <v>198</v>
      </c>
      <c r="I1350" s="42" t="n">
        <f aca="false">(D1350-INDEX('Cohort Summary'!$D$5:$D$14,MATCH($A1350,'Cohort Summary'!$A$5:$A$14,0)))/INDEX('Cohort Summary'!$E$5:$E$14,MATCH($A1350,'Cohort Summary'!$A$5:$A$14,0))</f>
        <v>5.05190311418685</v>
      </c>
      <c r="J1350" s="42" t="n">
        <f aca="false">(E1350-INDEX('Cohort Summary'!$F$5:$F$14,MATCH($A1350,'Cohort Summary'!$A$5:$A$14,0)))/INDEX('Cohort Summary'!$G$5:$G$14,MATCH($A1350,'Cohort Summary'!$A$5:$A$14,0))</f>
        <v>-1.33507853403141</v>
      </c>
      <c r="K1350" s="42" t="n">
        <f aca="false">(F1350-INDEX('Cohort Summary'!$H$5:$H$14,MATCH($A1350,'Cohort Summary'!$A$5:$A$14,0)))/INDEX('Cohort Summary'!$I$5:$I$14,MATCH($A1350,'Cohort Summary'!$A$5:$A$14,0))</f>
        <v>4.38022813688213</v>
      </c>
      <c r="L1350" s="42" t="n">
        <f aca="false">(G1350-INDEX('Cohort Summary'!$J$5:$J$14,MATCH($A1350,'Cohort Summary'!$A$5:$A$14,0)))/INDEX('Cohort Summary'!$K$5:$K$14,MATCH($A1350,'Cohort Summary'!$A$5:$A$14,0))</f>
        <v>5.14754098360656</v>
      </c>
      <c r="M1350" s="42" t="n">
        <f aca="false">MAX(I1350:K1350)</f>
        <v>5.05190311418685</v>
      </c>
      <c r="N1350" s="27" t="s">
        <v>212</v>
      </c>
      <c r="O1350" s="27" t="s">
        <v>302</v>
      </c>
      <c r="P1350" s="27" t="str">
        <f aca="false">A1350&amp;"|"&amp;N1350</f>
        <v>NURSE-07|alert</v>
      </c>
    </row>
    <row r="1351" customFormat="false" ht="15" hidden="false" customHeight="true" outlineLevel="0" collapsed="false">
      <c r="A1351" s="27" t="s">
        <v>95</v>
      </c>
      <c r="B1351" s="41" t="n">
        <v>46303.3434027778</v>
      </c>
      <c r="C1351" s="27" t="s">
        <v>200</v>
      </c>
      <c r="D1351" s="27" t="n">
        <v>55.7</v>
      </c>
      <c r="E1351" s="27" t="n">
        <v>17.1</v>
      </c>
      <c r="F1351" s="27" t="n">
        <v>42.6</v>
      </c>
      <c r="G1351" s="27" t="n">
        <v>35.5</v>
      </c>
      <c r="H1351" s="27" t="s">
        <v>198</v>
      </c>
      <c r="I1351" s="42" t="n">
        <f aca="false">(D1351-INDEX('Cohort Summary'!$D$5:$D$14,MATCH($A1351,'Cohort Summary'!$A$5:$A$14,0)))/INDEX('Cohort Summary'!$E$5:$E$14,MATCH($A1351,'Cohort Summary'!$A$5:$A$14,0))</f>
        <v>2.6643598615917</v>
      </c>
      <c r="J1351" s="42" t="n">
        <f aca="false">(E1351-INDEX('Cohort Summary'!$F$5:$F$14,MATCH($A1351,'Cohort Summary'!$A$5:$A$14,0)))/INDEX('Cohort Summary'!$G$5:$G$14,MATCH($A1351,'Cohort Summary'!$A$5:$A$14,0))</f>
        <v>-0.706806282722512</v>
      </c>
      <c r="K1351" s="42" t="n">
        <f aca="false">(F1351-INDEX('Cohort Summary'!$H$5:$H$14,MATCH($A1351,'Cohort Summary'!$A$5:$A$14,0)))/INDEX('Cohort Summary'!$I$5:$I$14,MATCH($A1351,'Cohort Summary'!$A$5:$A$14,0))</f>
        <v>3.04942965779468</v>
      </c>
      <c r="L1351" s="42" t="n">
        <f aca="false">(G1351-INDEX('Cohort Summary'!$J$5:$J$14,MATCH($A1351,'Cohort Summary'!$A$5:$A$14,0)))/INDEX('Cohort Summary'!$K$5:$K$14,MATCH($A1351,'Cohort Summary'!$A$5:$A$14,0))</f>
        <v>3.34426229508197</v>
      </c>
      <c r="M1351" s="42" t="n">
        <f aca="false">MAX(I1351:K1351)</f>
        <v>3.04942965779468</v>
      </c>
      <c r="N1351" s="27" t="s">
        <v>212</v>
      </c>
      <c r="O1351" s="27" t="s">
        <v>303</v>
      </c>
      <c r="P1351" s="27" t="str">
        <f aca="false">A1351&amp;"|"&amp;N1351</f>
        <v>NURSE-07|alert</v>
      </c>
    </row>
    <row r="1352" customFormat="false" ht="15" hidden="false" customHeight="true" outlineLevel="0" collapsed="false">
      <c r="A1352" s="27" t="s">
        <v>95</v>
      </c>
      <c r="B1352" s="41" t="n">
        <v>46303.34375</v>
      </c>
      <c r="C1352" s="27" t="s">
        <v>200</v>
      </c>
      <c r="D1352" s="27" t="n">
        <v>49.4</v>
      </c>
      <c r="E1352" s="27" t="n">
        <v>15.7</v>
      </c>
      <c r="F1352" s="27" t="n">
        <v>33.3</v>
      </c>
      <c r="G1352" s="27" t="n">
        <v>32.9</v>
      </c>
      <c r="H1352" s="27" t="s">
        <v>199</v>
      </c>
      <c r="I1352" s="42" t="n">
        <f aca="false">(D1352-INDEX('Cohort Summary'!$D$5:$D$14,MATCH($A1352,'Cohort Summary'!$A$5:$A$14,0)))/INDEX('Cohort Summary'!$E$5:$E$14,MATCH($A1352,'Cohort Summary'!$A$5:$A$14,0))</f>
        <v>0.484429065743944</v>
      </c>
      <c r="J1352" s="42" t="n">
        <f aca="false">(E1352-INDEX('Cohort Summary'!$F$5:$F$14,MATCH($A1352,'Cohort Summary'!$A$5:$A$14,0)))/INDEX('Cohort Summary'!$G$5:$G$14,MATCH($A1352,'Cohort Summary'!$A$5:$A$14,0))</f>
        <v>-1.43979057591623</v>
      </c>
      <c r="K1352" s="42" t="n">
        <f aca="false">(F1352-INDEX('Cohort Summary'!$H$5:$H$14,MATCH($A1352,'Cohort Summary'!$A$5:$A$14,0)))/INDEX('Cohort Summary'!$I$5:$I$14,MATCH($A1352,'Cohort Summary'!$A$5:$A$14,0))</f>
        <v>-0.486692015209126</v>
      </c>
      <c r="L1352" s="42" t="n">
        <f aca="false">(G1352-INDEX('Cohort Summary'!$J$5:$J$14,MATCH($A1352,'Cohort Summary'!$A$5:$A$14,0)))/INDEX('Cohort Summary'!$K$5:$K$14,MATCH($A1352,'Cohort Summary'!$A$5:$A$14,0))</f>
        <v>-0.91803278688525</v>
      </c>
      <c r="M1352" s="42" t="n">
        <f aca="false">MAX(I1352:K1352)</f>
        <v>0.484429065743944</v>
      </c>
      <c r="N1352" s="27" t="s">
        <v>197</v>
      </c>
      <c r="O1352" s="27"/>
      <c r="P1352" s="27" t="str">
        <f aca="false">A1352&amp;"|"&amp;N1352</f>
        <v>NURSE-07|normal</v>
      </c>
    </row>
    <row r="1353" customFormat="false" ht="15" hidden="false" customHeight="true" outlineLevel="0" collapsed="false">
      <c r="A1353" s="27" t="s">
        <v>95</v>
      </c>
      <c r="B1353" s="41" t="n">
        <v>46303.3440972222</v>
      </c>
      <c r="C1353" s="27" t="s">
        <v>200</v>
      </c>
      <c r="D1353" s="27" t="n">
        <v>43.1</v>
      </c>
      <c r="E1353" s="27" t="n">
        <v>18.1</v>
      </c>
      <c r="F1353" s="27" t="n">
        <v>38.7</v>
      </c>
      <c r="G1353" s="27" t="n">
        <v>34</v>
      </c>
      <c r="H1353" s="27" t="s">
        <v>196</v>
      </c>
      <c r="I1353" s="42" t="n">
        <f aca="false">(D1353-INDEX('Cohort Summary'!$D$5:$D$14,MATCH($A1353,'Cohort Summary'!$A$5:$A$14,0)))/INDEX('Cohort Summary'!$E$5:$E$14,MATCH($A1353,'Cohort Summary'!$A$5:$A$14,0))</f>
        <v>-1.69550173010381</v>
      </c>
      <c r="J1353" s="42" t="n">
        <f aca="false">(E1353-INDEX('Cohort Summary'!$F$5:$F$14,MATCH($A1353,'Cohort Summary'!$A$5:$A$14,0)))/INDEX('Cohort Summary'!$G$5:$G$14,MATCH($A1353,'Cohort Summary'!$A$5:$A$14,0))</f>
        <v>-0.183246073298428</v>
      </c>
      <c r="K1353" s="42" t="n">
        <f aca="false">(F1353-INDEX('Cohort Summary'!$H$5:$H$14,MATCH($A1353,'Cohort Summary'!$A$5:$A$14,0)))/INDEX('Cohort Summary'!$I$5:$I$14,MATCH($A1353,'Cohort Summary'!$A$5:$A$14,0))</f>
        <v>1.56653992395437</v>
      </c>
      <c r="L1353" s="42" t="n">
        <f aca="false">(G1353-INDEX('Cohort Summary'!$J$5:$J$14,MATCH($A1353,'Cohort Summary'!$A$5:$A$14,0)))/INDEX('Cohort Summary'!$K$5:$K$14,MATCH($A1353,'Cohort Summary'!$A$5:$A$14,0))</f>
        <v>0.885245901639343</v>
      </c>
      <c r="M1353" s="42" t="n">
        <f aca="false">MAX(I1353:K1353)</f>
        <v>1.56653992395437</v>
      </c>
      <c r="N1353" s="27" t="s">
        <v>197</v>
      </c>
      <c r="O1353" s="27"/>
      <c r="P1353" s="27" t="str">
        <f aca="false">A1353&amp;"|"&amp;N1353</f>
        <v>NURSE-07|normal</v>
      </c>
    </row>
    <row r="1354" customFormat="false" ht="15" hidden="false" customHeight="true" outlineLevel="0" collapsed="false">
      <c r="A1354" s="27" t="s">
        <v>95</v>
      </c>
      <c r="B1354" s="41" t="n">
        <v>46303.3444444445</v>
      </c>
      <c r="C1354" s="27" t="s">
        <v>200</v>
      </c>
      <c r="D1354" s="27" t="n">
        <v>46.7</v>
      </c>
      <c r="E1354" s="27" t="n">
        <v>18.5</v>
      </c>
      <c r="F1354" s="27" t="n">
        <v>35.7</v>
      </c>
      <c r="G1354" s="27" t="n">
        <v>32.8</v>
      </c>
      <c r="H1354" s="27" t="s">
        <v>198</v>
      </c>
      <c r="I1354" s="42" t="n">
        <f aca="false">(D1354-INDEX('Cohort Summary'!$D$5:$D$14,MATCH($A1354,'Cohort Summary'!$A$5:$A$14,0)))/INDEX('Cohort Summary'!$E$5:$E$14,MATCH($A1354,'Cohort Summary'!$A$5:$A$14,0))</f>
        <v>-0.449826989619376</v>
      </c>
      <c r="J1354" s="42" t="n">
        <f aca="false">(E1354-INDEX('Cohort Summary'!$F$5:$F$14,MATCH($A1354,'Cohort Summary'!$A$5:$A$14,0)))/INDEX('Cohort Summary'!$G$5:$G$14,MATCH($A1354,'Cohort Summary'!$A$5:$A$14,0))</f>
        <v>0.0261780104712046</v>
      </c>
      <c r="K1354" s="42" t="n">
        <f aca="false">(F1354-INDEX('Cohort Summary'!$H$5:$H$14,MATCH($A1354,'Cohort Summary'!$A$5:$A$14,0)))/INDEX('Cohort Summary'!$I$5:$I$14,MATCH($A1354,'Cohort Summary'!$A$5:$A$14,0))</f>
        <v>0.425855513307987</v>
      </c>
      <c r="L1354" s="42" t="n">
        <f aca="false">(G1354-INDEX('Cohort Summary'!$J$5:$J$14,MATCH($A1354,'Cohort Summary'!$A$5:$A$14,0)))/INDEX('Cohort Summary'!$K$5:$K$14,MATCH($A1354,'Cohort Summary'!$A$5:$A$14,0))</f>
        <v>-1.08196721311476</v>
      </c>
      <c r="M1354" s="42" t="n">
        <f aca="false">MAX(I1354:K1354)</f>
        <v>0.425855513307987</v>
      </c>
      <c r="N1354" s="27" t="s">
        <v>197</v>
      </c>
      <c r="O1354" s="27"/>
      <c r="P1354" s="27" t="str">
        <f aca="false">A1354&amp;"|"&amp;N1354</f>
        <v>NURSE-07|normal</v>
      </c>
    </row>
    <row r="1355" customFormat="false" ht="15" hidden="false" customHeight="true" outlineLevel="0" collapsed="false">
      <c r="A1355" s="27" t="s">
        <v>95</v>
      </c>
      <c r="B1355" s="41" t="n">
        <v>46303.3447916667</v>
      </c>
      <c r="C1355" s="27" t="s">
        <v>200</v>
      </c>
      <c r="D1355" s="27" t="n">
        <v>50.2</v>
      </c>
      <c r="E1355" s="27" t="n">
        <v>17.4</v>
      </c>
      <c r="F1355" s="27" t="n">
        <v>37.6</v>
      </c>
      <c r="G1355" s="27" t="n">
        <v>33.5</v>
      </c>
      <c r="H1355" s="27" t="s">
        <v>196</v>
      </c>
      <c r="I1355" s="42" t="n">
        <f aca="false">(D1355-INDEX('Cohort Summary'!$D$5:$D$14,MATCH($A1355,'Cohort Summary'!$A$5:$A$14,0)))/INDEX('Cohort Summary'!$E$5:$E$14,MATCH($A1355,'Cohort Summary'!$A$5:$A$14,0))</f>
        <v>0.761245674740485</v>
      </c>
      <c r="J1355" s="42" t="n">
        <f aca="false">(E1355-INDEX('Cohort Summary'!$F$5:$F$14,MATCH($A1355,'Cohort Summary'!$A$5:$A$14,0)))/INDEX('Cohort Summary'!$G$5:$G$14,MATCH($A1355,'Cohort Summary'!$A$5:$A$14,0))</f>
        <v>-0.549738219895288</v>
      </c>
      <c r="K1355" s="42" t="n">
        <f aca="false">(F1355-INDEX('Cohort Summary'!$H$5:$H$14,MATCH($A1355,'Cohort Summary'!$A$5:$A$14,0)))/INDEX('Cohort Summary'!$I$5:$I$14,MATCH($A1355,'Cohort Summary'!$A$5:$A$14,0))</f>
        <v>1.14828897338403</v>
      </c>
      <c r="L1355" s="42" t="n">
        <f aca="false">(G1355-INDEX('Cohort Summary'!$J$5:$J$14,MATCH($A1355,'Cohort Summary'!$A$5:$A$14,0)))/INDEX('Cohort Summary'!$K$5:$K$14,MATCH($A1355,'Cohort Summary'!$A$5:$A$14,0))</f>
        <v>0.0655737704918019</v>
      </c>
      <c r="M1355" s="42" t="n">
        <f aca="false">MAX(I1355:K1355)</f>
        <v>1.14828897338403</v>
      </c>
      <c r="N1355" s="27" t="s">
        <v>197</v>
      </c>
      <c r="O1355" s="27"/>
      <c r="P1355" s="27" t="str">
        <f aca="false">A1355&amp;"|"&amp;N1355</f>
        <v>NURSE-07|normal</v>
      </c>
    </row>
    <row r="1356" customFormat="false" ht="15" hidden="false" customHeight="true" outlineLevel="0" collapsed="false">
      <c r="A1356" s="27" t="s">
        <v>95</v>
      </c>
      <c r="B1356" s="41" t="n">
        <v>46303.3451388889</v>
      </c>
      <c r="C1356" s="27" t="s">
        <v>200</v>
      </c>
      <c r="D1356" s="27" t="n">
        <v>52.9</v>
      </c>
      <c r="E1356" s="27" t="n">
        <v>17.7</v>
      </c>
      <c r="F1356" s="27" t="n">
        <v>39.9</v>
      </c>
      <c r="G1356" s="27" t="n">
        <v>32.4</v>
      </c>
      <c r="H1356" s="27" t="s">
        <v>198</v>
      </c>
      <c r="I1356" s="42" t="n">
        <f aca="false">(D1356-INDEX('Cohort Summary'!$D$5:$D$14,MATCH($A1356,'Cohort Summary'!$A$5:$A$14,0)))/INDEX('Cohort Summary'!$E$5:$E$14,MATCH($A1356,'Cohort Summary'!$A$5:$A$14,0))</f>
        <v>1.69550173010381</v>
      </c>
      <c r="J1356" s="42" t="n">
        <f aca="false">(E1356-INDEX('Cohort Summary'!$F$5:$F$14,MATCH($A1356,'Cohort Summary'!$A$5:$A$14,0)))/INDEX('Cohort Summary'!$G$5:$G$14,MATCH($A1356,'Cohort Summary'!$A$5:$A$14,0))</f>
        <v>-0.392670157068063</v>
      </c>
      <c r="K1356" s="42" t="n">
        <f aca="false">(F1356-INDEX('Cohort Summary'!$H$5:$H$14,MATCH($A1356,'Cohort Summary'!$A$5:$A$14,0)))/INDEX('Cohort Summary'!$I$5:$I$14,MATCH($A1356,'Cohort Summary'!$A$5:$A$14,0))</f>
        <v>2.02281368821293</v>
      </c>
      <c r="L1356" s="42" t="n">
        <f aca="false">(G1356-INDEX('Cohort Summary'!$J$5:$J$14,MATCH($A1356,'Cohort Summary'!$A$5:$A$14,0)))/INDEX('Cohort Summary'!$K$5:$K$14,MATCH($A1356,'Cohort Summary'!$A$5:$A$14,0))</f>
        <v>-1.73770491803279</v>
      </c>
      <c r="M1356" s="42" t="n">
        <f aca="false">MAX(I1356:K1356)</f>
        <v>2.02281368821293</v>
      </c>
      <c r="N1356" s="27" t="s">
        <v>201</v>
      </c>
      <c r="O1356" s="27" t="s">
        <v>304</v>
      </c>
      <c r="P1356" s="27" t="str">
        <f aca="false">A1356&amp;"|"&amp;N1356</f>
        <v>NURSE-07|caution</v>
      </c>
    </row>
    <row r="1357" customFormat="false" ht="15" hidden="false" customHeight="true" outlineLevel="0" collapsed="false">
      <c r="A1357" s="27" t="s">
        <v>95</v>
      </c>
      <c r="B1357" s="41" t="n">
        <v>46303.3454861111</v>
      </c>
      <c r="C1357" s="27" t="s">
        <v>200</v>
      </c>
      <c r="D1357" s="27" t="n">
        <v>48.9</v>
      </c>
      <c r="E1357" s="27" t="n">
        <v>19.8</v>
      </c>
      <c r="F1357" s="27" t="n">
        <v>36.3</v>
      </c>
      <c r="G1357" s="27" t="n">
        <v>33.7</v>
      </c>
      <c r="H1357" s="27" t="s">
        <v>199</v>
      </c>
      <c r="I1357" s="42" t="n">
        <f aca="false">(D1357-INDEX('Cohort Summary'!$D$5:$D$14,MATCH($A1357,'Cohort Summary'!$A$5:$A$14,0)))/INDEX('Cohort Summary'!$E$5:$E$14,MATCH($A1357,'Cohort Summary'!$A$5:$A$14,0))</f>
        <v>0.311418685121107</v>
      </c>
      <c r="J1357" s="42" t="n">
        <f aca="false">(E1357-INDEX('Cohort Summary'!$F$5:$F$14,MATCH($A1357,'Cohort Summary'!$A$5:$A$14,0)))/INDEX('Cohort Summary'!$G$5:$G$14,MATCH($A1357,'Cohort Summary'!$A$5:$A$14,0))</f>
        <v>0.706806282722514</v>
      </c>
      <c r="K1357" s="42" t="n">
        <f aca="false">(F1357-INDEX('Cohort Summary'!$H$5:$H$14,MATCH($A1357,'Cohort Summary'!$A$5:$A$14,0)))/INDEX('Cohort Summary'!$I$5:$I$14,MATCH($A1357,'Cohort Summary'!$A$5:$A$14,0))</f>
        <v>0.653992395437262</v>
      </c>
      <c r="L1357" s="42" t="n">
        <f aca="false">(G1357-INDEX('Cohort Summary'!$J$5:$J$14,MATCH($A1357,'Cohort Summary'!$A$5:$A$14,0)))/INDEX('Cohort Summary'!$K$5:$K$14,MATCH($A1357,'Cohort Summary'!$A$5:$A$14,0))</f>
        <v>0.393442622950823</v>
      </c>
      <c r="M1357" s="42" t="n">
        <f aca="false">MAX(I1357:K1357)</f>
        <v>0.706806282722514</v>
      </c>
      <c r="N1357" s="27" t="s">
        <v>197</v>
      </c>
      <c r="O1357" s="27"/>
      <c r="P1357" s="27" t="str">
        <f aca="false">A1357&amp;"|"&amp;N1357</f>
        <v>NURSE-07|normal</v>
      </c>
    </row>
    <row r="1358" customFormat="false" ht="15" hidden="false" customHeight="true" outlineLevel="0" collapsed="false">
      <c r="A1358" s="27" t="s">
        <v>95</v>
      </c>
      <c r="B1358" s="41" t="n">
        <v>46303.3458333333</v>
      </c>
      <c r="C1358" s="27" t="s">
        <v>200</v>
      </c>
      <c r="D1358" s="27" t="n">
        <v>45.1</v>
      </c>
      <c r="E1358" s="27" t="n">
        <v>20.5</v>
      </c>
      <c r="F1358" s="27" t="n">
        <v>35.5</v>
      </c>
      <c r="G1358" s="27" t="n">
        <v>33.9</v>
      </c>
      <c r="H1358" s="27" t="s">
        <v>199</v>
      </c>
      <c r="I1358" s="42" t="n">
        <f aca="false">(D1358-INDEX('Cohort Summary'!$D$5:$D$14,MATCH($A1358,'Cohort Summary'!$A$5:$A$14,0)))/INDEX('Cohort Summary'!$E$5:$E$14,MATCH($A1358,'Cohort Summary'!$A$5:$A$14,0))</f>
        <v>-1.00346020761246</v>
      </c>
      <c r="J1358" s="42" t="n">
        <f aca="false">(E1358-INDEX('Cohort Summary'!$F$5:$F$14,MATCH($A1358,'Cohort Summary'!$A$5:$A$14,0)))/INDEX('Cohort Summary'!$G$5:$G$14,MATCH($A1358,'Cohort Summary'!$A$5:$A$14,0))</f>
        <v>1.07329842931937</v>
      </c>
      <c r="K1358" s="42" t="n">
        <f aca="false">(F1358-INDEX('Cohort Summary'!$H$5:$H$14,MATCH($A1358,'Cohort Summary'!$A$5:$A$14,0)))/INDEX('Cohort Summary'!$I$5:$I$14,MATCH($A1358,'Cohort Summary'!$A$5:$A$14,0))</f>
        <v>0.34980988593156</v>
      </c>
      <c r="L1358" s="42" t="n">
        <f aca="false">(G1358-INDEX('Cohort Summary'!$J$5:$J$14,MATCH($A1358,'Cohort Summary'!$A$5:$A$14,0)))/INDEX('Cohort Summary'!$K$5:$K$14,MATCH($A1358,'Cohort Summary'!$A$5:$A$14,0))</f>
        <v>0.721311475409832</v>
      </c>
      <c r="M1358" s="42" t="n">
        <f aca="false">MAX(I1358:K1358)</f>
        <v>1.07329842931937</v>
      </c>
      <c r="N1358" s="27" t="s">
        <v>197</v>
      </c>
      <c r="O1358" s="27"/>
      <c r="P1358" s="27" t="str">
        <f aca="false">A1358&amp;"|"&amp;N1358</f>
        <v>NURSE-07|normal</v>
      </c>
    </row>
    <row r="1359" customFormat="false" ht="15" hidden="false" customHeight="true" outlineLevel="0" collapsed="false">
      <c r="A1359" s="27" t="s">
        <v>95</v>
      </c>
      <c r="B1359" s="41" t="n">
        <v>46303.3461805556</v>
      </c>
      <c r="C1359" s="27" t="s">
        <v>200</v>
      </c>
      <c r="D1359" s="27" t="n">
        <v>52.8</v>
      </c>
      <c r="E1359" s="27" t="n">
        <v>18.3</v>
      </c>
      <c r="F1359" s="27" t="n">
        <v>38.9</v>
      </c>
      <c r="G1359" s="27" t="n">
        <v>33.1</v>
      </c>
      <c r="H1359" s="27" t="s">
        <v>198</v>
      </c>
      <c r="I1359" s="42" t="n">
        <f aca="false">(D1359-INDEX('Cohort Summary'!$D$5:$D$14,MATCH($A1359,'Cohort Summary'!$A$5:$A$14,0)))/INDEX('Cohort Summary'!$E$5:$E$14,MATCH($A1359,'Cohort Summary'!$A$5:$A$14,0))</f>
        <v>1.66089965397924</v>
      </c>
      <c r="J1359" s="42" t="n">
        <f aca="false">(E1359-INDEX('Cohort Summary'!$F$5:$F$14,MATCH($A1359,'Cohort Summary'!$A$5:$A$14,0)))/INDEX('Cohort Summary'!$G$5:$G$14,MATCH($A1359,'Cohort Summary'!$A$5:$A$14,0))</f>
        <v>-0.0785340314136118</v>
      </c>
      <c r="K1359" s="42" t="n">
        <f aca="false">(F1359-INDEX('Cohort Summary'!$H$5:$H$14,MATCH($A1359,'Cohort Summary'!$A$5:$A$14,0)))/INDEX('Cohort Summary'!$I$5:$I$14,MATCH($A1359,'Cohort Summary'!$A$5:$A$14,0))</f>
        <v>1.6425855513308</v>
      </c>
      <c r="L1359" s="42" t="n">
        <f aca="false">(G1359-INDEX('Cohort Summary'!$J$5:$J$14,MATCH($A1359,'Cohort Summary'!$A$5:$A$14,0)))/INDEX('Cohort Summary'!$K$5:$K$14,MATCH($A1359,'Cohort Summary'!$A$5:$A$14,0))</f>
        <v>-0.590163934426229</v>
      </c>
      <c r="M1359" s="42" t="n">
        <f aca="false">MAX(I1359:K1359)</f>
        <v>1.66089965397924</v>
      </c>
      <c r="N1359" s="27" t="s">
        <v>197</v>
      </c>
      <c r="O1359" s="27"/>
      <c r="P1359" s="27" t="str">
        <f aca="false">A1359&amp;"|"&amp;N1359</f>
        <v>NURSE-07|normal</v>
      </c>
    </row>
    <row r="1360" customFormat="false" ht="15" hidden="false" customHeight="true" outlineLevel="0" collapsed="false">
      <c r="A1360" s="27" t="s">
        <v>95</v>
      </c>
      <c r="B1360" s="41" t="n">
        <v>46303.3465277778</v>
      </c>
      <c r="C1360" s="27" t="s">
        <v>200</v>
      </c>
      <c r="D1360" s="27" t="n">
        <v>50</v>
      </c>
      <c r="E1360" s="27" t="n">
        <v>17</v>
      </c>
      <c r="F1360" s="27" t="n">
        <v>36.9</v>
      </c>
      <c r="G1360" s="27" t="n">
        <v>32.7</v>
      </c>
      <c r="H1360" s="27" t="s">
        <v>199</v>
      </c>
      <c r="I1360" s="42" t="n">
        <f aca="false">(D1360-INDEX('Cohort Summary'!$D$5:$D$14,MATCH($A1360,'Cohort Summary'!$A$5:$A$14,0)))/INDEX('Cohort Summary'!$E$5:$E$14,MATCH($A1360,'Cohort Summary'!$A$5:$A$14,0))</f>
        <v>0.692041522491349</v>
      </c>
      <c r="J1360" s="42" t="n">
        <f aca="false">(E1360-INDEX('Cohort Summary'!$F$5:$F$14,MATCH($A1360,'Cohort Summary'!$A$5:$A$14,0)))/INDEX('Cohort Summary'!$G$5:$G$14,MATCH($A1360,'Cohort Summary'!$A$5:$A$14,0))</f>
        <v>-0.759162303664921</v>
      </c>
      <c r="K1360" s="42" t="n">
        <f aca="false">(F1360-INDEX('Cohort Summary'!$H$5:$H$14,MATCH($A1360,'Cohort Summary'!$A$5:$A$14,0)))/INDEX('Cohort Summary'!$I$5:$I$14,MATCH($A1360,'Cohort Summary'!$A$5:$A$14,0))</f>
        <v>0.88212927756654</v>
      </c>
      <c r="L1360" s="42" t="n">
        <f aca="false">(G1360-INDEX('Cohort Summary'!$J$5:$J$14,MATCH($A1360,'Cohort Summary'!$A$5:$A$14,0)))/INDEX('Cohort Summary'!$K$5:$K$14,MATCH($A1360,'Cohort Summary'!$A$5:$A$14,0))</f>
        <v>-1.24590163934426</v>
      </c>
      <c r="M1360" s="42" t="n">
        <f aca="false">MAX(I1360:K1360)</f>
        <v>0.88212927756654</v>
      </c>
      <c r="N1360" s="27" t="s">
        <v>197</v>
      </c>
      <c r="O1360" s="27"/>
      <c r="P1360" s="27" t="str">
        <f aca="false">A1360&amp;"|"&amp;N1360</f>
        <v>NURSE-07|normal</v>
      </c>
    </row>
    <row r="1361" customFormat="false" ht="15" hidden="false" customHeight="true" outlineLevel="0" collapsed="false">
      <c r="A1361" s="27" t="s">
        <v>95</v>
      </c>
      <c r="B1361" s="41" t="n">
        <v>46303.346875</v>
      </c>
      <c r="C1361" s="27" t="s">
        <v>200</v>
      </c>
      <c r="D1361" s="27" t="n">
        <v>51</v>
      </c>
      <c r="E1361" s="27" t="n">
        <v>19.4</v>
      </c>
      <c r="F1361" s="27" t="n">
        <v>38.5</v>
      </c>
      <c r="G1361" s="27" t="n">
        <v>33</v>
      </c>
      <c r="H1361" s="27" t="s">
        <v>199</v>
      </c>
      <c r="I1361" s="42" t="n">
        <f aca="false">(D1361-INDEX('Cohort Summary'!$D$5:$D$14,MATCH($A1361,'Cohort Summary'!$A$5:$A$14,0)))/INDEX('Cohort Summary'!$E$5:$E$14,MATCH($A1361,'Cohort Summary'!$A$5:$A$14,0))</f>
        <v>1.03806228373702</v>
      </c>
      <c r="J1361" s="42" t="n">
        <f aca="false">(E1361-INDEX('Cohort Summary'!$F$5:$F$14,MATCH($A1361,'Cohort Summary'!$A$5:$A$14,0)))/INDEX('Cohort Summary'!$G$5:$G$14,MATCH($A1361,'Cohort Summary'!$A$5:$A$14,0))</f>
        <v>0.497382198952879</v>
      </c>
      <c r="K1361" s="42" t="n">
        <f aca="false">(F1361-INDEX('Cohort Summary'!$H$5:$H$14,MATCH($A1361,'Cohort Summary'!$A$5:$A$14,0)))/INDEX('Cohort Summary'!$I$5:$I$14,MATCH($A1361,'Cohort Summary'!$A$5:$A$14,0))</f>
        <v>1.49049429657795</v>
      </c>
      <c r="L1361" s="42" t="n">
        <f aca="false">(G1361-INDEX('Cohort Summary'!$J$5:$J$14,MATCH($A1361,'Cohort Summary'!$A$5:$A$14,0)))/INDEX('Cohort Summary'!$K$5:$K$14,MATCH($A1361,'Cohort Summary'!$A$5:$A$14,0))</f>
        <v>-0.754098360655739</v>
      </c>
      <c r="M1361" s="42" t="n">
        <f aca="false">MAX(I1361:K1361)</f>
        <v>1.49049429657795</v>
      </c>
      <c r="N1361" s="27" t="s">
        <v>197</v>
      </c>
      <c r="O1361" s="27"/>
      <c r="P1361" s="27" t="str">
        <f aca="false">A1361&amp;"|"&amp;N1361</f>
        <v>NURSE-07|normal</v>
      </c>
    </row>
    <row r="1362" customFormat="false" ht="15" hidden="false" customHeight="true" outlineLevel="0" collapsed="false">
      <c r="A1362" s="27" t="s">
        <v>95</v>
      </c>
      <c r="B1362" s="41" t="n">
        <v>46303.3472222222</v>
      </c>
      <c r="C1362" s="27" t="s">
        <v>200</v>
      </c>
      <c r="D1362" s="27" t="n">
        <v>49</v>
      </c>
      <c r="E1362" s="27" t="n">
        <v>20.1</v>
      </c>
      <c r="F1362" s="27" t="n">
        <v>32</v>
      </c>
      <c r="G1362" s="27" t="n">
        <v>33</v>
      </c>
      <c r="H1362" s="27" t="s">
        <v>199</v>
      </c>
      <c r="I1362" s="42" t="n">
        <f aca="false">(D1362-INDEX('Cohort Summary'!$D$5:$D$14,MATCH($A1362,'Cohort Summary'!$A$5:$A$14,0)))/INDEX('Cohort Summary'!$E$5:$E$14,MATCH($A1362,'Cohort Summary'!$A$5:$A$14,0))</f>
        <v>0.346020761245675</v>
      </c>
      <c r="J1362" s="42" t="n">
        <f aca="false">(E1362-INDEX('Cohort Summary'!$F$5:$F$14,MATCH($A1362,'Cohort Summary'!$A$5:$A$14,0)))/INDEX('Cohort Summary'!$G$5:$G$14,MATCH($A1362,'Cohort Summary'!$A$5:$A$14,0))</f>
        <v>0.863874345549739</v>
      </c>
      <c r="K1362" s="42" t="n">
        <f aca="false">(F1362-INDEX('Cohort Summary'!$H$5:$H$14,MATCH($A1362,'Cohort Summary'!$A$5:$A$14,0)))/INDEX('Cohort Summary'!$I$5:$I$14,MATCH($A1362,'Cohort Summary'!$A$5:$A$14,0))</f>
        <v>-0.980988593155893</v>
      </c>
      <c r="L1362" s="42" t="n">
        <f aca="false">(G1362-INDEX('Cohort Summary'!$J$5:$J$14,MATCH($A1362,'Cohort Summary'!$A$5:$A$14,0)))/INDEX('Cohort Summary'!$K$5:$K$14,MATCH($A1362,'Cohort Summary'!$A$5:$A$14,0))</f>
        <v>-0.754098360655739</v>
      </c>
      <c r="M1362" s="42" t="n">
        <f aca="false">MAX(I1362:K1362)</f>
        <v>0.863874345549739</v>
      </c>
      <c r="N1362" s="27" t="s">
        <v>197</v>
      </c>
      <c r="O1362" s="27"/>
      <c r="P1362" s="27" t="str">
        <f aca="false">A1362&amp;"|"&amp;N1362</f>
        <v>NURSE-07|normal</v>
      </c>
    </row>
    <row r="1363" customFormat="false" ht="15" hidden="false" customHeight="true" outlineLevel="0" collapsed="false">
      <c r="A1363" s="27" t="s">
        <v>95</v>
      </c>
      <c r="B1363" s="41" t="n">
        <v>46303.3475694444</v>
      </c>
      <c r="C1363" s="27" t="s">
        <v>200</v>
      </c>
      <c r="D1363" s="27" t="n">
        <v>43.2</v>
      </c>
      <c r="E1363" s="27" t="n">
        <v>17.1</v>
      </c>
      <c r="F1363" s="27" t="n">
        <v>39.2</v>
      </c>
      <c r="G1363" s="27" t="n">
        <v>32.8</v>
      </c>
      <c r="H1363" s="27" t="s">
        <v>198</v>
      </c>
      <c r="I1363" s="42" t="n">
        <f aca="false">(D1363-INDEX('Cohort Summary'!$D$5:$D$14,MATCH($A1363,'Cohort Summary'!$A$5:$A$14,0)))/INDEX('Cohort Summary'!$E$5:$E$14,MATCH($A1363,'Cohort Summary'!$A$5:$A$14,0))</f>
        <v>-1.66089965397924</v>
      </c>
      <c r="J1363" s="42" t="n">
        <f aca="false">(E1363-INDEX('Cohort Summary'!$F$5:$F$14,MATCH($A1363,'Cohort Summary'!$A$5:$A$14,0)))/INDEX('Cohort Summary'!$G$5:$G$14,MATCH($A1363,'Cohort Summary'!$A$5:$A$14,0))</f>
        <v>-0.706806282722512</v>
      </c>
      <c r="K1363" s="42" t="n">
        <f aca="false">(F1363-INDEX('Cohort Summary'!$H$5:$H$14,MATCH($A1363,'Cohort Summary'!$A$5:$A$14,0)))/INDEX('Cohort Summary'!$I$5:$I$14,MATCH($A1363,'Cohort Summary'!$A$5:$A$14,0))</f>
        <v>1.75665399239544</v>
      </c>
      <c r="L1363" s="42" t="n">
        <f aca="false">(G1363-INDEX('Cohort Summary'!$J$5:$J$14,MATCH($A1363,'Cohort Summary'!$A$5:$A$14,0)))/INDEX('Cohort Summary'!$K$5:$K$14,MATCH($A1363,'Cohort Summary'!$A$5:$A$14,0))</f>
        <v>-1.08196721311476</v>
      </c>
      <c r="M1363" s="42" t="n">
        <f aca="false">MAX(I1363:K1363)</f>
        <v>1.75665399239544</v>
      </c>
      <c r="N1363" s="27" t="s">
        <v>197</v>
      </c>
      <c r="O1363" s="27"/>
      <c r="P1363" s="27" t="str">
        <f aca="false">A1363&amp;"|"&amp;N1363</f>
        <v>NURSE-07|normal</v>
      </c>
    </row>
    <row r="1364" customFormat="false" ht="15" hidden="false" customHeight="true" outlineLevel="0" collapsed="false">
      <c r="A1364" s="27" t="s">
        <v>95</v>
      </c>
      <c r="B1364" s="41" t="n">
        <v>46303.3479166667</v>
      </c>
      <c r="C1364" s="27" t="s">
        <v>200</v>
      </c>
      <c r="D1364" s="27" t="n">
        <v>44.7</v>
      </c>
      <c r="E1364" s="27" t="n">
        <v>20.1</v>
      </c>
      <c r="F1364" s="27" t="n">
        <v>31.2</v>
      </c>
      <c r="G1364" s="27" t="n">
        <v>33.9</v>
      </c>
      <c r="H1364" s="27" t="s">
        <v>198</v>
      </c>
      <c r="I1364" s="42" t="n">
        <f aca="false">(D1364-INDEX('Cohort Summary'!$D$5:$D$14,MATCH($A1364,'Cohort Summary'!$A$5:$A$14,0)))/INDEX('Cohort Summary'!$E$5:$E$14,MATCH($A1364,'Cohort Summary'!$A$5:$A$14,0))</f>
        <v>-1.14186851211073</v>
      </c>
      <c r="J1364" s="42" t="n">
        <f aca="false">(E1364-INDEX('Cohort Summary'!$F$5:$F$14,MATCH($A1364,'Cohort Summary'!$A$5:$A$14,0)))/INDEX('Cohort Summary'!$G$5:$G$14,MATCH($A1364,'Cohort Summary'!$A$5:$A$14,0))</f>
        <v>0.863874345549739</v>
      </c>
      <c r="K1364" s="42" t="n">
        <f aca="false">(F1364-INDEX('Cohort Summary'!$H$5:$H$14,MATCH($A1364,'Cohort Summary'!$A$5:$A$14,0)))/INDEX('Cohort Summary'!$I$5:$I$14,MATCH($A1364,'Cohort Summary'!$A$5:$A$14,0))</f>
        <v>-1.2851711026616</v>
      </c>
      <c r="L1364" s="42" t="n">
        <f aca="false">(G1364-INDEX('Cohort Summary'!$J$5:$J$14,MATCH($A1364,'Cohort Summary'!$A$5:$A$14,0)))/INDEX('Cohort Summary'!$K$5:$K$14,MATCH($A1364,'Cohort Summary'!$A$5:$A$14,0))</f>
        <v>0.721311475409832</v>
      </c>
      <c r="M1364" s="42" t="n">
        <f aca="false">MAX(I1364:K1364)</f>
        <v>0.863874345549739</v>
      </c>
      <c r="N1364" s="27" t="s">
        <v>197</v>
      </c>
      <c r="O1364" s="27"/>
      <c r="P1364" s="27" t="str">
        <f aca="false">A1364&amp;"|"&amp;N1364</f>
        <v>NURSE-07|normal</v>
      </c>
    </row>
    <row r="1365" customFormat="false" ht="15" hidden="false" customHeight="true" outlineLevel="0" collapsed="false">
      <c r="A1365" s="27" t="s">
        <v>95</v>
      </c>
      <c r="B1365" s="41" t="n">
        <v>46303.3482638889</v>
      </c>
      <c r="C1365" s="27" t="s">
        <v>200</v>
      </c>
      <c r="D1365" s="27" t="n">
        <v>52.6</v>
      </c>
      <c r="E1365" s="27" t="n">
        <v>17.1</v>
      </c>
      <c r="F1365" s="27" t="n">
        <v>37.6</v>
      </c>
      <c r="G1365" s="27" t="n">
        <v>33.2</v>
      </c>
      <c r="H1365" s="27" t="s">
        <v>196</v>
      </c>
      <c r="I1365" s="42" t="n">
        <f aca="false">(D1365-INDEX('Cohort Summary'!$D$5:$D$14,MATCH($A1365,'Cohort Summary'!$A$5:$A$14,0)))/INDEX('Cohort Summary'!$E$5:$E$14,MATCH($A1365,'Cohort Summary'!$A$5:$A$14,0))</f>
        <v>1.5916955017301</v>
      </c>
      <c r="J1365" s="42" t="n">
        <f aca="false">(E1365-INDEX('Cohort Summary'!$F$5:$F$14,MATCH($A1365,'Cohort Summary'!$A$5:$A$14,0)))/INDEX('Cohort Summary'!$G$5:$G$14,MATCH($A1365,'Cohort Summary'!$A$5:$A$14,0))</f>
        <v>-0.706806282722512</v>
      </c>
      <c r="K1365" s="42" t="n">
        <f aca="false">(F1365-INDEX('Cohort Summary'!$H$5:$H$14,MATCH($A1365,'Cohort Summary'!$A$5:$A$14,0)))/INDEX('Cohort Summary'!$I$5:$I$14,MATCH($A1365,'Cohort Summary'!$A$5:$A$14,0))</f>
        <v>1.14828897338403</v>
      </c>
      <c r="L1365" s="42" t="n">
        <f aca="false">(G1365-INDEX('Cohort Summary'!$J$5:$J$14,MATCH($A1365,'Cohort Summary'!$A$5:$A$14,0)))/INDEX('Cohort Summary'!$K$5:$K$14,MATCH($A1365,'Cohort Summary'!$A$5:$A$14,0))</f>
        <v>-0.426229508196718</v>
      </c>
      <c r="M1365" s="42" t="n">
        <f aca="false">MAX(I1365:K1365)</f>
        <v>1.5916955017301</v>
      </c>
      <c r="N1365" s="27" t="s">
        <v>197</v>
      </c>
      <c r="O1365" s="27"/>
      <c r="P1365" s="27" t="str">
        <f aca="false">A1365&amp;"|"&amp;N1365</f>
        <v>NURSE-07|normal</v>
      </c>
    </row>
    <row r="1366" customFormat="false" ht="15" hidden="false" customHeight="true" outlineLevel="0" collapsed="false">
      <c r="A1366" s="27" t="s">
        <v>95</v>
      </c>
      <c r="B1366" s="41" t="n">
        <v>46303.3486111111</v>
      </c>
      <c r="C1366" s="27" t="s">
        <v>200</v>
      </c>
      <c r="D1366" s="27" t="n">
        <v>51.8</v>
      </c>
      <c r="E1366" s="27" t="n">
        <v>21.6</v>
      </c>
      <c r="F1366" s="27" t="n">
        <v>32.8</v>
      </c>
      <c r="G1366" s="27" t="n">
        <v>33.9</v>
      </c>
      <c r="H1366" s="27" t="s">
        <v>196</v>
      </c>
      <c r="I1366" s="42" t="n">
        <f aca="false">(D1366-INDEX('Cohort Summary'!$D$5:$D$14,MATCH($A1366,'Cohort Summary'!$A$5:$A$14,0)))/INDEX('Cohort Summary'!$E$5:$E$14,MATCH($A1366,'Cohort Summary'!$A$5:$A$14,0))</f>
        <v>1.31487889273356</v>
      </c>
      <c r="J1366" s="42" t="n">
        <f aca="false">(E1366-INDEX('Cohort Summary'!$F$5:$F$14,MATCH($A1366,'Cohort Summary'!$A$5:$A$14,0)))/INDEX('Cohort Summary'!$G$5:$G$14,MATCH($A1366,'Cohort Summary'!$A$5:$A$14,0))</f>
        <v>1.64921465968587</v>
      </c>
      <c r="K1366" s="42" t="n">
        <f aca="false">(F1366-INDEX('Cohort Summary'!$H$5:$H$14,MATCH($A1366,'Cohort Summary'!$A$5:$A$14,0)))/INDEX('Cohort Summary'!$I$5:$I$14,MATCH($A1366,'Cohort Summary'!$A$5:$A$14,0))</f>
        <v>-0.676806083650191</v>
      </c>
      <c r="L1366" s="42" t="n">
        <f aca="false">(G1366-INDEX('Cohort Summary'!$J$5:$J$14,MATCH($A1366,'Cohort Summary'!$A$5:$A$14,0)))/INDEX('Cohort Summary'!$K$5:$K$14,MATCH($A1366,'Cohort Summary'!$A$5:$A$14,0))</f>
        <v>0.721311475409832</v>
      </c>
      <c r="M1366" s="42" t="n">
        <f aca="false">MAX(I1366:K1366)</f>
        <v>1.64921465968587</v>
      </c>
      <c r="N1366" s="27" t="s">
        <v>197</v>
      </c>
      <c r="O1366" s="27"/>
      <c r="P1366" s="27" t="str">
        <f aca="false">A1366&amp;"|"&amp;N1366</f>
        <v>NURSE-07|normal</v>
      </c>
    </row>
    <row r="1367" customFormat="false" ht="15" hidden="false" customHeight="true" outlineLevel="0" collapsed="false">
      <c r="A1367" s="27" t="s">
        <v>95</v>
      </c>
      <c r="B1367" s="41" t="n">
        <v>46303.3489583333</v>
      </c>
      <c r="C1367" s="27" t="s">
        <v>200</v>
      </c>
      <c r="D1367" s="27" t="n">
        <v>52.2</v>
      </c>
      <c r="E1367" s="27" t="n">
        <v>17.4</v>
      </c>
      <c r="F1367" s="27" t="n">
        <v>36.6</v>
      </c>
      <c r="G1367" s="27" t="n">
        <v>34.3</v>
      </c>
      <c r="H1367" s="27" t="s">
        <v>196</v>
      </c>
      <c r="I1367" s="42" t="n">
        <f aca="false">(D1367-INDEX('Cohort Summary'!$D$5:$D$14,MATCH($A1367,'Cohort Summary'!$A$5:$A$14,0)))/INDEX('Cohort Summary'!$E$5:$E$14,MATCH($A1367,'Cohort Summary'!$A$5:$A$14,0))</f>
        <v>1.45328719723183</v>
      </c>
      <c r="J1367" s="42" t="n">
        <f aca="false">(E1367-INDEX('Cohort Summary'!$F$5:$F$14,MATCH($A1367,'Cohort Summary'!$A$5:$A$14,0)))/INDEX('Cohort Summary'!$G$5:$G$14,MATCH($A1367,'Cohort Summary'!$A$5:$A$14,0))</f>
        <v>-0.549738219895288</v>
      </c>
      <c r="K1367" s="42" t="n">
        <f aca="false">(F1367-INDEX('Cohort Summary'!$H$5:$H$14,MATCH($A1367,'Cohort Summary'!$A$5:$A$14,0)))/INDEX('Cohort Summary'!$I$5:$I$14,MATCH($A1367,'Cohort Summary'!$A$5:$A$14,0))</f>
        <v>0.768060836501902</v>
      </c>
      <c r="L1367" s="42" t="n">
        <f aca="false">(G1367-INDEX('Cohort Summary'!$J$5:$J$14,MATCH($A1367,'Cohort Summary'!$A$5:$A$14,0)))/INDEX('Cohort Summary'!$K$5:$K$14,MATCH($A1367,'Cohort Summary'!$A$5:$A$14,0))</f>
        <v>1.37704918032786</v>
      </c>
      <c r="M1367" s="42" t="n">
        <f aca="false">MAX(I1367:K1367)</f>
        <v>1.45328719723183</v>
      </c>
      <c r="N1367" s="27" t="s">
        <v>197</v>
      </c>
      <c r="O1367" s="27"/>
      <c r="P1367" s="27" t="str">
        <f aca="false">A1367&amp;"|"&amp;N1367</f>
        <v>NURSE-07|normal</v>
      </c>
    </row>
    <row r="1368" customFormat="false" ht="15" hidden="false" customHeight="true" outlineLevel="0" collapsed="false">
      <c r="A1368" s="27" t="s">
        <v>95</v>
      </c>
      <c r="B1368" s="41" t="n">
        <v>46303.3493055556</v>
      </c>
      <c r="C1368" s="27" t="s">
        <v>200</v>
      </c>
      <c r="D1368" s="27" t="n">
        <v>43.1</v>
      </c>
      <c r="E1368" s="27" t="n">
        <v>17.3</v>
      </c>
      <c r="F1368" s="27" t="n">
        <v>33.2</v>
      </c>
      <c r="G1368" s="27" t="n">
        <v>32.8</v>
      </c>
      <c r="H1368" s="27" t="s">
        <v>199</v>
      </c>
      <c r="I1368" s="42" t="n">
        <f aca="false">(D1368-INDEX('Cohort Summary'!$D$5:$D$14,MATCH($A1368,'Cohort Summary'!$A$5:$A$14,0)))/INDEX('Cohort Summary'!$E$5:$E$14,MATCH($A1368,'Cohort Summary'!$A$5:$A$14,0))</f>
        <v>-1.69550173010381</v>
      </c>
      <c r="J1368" s="42" t="n">
        <f aca="false">(E1368-INDEX('Cohort Summary'!$F$5:$F$14,MATCH($A1368,'Cohort Summary'!$A$5:$A$14,0)))/INDEX('Cohort Summary'!$G$5:$G$14,MATCH($A1368,'Cohort Summary'!$A$5:$A$14,0))</f>
        <v>-0.602094240837696</v>
      </c>
      <c r="K1368" s="42" t="n">
        <f aca="false">(F1368-INDEX('Cohort Summary'!$H$5:$H$14,MATCH($A1368,'Cohort Summary'!$A$5:$A$14,0)))/INDEX('Cohort Summary'!$I$5:$I$14,MATCH($A1368,'Cohort Summary'!$A$5:$A$14,0))</f>
        <v>-0.524714828897337</v>
      </c>
      <c r="L1368" s="42" t="n">
        <f aca="false">(G1368-INDEX('Cohort Summary'!$J$5:$J$14,MATCH($A1368,'Cohort Summary'!$A$5:$A$14,0)))/INDEX('Cohort Summary'!$K$5:$K$14,MATCH($A1368,'Cohort Summary'!$A$5:$A$14,0))</f>
        <v>-1.08196721311476</v>
      </c>
      <c r="M1368" s="42" t="n">
        <f aca="false">MAX(I1368:K1368)</f>
        <v>-0.524714828897337</v>
      </c>
      <c r="N1368" s="27" t="s">
        <v>197</v>
      </c>
      <c r="O1368" s="27"/>
      <c r="P1368" s="27" t="str">
        <f aca="false">A1368&amp;"|"&amp;N1368</f>
        <v>NURSE-07|normal</v>
      </c>
    </row>
    <row r="1369" customFormat="false" ht="15" hidden="false" customHeight="true" outlineLevel="0" collapsed="false">
      <c r="A1369" s="27" t="s">
        <v>95</v>
      </c>
      <c r="B1369" s="41" t="n">
        <v>46303.3496527778</v>
      </c>
      <c r="C1369" s="27" t="s">
        <v>200</v>
      </c>
      <c r="D1369" s="27" t="n">
        <v>45.6</v>
      </c>
      <c r="E1369" s="27" t="n">
        <v>17.4</v>
      </c>
      <c r="F1369" s="27" t="n">
        <v>37.3</v>
      </c>
      <c r="G1369" s="27" t="n">
        <v>33.7</v>
      </c>
      <c r="H1369" s="27" t="s">
        <v>199</v>
      </c>
      <c r="I1369" s="42" t="n">
        <f aca="false">(D1369-INDEX('Cohort Summary'!$D$5:$D$14,MATCH($A1369,'Cohort Summary'!$A$5:$A$14,0)))/INDEX('Cohort Summary'!$E$5:$E$14,MATCH($A1369,'Cohort Summary'!$A$5:$A$14,0))</f>
        <v>-0.830449826989619</v>
      </c>
      <c r="J1369" s="42" t="n">
        <f aca="false">(E1369-INDEX('Cohort Summary'!$F$5:$F$14,MATCH($A1369,'Cohort Summary'!$A$5:$A$14,0)))/INDEX('Cohort Summary'!$G$5:$G$14,MATCH($A1369,'Cohort Summary'!$A$5:$A$14,0))</f>
        <v>-0.549738219895288</v>
      </c>
      <c r="K1369" s="42" t="n">
        <f aca="false">(F1369-INDEX('Cohort Summary'!$H$5:$H$14,MATCH($A1369,'Cohort Summary'!$A$5:$A$14,0)))/INDEX('Cohort Summary'!$I$5:$I$14,MATCH($A1369,'Cohort Summary'!$A$5:$A$14,0))</f>
        <v>1.03422053231939</v>
      </c>
      <c r="L1369" s="42" t="n">
        <f aca="false">(G1369-INDEX('Cohort Summary'!$J$5:$J$14,MATCH($A1369,'Cohort Summary'!$A$5:$A$14,0)))/INDEX('Cohort Summary'!$K$5:$K$14,MATCH($A1369,'Cohort Summary'!$A$5:$A$14,0))</f>
        <v>0.393442622950823</v>
      </c>
      <c r="M1369" s="42" t="n">
        <f aca="false">MAX(I1369:K1369)</f>
        <v>1.03422053231939</v>
      </c>
      <c r="N1369" s="27" t="s">
        <v>197</v>
      </c>
      <c r="O1369" s="27"/>
      <c r="P1369" s="27" t="str">
        <f aca="false">A1369&amp;"|"&amp;N1369</f>
        <v>NURSE-07|normal</v>
      </c>
    </row>
    <row r="1370" customFormat="false" ht="15" hidden="false" customHeight="true" outlineLevel="0" collapsed="false">
      <c r="A1370" s="27" t="s">
        <v>95</v>
      </c>
      <c r="B1370" s="41" t="n">
        <v>46303.35</v>
      </c>
      <c r="C1370" s="27" t="s">
        <v>200</v>
      </c>
      <c r="D1370" s="27" t="n">
        <v>43.1</v>
      </c>
      <c r="E1370" s="27" t="n">
        <v>21.3</v>
      </c>
      <c r="F1370" s="27" t="n">
        <v>32.7</v>
      </c>
      <c r="G1370" s="27" t="n">
        <v>32.8</v>
      </c>
      <c r="H1370" s="27" t="s">
        <v>198</v>
      </c>
      <c r="I1370" s="42" t="n">
        <f aca="false">(D1370-INDEX('Cohort Summary'!$D$5:$D$14,MATCH($A1370,'Cohort Summary'!$A$5:$A$14,0)))/INDEX('Cohort Summary'!$E$5:$E$14,MATCH($A1370,'Cohort Summary'!$A$5:$A$14,0))</f>
        <v>-1.69550173010381</v>
      </c>
      <c r="J1370" s="42" t="n">
        <f aca="false">(E1370-INDEX('Cohort Summary'!$F$5:$F$14,MATCH($A1370,'Cohort Summary'!$A$5:$A$14,0)))/INDEX('Cohort Summary'!$G$5:$G$14,MATCH($A1370,'Cohort Summary'!$A$5:$A$14,0))</f>
        <v>1.49214659685864</v>
      </c>
      <c r="K1370" s="42" t="n">
        <f aca="false">(F1370-INDEX('Cohort Summary'!$H$5:$H$14,MATCH($A1370,'Cohort Summary'!$A$5:$A$14,0)))/INDEX('Cohort Summary'!$I$5:$I$14,MATCH($A1370,'Cohort Summary'!$A$5:$A$14,0))</f>
        <v>-0.714828897338401</v>
      </c>
      <c r="L1370" s="42" t="n">
        <f aca="false">(G1370-INDEX('Cohort Summary'!$J$5:$J$14,MATCH($A1370,'Cohort Summary'!$A$5:$A$14,0)))/INDEX('Cohort Summary'!$K$5:$K$14,MATCH($A1370,'Cohort Summary'!$A$5:$A$14,0))</f>
        <v>-1.08196721311476</v>
      </c>
      <c r="M1370" s="42" t="n">
        <f aca="false">MAX(I1370:K1370)</f>
        <v>1.49214659685864</v>
      </c>
      <c r="N1370" s="27" t="s">
        <v>197</v>
      </c>
      <c r="O1370" s="27"/>
      <c r="P1370" s="27" t="str">
        <f aca="false">A1370&amp;"|"&amp;N1370</f>
        <v>NURSE-07|normal</v>
      </c>
    </row>
    <row r="1371" customFormat="false" ht="15" hidden="false" customHeight="true" outlineLevel="0" collapsed="false">
      <c r="A1371" s="27" t="s">
        <v>95</v>
      </c>
      <c r="B1371" s="41" t="n">
        <v>46303.3503472222</v>
      </c>
      <c r="C1371" s="27" t="s">
        <v>200</v>
      </c>
      <c r="D1371" s="27" t="n">
        <v>49.4</v>
      </c>
      <c r="E1371" s="27" t="n">
        <v>17.4</v>
      </c>
      <c r="F1371" s="27" t="n">
        <v>35.1</v>
      </c>
      <c r="G1371" s="27" t="n">
        <v>33.3</v>
      </c>
      <c r="H1371" s="27" t="s">
        <v>198</v>
      </c>
      <c r="I1371" s="42" t="n">
        <f aca="false">(D1371-INDEX('Cohort Summary'!$D$5:$D$14,MATCH($A1371,'Cohort Summary'!$A$5:$A$14,0)))/INDEX('Cohort Summary'!$E$5:$E$14,MATCH($A1371,'Cohort Summary'!$A$5:$A$14,0))</f>
        <v>0.484429065743944</v>
      </c>
      <c r="J1371" s="42" t="n">
        <f aca="false">(E1371-INDEX('Cohort Summary'!$F$5:$F$14,MATCH($A1371,'Cohort Summary'!$A$5:$A$14,0)))/INDEX('Cohort Summary'!$G$5:$G$14,MATCH($A1371,'Cohort Summary'!$A$5:$A$14,0))</f>
        <v>-0.549738219895288</v>
      </c>
      <c r="K1371" s="42" t="n">
        <f aca="false">(F1371-INDEX('Cohort Summary'!$H$5:$H$14,MATCH($A1371,'Cohort Summary'!$A$5:$A$14,0)))/INDEX('Cohort Summary'!$I$5:$I$14,MATCH($A1371,'Cohort Summary'!$A$5:$A$14,0))</f>
        <v>0.197718631178708</v>
      </c>
      <c r="L1371" s="42" t="n">
        <f aca="false">(G1371-INDEX('Cohort Summary'!$J$5:$J$14,MATCH($A1371,'Cohort Summary'!$A$5:$A$14,0)))/INDEX('Cohort Summary'!$K$5:$K$14,MATCH($A1371,'Cohort Summary'!$A$5:$A$14,0))</f>
        <v>-0.262295081967219</v>
      </c>
      <c r="M1371" s="42" t="n">
        <f aca="false">MAX(I1371:K1371)</f>
        <v>0.484429065743944</v>
      </c>
      <c r="N1371" s="27" t="s">
        <v>197</v>
      </c>
      <c r="O1371" s="27"/>
      <c r="P1371" s="27" t="str">
        <f aca="false">A1371&amp;"|"&amp;N1371</f>
        <v>NURSE-07|normal</v>
      </c>
    </row>
    <row r="1372" customFormat="false" ht="15" hidden="false" customHeight="true" outlineLevel="0" collapsed="false">
      <c r="A1372" s="27" t="s">
        <v>95</v>
      </c>
      <c r="B1372" s="41" t="n">
        <v>46303.3506944445</v>
      </c>
      <c r="C1372" s="27" t="s">
        <v>200</v>
      </c>
      <c r="D1372" s="27" t="n">
        <v>48.8</v>
      </c>
      <c r="E1372" s="27" t="n">
        <v>18.1</v>
      </c>
      <c r="F1372" s="27" t="n">
        <v>33.1</v>
      </c>
      <c r="G1372" s="27" t="n">
        <v>33.5</v>
      </c>
      <c r="H1372" s="27" t="s">
        <v>196</v>
      </c>
      <c r="I1372" s="42" t="n">
        <f aca="false">(D1372-INDEX('Cohort Summary'!$D$5:$D$14,MATCH($A1372,'Cohort Summary'!$A$5:$A$14,0)))/INDEX('Cohort Summary'!$E$5:$E$14,MATCH($A1372,'Cohort Summary'!$A$5:$A$14,0))</f>
        <v>0.276816608996539</v>
      </c>
      <c r="J1372" s="42" t="n">
        <f aca="false">(E1372-INDEX('Cohort Summary'!$F$5:$F$14,MATCH($A1372,'Cohort Summary'!$A$5:$A$14,0)))/INDEX('Cohort Summary'!$G$5:$G$14,MATCH($A1372,'Cohort Summary'!$A$5:$A$14,0))</f>
        <v>-0.183246073298428</v>
      </c>
      <c r="K1372" s="42" t="n">
        <f aca="false">(F1372-INDEX('Cohort Summary'!$H$5:$H$14,MATCH($A1372,'Cohort Summary'!$A$5:$A$14,0)))/INDEX('Cohort Summary'!$I$5:$I$14,MATCH($A1372,'Cohort Summary'!$A$5:$A$14,0))</f>
        <v>-0.56273764258555</v>
      </c>
      <c r="L1372" s="42" t="n">
        <f aca="false">(G1372-INDEX('Cohort Summary'!$J$5:$J$14,MATCH($A1372,'Cohort Summary'!$A$5:$A$14,0)))/INDEX('Cohort Summary'!$K$5:$K$14,MATCH($A1372,'Cohort Summary'!$A$5:$A$14,0))</f>
        <v>0.0655737704918019</v>
      </c>
      <c r="M1372" s="42" t="n">
        <f aca="false">MAX(I1372:K1372)</f>
        <v>0.276816608996539</v>
      </c>
      <c r="N1372" s="27" t="s">
        <v>197</v>
      </c>
      <c r="O1372" s="27"/>
      <c r="P1372" s="27" t="str">
        <f aca="false">A1372&amp;"|"&amp;N1372</f>
        <v>NURSE-07|normal</v>
      </c>
    </row>
    <row r="1373" customFormat="false" ht="15" hidden="false" customHeight="true" outlineLevel="0" collapsed="false">
      <c r="A1373" s="27" t="s">
        <v>95</v>
      </c>
      <c r="B1373" s="41" t="n">
        <v>46303.3510416667</v>
      </c>
      <c r="C1373" s="27" t="s">
        <v>200</v>
      </c>
      <c r="D1373" s="27" t="n">
        <v>43.4</v>
      </c>
      <c r="E1373" s="27" t="n">
        <v>17.9</v>
      </c>
      <c r="F1373" s="27" t="n">
        <v>36.2</v>
      </c>
      <c r="G1373" s="27" t="n">
        <v>32.9</v>
      </c>
      <c r="H1373" s="27" t="s">
        <v>198</v>
      </c>
      <c r="I1373" s="42" t="n">
        <f aca="false">(D1373-INDEX('Cohort Summary'!$D$5:$D$14,MATCH($A1373,'Cohort Summary'!$A$5:$A$14,0)))/INDEX('Cohort Summary'!$E$5:$E$14,MATCH($A1373,'Cohort Summary'!$A$5:$A$14,0))</f>
        <v>-1.5916955017301</v>
      </c>
      <c r="J1373" s="42" t="n">
        <f aca="false">(E1373-INDEX('Cohort Summary'!$F$5:$F$14,MATCH($A1373,'Cohort Summary'!$A$5:$A$14,0)))/INDEX('Cohort Summary'!$G$5:$G$14,MATCH($A1373,'Cohort Summary'!$A$5:$A$14,0))</f>
        <v>-0.287958115183246</v>
      </c>
      <c r="K1373" s="42" t="n">
        <f aca="false">(F1373-INDEX('Cohort Summary'!$H$5:$H$14,MATCH($A1373,'Cohort Summary'!$A$5:$A$14,0)))/INDEX('Cohort Summary'!$I$5:$I$14,MATCH($A1373,'Cohort Summary'!$A$5:$A$14,0))</f>
        <v>0.615969581749051</v>
      </c>
      <c r="L1373" s="42" t="n">
        <f aca="false">(G1373-INDEX('Cohort Summary'!$J$5:$J$14,MATCH($A1373,'Cohort Summary'!$A$5:$A$14,0)))/INDEX('Cohort Summary'!$K$5:$K$14,MATCH($A1373,'Cohort Summary'!$A$5:$A$14,0))</f>
        <v>-0.91803278688525</v>
      </c>
      <c r="M1373" s="42" t="n">
        <f aca="false">MAX(I1373:K1373)</f>
        <v>0.615969581749051</v>
      </c>
      <c r="N1373" s="27" t="s">
        <v>197</v>
      </c>
      <c r="O1373" s="27"/>
      <c r="P1373" s="27" t="str">
        <f aca="false">A1373&amp;"|"&amp;N1373</f>
        <v>NURSE-07|normal</v>
      </c>
    </row>
    <row r="1374" customFormat="false" ht="15" hidden="false" customHeight="true" outlineLevel="0" collapsed="false">
      <c r="A1374" s="27" t="s">
        <v>95</v>
      </c>
      <c r="B1374" s="41" t="n">
        <v>46303.3513888889</v>
      </c>
      <c r="C1374" s="27" t="s">
        <v>200</v>
      </c>
      <c r="D1374" s="27" t="n">
        <v>47.8</v>
      </c>
      <c r="E1374" s="27" t="n">
        <v>17.3</v>
      </c>
      <c r="F1374" s="27" t="n">
        <v>31.3</v>
      </c>
      <c r="G1374" s="27" t="n">
        <v>34.2</v>
      </c>
      <c r="H1374" s="27" t="s">
        <v>196</v>
      </c>
      <c r="I1374" s="42" t="n">
        <f aca="false">(D1374-INDEX('Cohort Summary'!$D$5:$D$14,MATCH($A1374,'Cohort Summary'!$A$5:$A$14,0)))/INDEX('Cohort Summary'!$E$5:$E$14,MATCH($A1374,'Cohort Summary'!$A$5:$A$14,0))</f>
        <v>-0.0692041522491359</v>
      </c>
      <c r="J1374" s="42" t="n">
        <f aca="false">(E1374-INDEX('Cohort Summary'!$F$5:$F$14,MATCH($A1374,'Cohort Summary'!$A$5:$A$14,0)))/INDEX('Cohort Summary'!$G$5:$G$14,MATCH($A1374,'Cohort Summary'!$A$5:$A$14,0))</f>
        <v>-0.602094240837696</v>
      </c>
      <c r="K1374" s="42" t="n">
        <f aca="false">(F1374-INDEX('Cohort Summary'!$H$5:$H$14,MATCH($A1374,'Cohort Summary'!$A$5:$A$14,0)))/INDEX('Cohort Summary'!$I$5:$I$14,MATCH($A1374,'Cohort Summary'!$A$5:$A$14,0))</f>
        <v>-1.24714828897338</v>
      </c>
      <c r="L1374" s="42" t="n">
        <f aca="false">(G1374-INDEX('Cohort Summary'!$J$5:$J$14,MATCH($A1374,'Cohort Summary'!$A$5:$A$14,0)))/INDEX('Cohort Summary'!$K$5:$K$14,MATCH($A1374,'Cohort Summary'!$A$5:$A$14,0))</f>
        <v>1.21311475409836</v>
      </c>
      <c r="M1374" s="42" t="n">
        <f aca="false">MAX(I1374:K1374)</f>
        <v>-0.0692041522491359</v>
      </c>
      <c r="N1374" s="27" t="s">
        <v>197</v>
      </c>
      <c r="O1374" s="27"/>
      <c r="P1374" s="27" t="str">
        <f aca="false">A1374&amp;"|"&amp;N1374</f>
        <v>NURSE-07|normal</v>
      </c>
    </row>
    <row r="1375" customFormat="false" ht="15" hidden="false" customHeight="true" outlineLevel="0" collapsed="false">
      <c r="A1375" s="27" t="s">
        <v>95</v>
      </c>
      <c r="B1375" s="41" t="n">
        <v>46303.3517361111</v>
      </c>
      <c r="C1375" s="27" t="s">
        <v>200</v>
      </c>
      <c r="D1375" s="27" t="n">
        <v>49.9</v>
      </c>
      <c r="E1375" s="27" t="n">
        <v>16.6</v>
      </c>
      <c r="F1375" s="27" t="n">
        <v>32.5</v>
      </c>
      <c r="G1375" s="27" t="n">
        <v>32.9</v>
      </c>
      <c r="H1375" s="27" t="s">
        <v>198</v>
      </c>
      <c r="I1375" s="42" t="n">
        <f aca="false">(D1375-INDEX('Cohort Summary'!$D$5:$D$14,MATCH($A1375,'Cohort Summary'!$A$5:$A$14,0)))/INDEX('Cohort Summary'!$E$5:$E$14,MATCH($A1375,'Cohort Summary'!$A$5:$A$14,0))</f>
        <v>0.657439446366782</v>
      </c>
      <c r="J1375" s="42" t="n">
        <f aca="false">(E1375-INDEX('Cohort Summary'!$F$5:$F$14,MATCH($A1375,'Cohort Summary'!$A$5:$A$14,0)))/INDEX('Cohort Summary'!$G$5:$G$14,MATCH($A1375,'Cohort Summary'!$A$5:$A$14,0))</f>
        <v>-0.968586387434554</v>
      </c>
      <c r="K1375" s="42" t="n">
        <f aca="false">(F1375-INDEX('Cohort Summary'!$H$5:$H$14,MATCH($A1375,'Cohort Summary'!$A$5:$A$14,0)))/INDEX('Cohort Summary'!$I$5:$I$14,MATCH($A1375,'Cohort Summary'!$A$5:$A$14,0))</f>
        <v>-0.790874524714828</v>
      </c>
      <c r="L1375" s="42" t="n">
        <f aca="false">(G1375-INDEX('Cohort Summary'!$J$5:$J$14,MATCH($A1375,'Cohort Summary'!$A$5:$A$14,0)))/INDEX('Cohort Summary'!$K$5:$K$14,MATCH($A1375,'Cohort Summary'!$A$5:$A$14,0))</f>
        <v>-0.91803278688525</v>
      </c>
      <c r="M1375" s="42" t="n">
        <f aca="false">MAX(I1375:K1375)</f>
        <v>0.657439446366782</v>
      </c>
      <c r="N1375" s="27" t="s">
        <v>197</v>
      </c>
      <c r="O1375" s="27"/>
      <c r="P1375" s="27" t="str">
        <f aca="false">A1375&amp;"|"&amp;N1375</f>
        <v>NURSE-07|normal</v>
      </c>
    </row>
    <row r="1376" customFormat="false" ht="15" hidden="false" customHeight="true" outlineLevel="0" collapsed="false">
      <c r="A1376" s="27" t="s">
        <v>95</v>
      </c>
      <c r="B1376" s="41" t="n">
        <v>46303.3520833333</v>
      </c>
      <c r="C1376" s="27" t="s">
        <v>200</v>
      </c>
      <c r="D1376" s="27" t="n">
        <v>50</v>
      </c>
      <c r="E1376" s="27" t="n">
        <v>16.7</v>
      </c>
      <c r="F1376" s="27" t="n">
        <v>35.4</v>
      </c>
      <c r="G1376" s="27" t="n">
        <v>34.1</v>
      </c>
      <c r="H1376" s="27" t="s">
        <v>199</v>
      </c>
      <c r="I1376" s="42" t="n">
        <f aca="false">(D1376-INDEX('Cohort Summary'!$D$5:$D$14,MATCH($A1376,'Cohort Summary'!$A$5:$A$14,0)))/INDEX('Cohort Summary'!$E$5:$E$14,MATCH($A1376,'Cohort Summary'!$A$5:$A$14,0))</f>
        <v>0.692041522491349</v>
      </c>
      <c r="J1376" s="42" t="n">
        <f aca="false">(E1376-INDEX('Cohort Summary'!$F$5:$F$14,MATCH($A1376,'Cohort Summary'!$A$5:$A$14,0)))/INDEX('Cohort Summary'!$G$5:$G$14,MATCH($A1376,'Cohort Summary'!$A$5:$A$14,0))</f>
        <v>-0.916230366492147</v>
      </c>
      <c r="K1376" s="42" t="n">
        <f aca="false">(F1376-INDEX('Cohort Summary'!$H$5:$H$14,MATCH($A1376,'Cohort Summary'!$A$5:$A$14,0)))/INDEX('Cohort Summary'!$I$5:$I$14,MATCH($A1376,'Cohort Summary'!$A$5:$A$14,0))</f>
        <v>0.311787072243346</v>
      </c>
      <c r="L1376" s="42" t="n">
        <f aca="false">(G1376-INDEX('Cohort Summary'!$J$5:$J$14,MATCH($A1376,'Cohort Summary'!$A$5:$A$14,0)))/INDEX('Cohort Summary'!$K$5:$K$14,MATCH($A1376,'Cohort Summary'!$A$5:$A$14,0))</f>
        <v>1.04918032786885</v>
      </c>
      <c r="M1376" s="42" t="n">
        <f aca="false">MAX(I1376:K1376)</f>
        <v>0.692041522491349</v>
      </c>
      <c r="N1376" s="27" t="s">
        <v>197</v>
      </c>
      <c r="O1376" s="27"/>
      <c r="P1376" s="27" t="str">
        <f aca="false">A1376&amp;"|"&amp;N1376</f>
        <v>NURSE-07|normal</v>
      </c>
    </row>
    <row r="1377" customFormat="false" ht="15" hidden="false" customHeight="true" outlineLevel="0" collapsed="false">
      <c r="A1377" s="27" t="s">
        <v>95</v>
      </c>
      <c r="B1377" s="41" t="n">
        <v>46303.3524305556</v>
      </c>
      <c r="C1377" s="27" t="s">
        <v>200</v>
      </c>
      <c r="D1377" s="27" t="n">
        <v>51.6</v>
      </c>
      <c r="E1377" s="27" t="n">
        <v>17.6</v>
      </c>
      <c r="F1377" s="27" t="n">
        <v>30.6</v>
      </c>
      <c r="G1377" s="27" t="n">
        <v>33.7</v>
      </c>
      <c r="H1377" s="27" t="s">
        <v>198</v>
      </c>
      <c r="I1377" s="42" t="n">
        <f aca="false">(D1377-INDEX('Cohort Summary'!$D$5:$D$14,MATCH($A1377,'Cohort Summary'!$A$5:$A$14,0)))/INDEX('Cohort Summary'!$E$5:$E$14,MATCH($A1377,'Cohort Summary'!$A$5:$A$14,0))</f>
        <v>1.24567474048443</v>
      </c>
      <c r="J1377" s="42" t="n">
        <f aca="false">(E1377-INDEX('Cohort Summary'!$F$5:$F$14,MATCH($A1377,'Cohort Summary'!$A$5:$A$14,0)))/INDEX('Cohort Summary'!$G$5:$G$14,MATCH($A1377,'Cohort Summary'!$A$5:$A$14,0))</f>
        <v>-0.44502617801047</v>
      </c>
      <c r="K1377" s="42" t="n">
        <f aca="false">(F1377-INDEX('Cohort Summary'!$H$5:$H$14,MATCH($A1377,'Cohort Summary'!$A$5:$A$14,0)))/INDEX('Cohort Summary'!$I$5:$I$14,MATCH($A1377,'Cohort Summary'!$A$5:$A$14,0))</f>
        <v>-1.51330798479087</v>
      </c>
      <c r="L1377" s="42" t="n">
        <f aca="false">(G1377-INDEX('Cohort Summary'!$J$5:$J$14,MATCH($A1377,'Cohort Summary'!$A$5:$A$14,0)))/INDEX('Cohort Summary'!$K$5:$K$14,MATCH($A1377,'Cohort Summary'!$A$5:$A$14,0))</f>
        <v>0.393442622950823</v>
      </c>
      <c r="M1377" s="42" t="n">
        <f aca="false">MAX(I1377:K1377)</f>
        <v>1.24567474048443</v>
      </c>
      <c r="N1377" s="27" t="s">
        <v>197</v>
      </c>
      <c r="O1377" s="27"/>
      <c r="P1377" s="27" t="str">
        <f aca="false">A1377&amp;"|"&amp;N1377</f>
        <v>NURSE-07|normal</v>
      </c>
    </row>
    <row r="1378" customFormat="false" ht="15" hidden="false" customHeight="true" outlineLevel="0" collapsed="false">
      <c r="A1378" s="27" t="s">
        <v>95</v>
      </c>
      <c r="B1378" s="41" t="n">
        <v>46303.3527777778</v>
      </c>
      <c r="C1378" s="27" t="s">
        <v>200</v>
      </c>
      <c r="D1378" s="27" t="n">
        <v>47.3</v>
      </c>
      <c r="E1378" s="27" t="n">
        <v>21.9</v>
      </c>
      <c r="F1378" s="27" t="n">
        <v>31.9</v>
      </c>
      <c r="G1378" s="27" t="n">
        <v>33.8</v>
      </c>
      <c r="H1378" s="27" t="s">
        <v>198</v>
      </c>
      <c r="I1378" s="42" t="n">
        <f aca="false">(D1378-INDEX('Cohort Summary'!$D$5:$D$14,MATCH($A1378,'Cohort Summary'!$A$5:$A$14,0)))/INDEX('Cohort Summary'!$E$5:$E$14,MATCH($A1378,'Cohort Summary'!$A$5:$A$14,0))</f>
        <v>-0.242214532871973</v>
      </c>
      <c r="J1378" s="42" t="n">
        <f aca="false">(E1378-INDEX('Cohort Summary'!$F$5:$F$14,MATCH($A1378,'Cohort Summary'!$A$5:$A$14,0)))/INDEX('Cohort Summary'!$G$5:$G$14,MATCH($A1378,'Cohort Summary'!$A$5:$A$14,0))</f>
        <v>1.80628272251309</v>
      </c>
      <c r="K1378" s="42" t="n">
        <f aca="false">(F1378-INDEX('Cohort Summary'!$H$5:$H$14,MATCH($A1378,'Cohort Summary'!$A$5:$A$14,0)))/INDEX('Cohort Summary'!$I$5:$I$14,MATCH($A1378,'Cohort Summary'!$A$5:$A$14,0))</f>
        <v>-1.01901140684411</v>
      </c>
      <c r="L1378" s="42" t="n">
        <f aca="false">(G1378-INDEX('Cohort Summary'!$J$5:$J$14,MATCH($A1378,'Cohort Summary'!$A$5:$A$14,0)))/INDEX('Cohort Summary'!$K$5:$K$14,MATCH($A1378,'Cohort Summary'!$A$5:$A$14,0))</f>
        <v>0.557377049180322</v>
      </c>
      <c r="M1378" s="42" t="n">
        <f aca="false">MAX(I1378:K1378)</f>
        <v>1.80628272251309</v>
      </c>
      <c r="N1378" s="27" t="s">
        <v>197</v>
      </c>
      <c r="O1378" s="27"/>
      <c r="P1378" s="27" t="str">
        <f aca="false">A1378&amp;"|"&amp;N1378</f>
        <v>NURSE-07|normal</v>
      </c>
    </row>
    <row r="1379" customFormat="false" ht="15" hidden="false" customHeight="true" outlineLevel="0" collapsed="false">
      <c r="A1379" s="27" t="s">
        <v>95</v>
      </c>
      <c r="B1379" s="41" t="n">
        <v>46303.353125</v>
      </c>
      <c r="C1379" s="27" t="s">
        <v>200</v>
      </c>
      <c r="D1379" s="27" t="n">
        <v>43.9</v>
      </c>
      <c r="E1379" s="27" t="n">
        <v>17.4</v>
      </c>
      <c r="F1379" s="27" t="n">
        <v>34.9</v>
      </c>
      <c r="G1379" s="27" t="n">
        <v>33.4</v>
      </c>
      <c r="H1379" s="27" t="s">
        <v>198</v>
      </c>
      <c r="I1379" s="42" t="n">
        <f aca="false">(D1379-INDEX('Cohort Summary'!$D$5:$D$14,MATCH($A1379,'Cohort Summary'!$A$5:$A$14,0)))/INDEX('Cohort Summary'!$E$5:$E$14,MATCH($A1379,'Cohort Summary'!$A$5:$A$14,0))</f>
        <v>-1.41868512110727</v>
      </c>
      <c r="J1379" s="42" t="n">
        <f aca="false">(E1379-INDEX('Cohort Summary'!$F$5:$F$14,MATCH($A1379,'Cohort Summary'!$A$5:$A$14,0)))/INDEX('Cohort Summary'!$G$5:$G$14,MATCH($A1379,'Cohort Summary'!$A$5:$A$14,0))</f>
        <v>-0.549738219895288</v>
      </c>
      <c r="K1379" s="42" t="n">
        <f aca="false">(F1379-INDEX('Cohort Summary'!$H$5:$H$14,MATCH($A1379,'Cohort Summary'!$A$5:$A$14,0)))/INDEX('Cohort Summary'!$I$5:$I$14,MATCH($A1379,'Cohort Summary'!$A$5:$A$14,0))</f>
        <v>0.121673003802281</v>
      </c>
      <c r="L1379" s="42" t="n">
        <f aca="false">(G1379-INDEX('Cohort Summary'!$J$5:$J$14,MATCH($A1379,'Cohort Summary'!$A$5:$A$14,0)))/INDEX('Cohort Summary'!$K$5:$K$14,MATCH($A1379,'Cohort Summary'!$A$5:$A$14,0))</f>
        <v>-0.0983606557377087</v>
      </c>
      <c r="M1379" s="42" t="n">
        <f aca="false">MAX(I1379:K1379)</f>
        <v>0.121673003802281</v>
      </c>
      <c r="N1379" s="27" t="s">
        <v>197</v>
      </c>
      <c r="O1379" s="27"/>
      <c r="P1379" s="27" t="str">
        <f aca="false">A1379&amp;"|"&amp;N1379</f>
        <v>NURSE-07|normal</v>
      </c>
    </row>
    <row r="1380" customFormat="false" ht="15" hidden="false" customHeight="true" outlineLevel="0" collapsed="false">
      <c r="A1380" s="27" t="s">
        <v>95</v>
      </c>
      <c r="B1380" s="41" t="n">
        <v>46303.3534722222</v>
      </c>
      <c r="C1380" s="27" t="s">
        <v>200</v>
      </c>
      <c r="D1380" s="27" t="n">
        <v>66.5</v>
      </c>
      <c r="E1380" s="27" t="n">
        <v>19.4</v>
      </c>
      <c r="F1380" s="27" t="n">
        <v>46.2</v>
      </c>
      <c r="G1380" s="27" t="n">
        <v>35.7</v>
      </c>
      <c r="H1380" s="27" t="s">
        <v>198</v>
      </c>
      <c r="I1380" s="42" t="n">
        <f aca="false">(D1380-INDEX('Cohort Summary'!$D$5:$D$14,MATCH($A1380,'Cohort Summary'!$A$5:$A$14,0)))/INDEX('Cohort Summary'!$E$5:$E$14,MATCH($A1380,'Cohort Summary'!$A$5:$A$14,0))</f>
        <v>6.40138408304498</v>
      </c>
      <c r="J1380" s="42" t="n">
        <f aca="false">(E1380-INDEX('Cohort Summary'!$F$5:$F$14,MATCH($A1380,'Cohort Summary'!$A$5:$A$14,0)))/INDEX('Cohort Summary'!$G$5:$G$14,MATCH($A1380,'Cohort Summary'!$A$5:$A$14,0))</f>
        <v>0.497382198952879</v>
      </c>
      <c r="K1380" s="42" t="n">
        <f aca="false">(F1380-INDEX('Cohort Summary'!$H$5:$H$14,MATCH($A1380,'Cohort Summary'!$A$5:$A$14,0)))/INDEX('Cohort Summary'!$I$5:$I$14,MATCH($A1380,'Cohort Summary'!$A$5:$A$14,0))</f>
        <v>4.41825095057034</v>
      </c>
      <c r="L1380" s="42" t="n">
        <f aca="false">(G1380-INDEX('Cohort Summary'!$J$5:$J$14,MATCH($A1380,'Cohort Summary'!$A$5:$A$14,0)))/INDEX('Cohort Summary'!$K$5:$K$14,MATCH($A1380,'Cohort Summary'!$A$5:$A$14,0))</f>
        <v>3.67213114754099</v>
      </c>
      <c r="M1380" s="42" t="n">
        <f aca="false">MAX(I1380:K1380)</f>
        <v>6.40138408304498</v>
      </c>
      <c r="N1380" s="27" t="s">
        <v>212</v>
      </c>
      <c r="O1380" s="27" t="s">
        <v>305</v>
      </c>
      <c r="P1380" s="27" t="str">
        <f aca="false">A1380&amp;"|"&amp;N1380</f>
        <v>NURSE-07|alert</v>
      </c>
    </row>
    <row r="1381" customFormat="false" ht="15" hidden="false" customHeight="true" outlineLevel="0" collapsed="false">
      <c r="A1381" s="27" t="s">
        <v>95</v>
      </c>
      <c r="B1381" s="41" t="n">
        <v>46303.3538194444</v>
      </c>
      <c r="C1381" s="27" t="s">
        <v>200</v>
      </c>
      <c r="D1381" s="27" t="n">
        <v>58.3</v>
      </c>
      <c r="E1381" s="27" t="n">
        <v>16.5</v>
      </c>
      <c r="F1381" s="27" t="n">
        <v>48.6</v>
      </c>
      <c r="G1381" s="27" t="n">
        <v>36.3</v>
      </c>
      <c r="H1381" s="27" t="s">
        <v>198</v>
      </c>
      <c r="I1381" s="42" t="n">
        <f aca="false">(D1381-INDEX('Cohort Summary'!$D$5:$D$14,MATCH($A1381,'Cohort Summary'!$A$5:$A$14,0)))/INDEX('Cohort Summary'!$E$5:$E$14,MATCH($A1381,'Cohort Summary'!$A$5:$A$14,0))</f>
        <v>3.56401384083045</v>
      </c>
      <c r="J1381" s="42" t="n">
        <f aca="false">(E1381-INDEX('Cohort Summary'!$F$5:$F$14,MATCH($A1381,'Cohort Summary'!$A$5:$A$14,0)))/INDEX('Cohort Summary'!$G$5:$G$14,MATCH($A1381,'Cohort Summary'!$A$5:$A$14,0))</f>
        <v>-1.02094240837696</v>
      </c>
      <c r="K1381" s="42" t="n">
        <f aca="false">(F1381-INDEX('Cohort Summary'!$H$5:$H$14,MATCH($A1381,'Cohort Summary'!$A$5:$A$14,0)))/INDEX('Cohort Summary'!$I$5:$I$14,MATCH($A1381,'Cohort Summary'!$A$5:$A$14,0))</f>
        <v>5.33079847908745</v>
      </c>
      <c r="L1381" s="42" t="n">
        <f aca="false">(G1381-INDEX('Cohort Summary'!$J$5:$J$14,MATCH($A1381,'Cohort Summary'!$A$5:$A$14,0)))/INDEX('Cohort Summary'!$K$5:$K$14,MATCH($A1381,'Cohort Summary'!$A$5:$A$14,0))</f>
        <v>4.65573770491803</v>
      </c>
      <c r="M1381" s="42" t="n">
        <f aca="false">MAX(I1381:K1381)</f>
        <v>5.33079847908745</v>
      </c>
      <c r="N1381" s="27" t="s">
        <v>212</v>
      </c>
      <c r="O1381" s="27" t="s">
        <v>306</v>
      </c>
      <c r="P1381" s="27" t="str">
        <f aca="false">A1381&amp;"|"&amp;N1381</f>
        <v>NURSE-07|alert</v>
      </c>
    </row>
    <row r="1382" customFormat="false" ht="15" hidden="false" customHeight="true" outlineLevel="0" collapsed="false">
      <c r="A1382" s="27" t="s">
        <v>95</v>
      </c>
      <c r="B1382" s="41" t="n">
        <v>46303.3541666667</v>
      </c>
      <c r="C1382" s="27" t="s">
        <v>200</v>
      </c>
      <c r="D1382" s="27" t="n">
        <v>60.4</v>
      </c>
      <c r="E1382" s="27" t="n">
        <v>17.8</v>
      </c>
      <c r="F1382" s="27" t="n">
        <v>50.6</v>
      </c>
      <c r="G1382" s="27" t="n">
        <v>36.1</v>
      </c>
      <c r="H1382" s="27" t="s">
        <v>198</v>
      </c>
      <c r="I1382" s="42" t="n">
        <f aca="false">(D1382-INDEX('Cohort Summary'!$D$5:$D$14,MATCH($A1382,'Cohort Summary'!$A$5:$A$14,0)))/INDEX('Cohort Summary'!$E$5:$E$14,MATCH($A1382,'Cohort Summary'!$A$5:$A$14,0))</f>
        <v>4.29065743944637</v>
      </c>
      <c r="J1382" s="42" t="n">
        <f aca="false">(E1382-INDEX('Cohort Summary'!$F$5:$F$14,MATCH($A1382,'Cohort Summary'!$A$5:$A$14,0)))/INDEX('Cohort Summary'!$G$5:$G$14,MATCH($A1382,'Cohort Summary'!$A$5:$A$14,0))</f>
        <v>-0.340314136125654</v>
      </c>
      <c r="K1382" s="42" t="n">
        <f aca="false">(F1382-INDEX('Cohort Summary'!$H$5:$H$14,MATCH($A1382,'Cohort Summary'!$A$5:$A$14,0)))/INDEX('Cohort Summary'!$I$5:$I$14,MATCH($A1382,'Cohort Summary'!$A$5:$A$14,0))</f>
        <v>6.09125475285171</v>
      </c>
      <c r="L1382" s="42" t="n">
        <f aca="false">(G1382-INDEX('Cohort Summary'!$J$5:$J$14,MATCH($A1382,'Cohort Summary'!$A$5:$A$14,0)))/INDEX('Cohort Summary'!$K$5:$K$14,MATCH($A1382,'Cohort Summary'!$A$5:$A$14,0))</f>
        <v>4.32786885245902</v>
      </c>
      <c r="M1382" s="42" t="n">
        <f aca="false">MAX(I1382:K1382)</f>
        <v>6.09125475285171</v>
      </c>
      <c r="N1382" s="27" t="s">
        <v>212</v>
      </c>
      <c r="O1382" s="27" t="s">
        <v>307</v>
      </c>
      <c r="P1382" s="27" t="str">
        <f aca="false">A1382&amp;"|"&amp;N1382</f>
        <v>NURSE-07|alert</v>
      </c>
    </row>
    <row r="1383" customFormat="false" ht="15" hidden="false" customHeight="true" outlineLevel="0" collapsed="false">
      <c r="A1383" s="27" t="s">
        <v>95</v>
      </c>
      <c r="B1383" s="41" t="n">
        <v>46303.3545138889</v>
      </c>
      <c r="C1383" s="27" t="s">
        <v>200</v>
      </c>
      <c r="D1383" s="27" t="n">
        <v>65.9</v>
      </c>
      <c r="E1383" s="27" t="n">
        <v>16.4</v>
      </c>
      <c r="F1383" s="27" t="n">
        <v>46.5</v>
      </c>
      <c r="G1383" s="27" t="n">
        <v>37.3</v>
      </c>
      <c r="H1383" s="27" t="s">
        <v>198</v>
      </c>
      <c r="I1383" s="42" t="n">
        <f aca="false">(D1383-INDEX('Cohort Summary'!$D$5:$D$14,MATCH($A1383,'Cohort Summary'!$A$5:$A$14,0)))/INDEX('Cohort Summary'!$E$5:$E$14,MATCH($A1383,'Cohort Summary'!$A$5:$A$14,0))</f>
        <v>6.19377162629758</v>
      </c>
      <c r="J1383" s="42" t="n">
        <f aca="false">(E1383-INDEX('Cohort Summary'!$F$5:$F$14,MATCH($A1383,'Cohort Summary'!$A$5:$A$14,0)))/INDEX('Cohort Summary'!$G$5:$G$14,MATCH($A1383,'Cohort Summary'!$A$5:$A$14,0))</f>
        <v>-1.07329842931937</v>
      </c>
      <c r="K1383" s="42" t="n">
        <f aca="false">(F1383-INDEX('Cohort Summary'!$H$5:$H$14,MATCH($A1383,'Cohort Summary'!$A$5:$A$14,0)))/INDEX('Cohort Summary'!$I$5:$I$14,MATCH($A1383,'Cohort Summary'!$A$5:$A$14,0))</f>
        <v>4.53231939163498</v>
      </c>
      <c r="L1383" s="42" t="n">
        <f aca="false">(G1383-INDEX('Cohort Summary'!$J$5:$J$14,MATCH($A1383,'Cohort Summary'!$A$5:$A$14,0)))/INDEX('Cohort Summary'!$K$5:$K$14,MATCH($A1383,'Cohort Summary'!$A$5:$A$14,0))</f>
        <v>6.29508196721311</v>
      </c>
      <c r="M1383" s="42" t="n">
        <f aca="false">MAX(I1383:K1383)</f>
        <v>6.19377162629758</v>
      </c>
      <c r="N1383" s="27" t="s">
        <v>212</v>
      </c>
      <c r="O1383" s="27" t="s">
        <v>308</v>
      </c>
      <c r="P1383" s="27" t="str">
        <f aca="false">A1383&amp;"|"&amp;N1383</f>
        <v>NURSE-07|alert</v>
      </c>
    </row>
    <row r="1384" customFormat="false" ht="15" hidden="false" customHeight="true" outlineLevel="0" collapsed="false">
      <c r="A1384" s="27" t="s">
        <v>95</v>
      </c>
      <c r="B1384" s="41" t="n">
        <v>46303.3548611111</v>
      </c>
      <c r="C1384" s="27" t="s">
        <v>200</v>
      </c>
      <c r="D1384" s="27" t="n">
        <v>63.9</v>
      </c>
      <c r="E1384" s="27" t="n">
        <v>18.2</v>
      </c>
      <c r="F1384" s="27" t="n">
        <v>50.7</v>
      </c>
      <c r="G1384" s="27" t="n">
        <v>35.8</v>
      </c>
      <c r="H1384" s="27" t="s">
        <v>198</v>
      </c>
      <c r="I1384" s="42" t="n">
        <f aca="false">(D1384-INDEX('Cohort Summary'!$D$5:$D$14,MATCH($A1384,'Cohort Summary'!$A$5:$A$14,0)))/INDEX('Cohort Summary'!$E$5:$E$14,MATCH($A1384,'Cohort Summary'!$A$5:$A$14,0))</f>
        <v>5.50173010380623</v>
      </c>
      <c r="J1384" s="42" t="n">
        <f aca="false">(E1384-INDEX('Cohort Summary'!$F$5:$F$14,MATCH($A1384,'Cohort Summary'!$A$5:$A$14,0)))/INDEX('Cohort Summary'!$G$5:$G$14,MATCH($A1384,'Cohort Summary'!$A$5:$A$14,0))</f>
        <v>-0.130890052356021</v>
      </c>
      <c r="K1384" s="42" t="n">
        <f aca="false">(F1384-INDEX('Cohort Summary'!$H$5:$H$14,MATCH($A1384,'Cohort Summary'!$A$5:$A$14,0)))/INDEX('Cohort Summary'!$I$5:$I$14,MATCH($A1384,'Cohort Summary'!$A$5:$A$14,0))</f>
        <v>6.12927756653993</v>
      </c>
      <c r="L1384" s="42" t="n">
        <f aca="false">(G1384-INDEX('Cohort Summary'!$J$5:$J$14,MATCH($A1384,'Cohort Summary'!$A$5:$A$14,0)))/INDEX('Cohort Summary'!$K$5:$K$14,MATCH($A1384,'Cohort Summary'!$A$5:$A$14,0))</f>
        <v>3.83606557377049</v>
      </c>
      <c r="M1384" s="42" t="n">
        <f aca="false">MAX(I1384:K1384)</f>
        <v>6.12927756653993</v>
      </c>
      <c r="N1384" s="27" t="s">
        <v>212</v>
      </c>
      <c r="O1384" s="27" t="s">
        <v>309</v>
      </c>
      <c r="P1384" s="27" t="str">
        <f aca="false">A1384&amp;"|"&amp;N1384</f>
        <v>NURSE-07|alert</v>
      </c>
    </row>
    <row r="1385" customFormat="false" ht="15" hidden="false" customHeight="true" outlineLevel="0" collapsed="false">
      <c r="A1385" s="27" t="s">
        <v>95</v>
      </c>
      <c r="B1385" s="41" t="n">
        <v>46303.3552083333</v>
      </c>
      <c r="C1385" s="27" t="s">
        <v>200</v>
      </c>
      <c r="D1385" s="27" t="n">
        <v>60.4</v>
      </c>
      <c r="E1385" s="27" t="n">
        <v>16</v>
      </c>
      <c r="F1385" s="27" t="n">
        <v>42.9</v>
      </c>
      <c r="G1385" s="27" t="n">
        <v>36.5</v>
      </c>
      <c r="H1385" s="27" t="s">
        <v>198</v>
      </c>
      <c r="I1385" s="42" t="n">
        <f aca="false">(D1385-INDEX('Cohort Summary'!$D$5:$D$14,MATCH($A1385,'Cohort Summary'!$A$5:$A$14,0)))/INDEX('Cohort Summary'!$E$5:$E$14,MATCH($A1385,'Cohort Summary'!$A$5:$A$14,0))</f>
        <v>4.29065743944637</v>
      </c>
      <c r="J1385" s="42" t="n">
        <f aca="false">(E1385-INDEX('Cohort Summary'!$F$5:$F$14,MATCH($A1385,'Cohort Summary'!$A$5:$A$14,0)))/INDEX('Cohort Summary'!$G$5:$G$14,MATCH($A1385,'Cohort Summary'!$A$5:$A$14,0))</f>
        <v>-1.28272251308901</v>
      </c>
      <c r="K1385" s="42" t="n">
        <f aca="false">(F1385-INDEX('Cohort Summary'!$H$5:$H$14,MATCH($A1385,'Cohort Summary'!$A$5:$A$14,0)))/INDEX('Cohort Summary'!$I$5:$I$14,MATCH($A1385,'Cohort Summary'!$A$5:$A$14,0))</f>
        <v>3.16349809885932</v>
      </c>
      <c r="L1385" s="42" t="n">
        <f aca="false">(G1385-INDEX('Cohort Summary'!$J$5:$J$14,MATCH($A1385,'Cohort Summary'!$A$5:$A$14,0)))/INDEX('Cohort Summary'!$K$5:$K$14,MATCH($A1385,'Cohort Summary'!$A$5:$A$14,0))</f>
        <v>4.98360655737705</v>
      </c>
      <c r="M1385" s="42" t="n">
        <f aca="false">MAX(I1385:K1385)</f>
        <v>4.29065743944637</v>
      </c>
      <c r="N1385" s="27" t="s">
        <v>212</v>
      </c>
      <c r="O1385" s="27" t="s">
        <v>310</v>
      </c>
      <c r="P1385" s="27" t="str">
        <f aca="false">A1385&amp;"|"&amp;N1385</f>
        <v>NURSE-07|alert</v>
      </c>
    </row>
    <row r="1386" customFormat="false" ht="15" hidden="false" customHeight="true" outlineLevel="0" collapsed="false">
      <c r="A1386" s="27" t="s">
        <v>95</v>
      </c>
      <c r="B1386" s="41" t="n">
        <v>46303.3555555556</v>
      </c>
      <c r="C1386" s="27" t="s">
        <v>200</v>
      </c>
      <c r="D1386" s="27" t="n">
        <v>60.2</v>
      </c>
      <c r="E1386" s="27" t="n">
        <v>19.8</v>
      </c>
      <c r="F1386" s="27" t="n">
        <v>45.1</v>
      </c>
      <c r="G1386" s="27" t="n">
        <v>36.9</v>
      </c>
      <c r="H1386" s="27" t="s">
        <v>198</v>
      </c>
      <c r="I1386" s="42" t="n">
        <f aca="false">(D1386-INDEX('Cohort Summary'!$D$5:$D$14,MATCH($A1386,'Cohort Summary'!$A$5:$A$14,0)))/INDEX('Cohort Summary'!$E$5:$E$14,MATCH($A1386,'Cohort Summary'!$A$5:$A$14,0))</f>
        <v>4.22145328719723</v>
      </c>
      <c r="J1386" s="42" t="n">
        <f aca="false">(E1386-INDEX('Cohort Summary'!$F$5:$F$14,MATCH($A1386,'Cohort Summary'!$A$5:$A$14,0)))/INDEX('Cohort Summary'!$G$5:$G$14,MATCH($A1386,'Cohort Summary'!$A$5:$A$14,0))</f>
        <v>0.706806282722514</v>
      </c>
      <c r="K1386" s="42" t="n">
        <f aca="false">(F1386-INDEX('Cohort Summary'!$H$5:$H$14,MATCH($A1386,'Cohort Summary'!$A$5:$A$14,0)))/INDEX('Cohort Summary'!$I$5:$I$14,MATCH($A1386,'Cohort Summary'!$A$5:$A$14,0))</f>
        <v>4</v>
      </c>
      <c r="L1386" s="42" t="n">
        <f aca="false">(G1386-INDEX('Cohort Summary'!$J$5:$J$14,MATCH($A1386,'Cohort Summary'!$A$5:$A$14,0)))/INDEX('Cohort Summary'!$K$5:$K$14,MATCH($A1386,'Cohort Summary'!$A$5:$A$14,0))</f>
        <v>5.63934426229508</v>
      </c>
      <c r="M1386" s="42" t="n">
        <f aca="false">MAX(I1386:K1386)</f>
        <v>4.22145328719723</v>
      </c>
      <c r="N1386" s="27" t="s">
        <v>212</v>
      </c>
      <c r="O1386" s="27" t="s">
        <v>311</v>
      </c>
      <c r="P1386" s="27" t="str">
        <f aca="false">A1386&amp;"|"&amp;N1386</f>
        <v>NURSE-07|alert</v>
      </c>
    </row>
    <row r="1387" customFormat="false" ht="15" hidden="false" customHeight="true" outlineLevel="0" collapsed="false">
      <c r="A1387" s="27" t="s">
        <v>95</v>
      </c>
      <c r="B1387" s="41" t="n">
        <v>46303.3559027778</v>
      </c>
      <c r="C1387" s="27" t="s">
        <v>200</v>
      </c>
      <c r="D1387" s="27" t="n">
        <v>60</v>
      </c>
      <c r="E1387" s="27" t="n">
        <v>19.4</v>
      </c>
      <c r="F1387" s="27" t="n">
        <v>49.1</v>
      </c>
      <c r="G1387" s="27" t="n">
        <v>36.3</v>
      </c>
      <c r="H1387" s="27" t="s">
        <v>198</v>
      </c>
      <c r="I1387" s="42" t="n">
        <f aca="false">(D1387-INDEX('Cohort Summary'!$D$5:$D$14,MATCH($A1387,'Cohort Summary'!$A$5:$A$14,0)))/INDEX('Cohort Summary'!$E$5:$E$14,MATCH($A1387,'Cohort Summary'!$A$5:$A$14,0))</f>
        <v>4.1522491349481</v>
      </c>
      <c r="J1387" s="42" t="n">
        <f aca="false">(E1387-INDEX('Cohort Summary'!$F$5:$F$14,MATCH($A1387,'Cohort Summary'!$A$5:$A$14,0)))/INDEX('Cohort Summary'!$G$5:$G$14,MATCH($A1387,'Cohort Summary'!$A$5:$A$14,0))</f>
        <v>0.497382198952879</v>
      </c>
      <c r="K1387" s="42" t="n">
        <f aca="false">(F1387-INDEX('Cohort Summary'!$H$5:$H$14,MATCH($A1387,'Cohort Summary'!$A$5:$A$14,0)))/INDEX('Cohort Summary'!$I$5:$I$14,MATCH($A1387,'Cohort Summary'!$A$5:$A$14,0))</f>
        <v>5.52091254752852</v>
      </c>
      <c r="L1387" s="42" t="n">
        <f aca="false">(G1387-INDEX('Cohort Summary'!$J$5:$J$14,MATCH($A1387,'Cohort Summary'!$A$5:$A$14,0)))/INDEX('Cohort Summary'!$K$5:$K$14,MATCH($A1387,'Cohort Summary'!$A$5:$A$14,0))</f>
        <v>4.65573770491803</v>
      </c>
      <c r="M1387" s="42" t="n">
        <f aca="false">MAX(I1387:K1387)</f>
        <v>5.52091254752852</v>
      </c>
      <c r="N1387" s="27" t="s">
        <v>212</v>
      </c>
      <c r="O1387" s="27" t="s">
        <v>312</v>
      </c>
      <c r="P1387" s="27" t="str">
        <f aca="false">A1387&amp;"|"&amp;N1387</f>
        <v>NURSE-07|alert</v>
      </c>
    </row>
    <row r="1388" customFormat="false" ht="15" hidden="false" customHeight="true" outlineLevel="0" collapsed="false">
      <c r="A1388" s="27" t="s">
        <v>95</v>
      </c>
      <c r="B1388" s="41" t="n">
        <v>46303.35625</v>
      </c>
      <c r="C1388" s="27" t="s">
        <v>200</v>
      </c>
      <c r="D1388" s="27" t="n">
        <v>65.1</v>
      </c>
      <c r="E1388" s="27" t="n">
        <v>17.1</v>
      </c>
      <c r="F1388" s="27" t="n">
        <v>46.5</v>
      </c>
      <c r="G1388" s="27" t="n">
        <v>35.5</v>
      </c>
      <c r="H1388" s="27" t="s">
        <v>198</v>
      </c>
      <c r="I1388" s="42" t="n">
        <f aca="false">(D1388-INDEX('Cohort Summary'!$D$5:$D$14,MATCH($A1388,'Cohort Summary'!$A$5:$A$14,0)))/INDEX('Cohort Summary'!$E$5:$E$14,MATCH($A1388,'Cohort Summary'!$A$5:$A$14,0))</f>
        <v>5.91695501730104</v>
      </c>
      <c r="J1388" s="42" t="n">
        <f aca="false">(E1388-INDEX('Cohort Summary'!$F$5:$F$14,MATCH($A1388,'Cohort Summary'!$A$5:$A$14,0)))/INDEX('Cohort Summary'!$G$5:$G$14,MATCH($A1388,'Cohort Summary'!$A$5:$A$14,0))</f>
        <v>-0.706806282722512</v>
      </c>
      <c r="K1388" s="42" t="n">
        <f aca="false">(F1388-INDEX('Cohort Summary'!$H$5:$H$14,MATCH($A1388,'Cohort Summary'!$A$5:$A$14,0)))/INDEX('Cohort Summary'!$I$5:$I$14,MATCH($A1388,'Cohort Summary'!$A$5:$A$14,0))</f>
        <v>4.53231939163498</v>
      </c>
      <c r="L1388" s="42" t="n">
        <f aca="false">(G1388-INDEX('Cohort Summary'!$J$5:$J$14,MATCH($A1388,'Cohort Summary'!$A$5:$A$14,0)))/INDEX('Cohort Summary'!$K$5:$K$14,MATCH($A1388,'Cohort Summary'!$A$5:$A$14,0))</f>
        <v>3.34426229508197</v>
      </c>
      <c r="M1388" s="42" t="n">
        <f aca="false">MAX(I1388:K1388)</f>
        <v>5.91695501730104</v>
      </c>
      <c r="N1388" s="27" t="s">
        <v>212</v>
      </c>
      <c r="O1388" s="27" t="s">
        <v>313</v>
      </c>
      <c r="P1388" s="27" t="str">
        <f aca="false">A1388&amp;"|"&amp;N1388</f>
        <v>NURSE-07|alert</v>
      </c>
    </row>
    <row r="1389" customFormat="false" ht="15" hidden="false" customHeight="true" outlineLevel="0" collapsed="false">
      <c r="A1389" s="27" t="s">
        <v>95</v>
      </c>
      <c r="B1389" s="41" t="n">
        <v>46303.3565972222</v>
      </c>
      <c r="C1389" s="27" t="s">
        <v>200</v>
      </c>
      <c r="D1389" s="27" t="n">
        <v>58.8</v>
      </c>
      <c r="E1389" s="27" t="n">
        <v>16.4</v>
      </c>
      <c r="F1389" s="27" t="n">
        <v>44.4</v>
      </c>
      <c r="G1389" s="27" t="n">
        <v>36.6</v>
      </c>
      <c r="H1389" s="27" t="s">
        <v>198</v>
      </c>
      <c r="I1389" s="42" t="n">
        <f aca="false">(D1389-INDEX('Cohort Summary'!$D$5:$D$14,MATCH($A1389,'Cohort Summary'!$A$5:$A$14,0)))/INDEX('Cohort Summary'!$E$5:$E$14,MATCH($A1389,'Cohort Summary'!$A$5:$A$14,0))</f>
        <v>3.73702422145329</v>
      </c>
      <c r="J1389" s="42" t="n">
        <f aca="false">(E1389-INDEX('Cohort Summary'!$F$5:$F$14,MATCH($A1389,'Cohort Summary'!$A$5:$A$14,0)))/INDEX('Cohort Summary'!$G$5:$G$14,MATCH($A1389,'Cohort Summary'!$A$5:$A$14,0))</f>
        <v>-1.07329842931937</v>
      </c>
      <c r="K1389" s="42" t="n">
        <f aca="false">(F1389-INDEX('Cohort Summary'!$H$5:$H$14,MATCH($A1389,'Cohort Summary'!$A$5:$A$14,0)))/INDEX('Cohort Summary'!$I$5:$I$14,MATCH($A1389,'Cohort Summary'!$A$5:$A$14,0))</f>
        <v>3.73384030418251</v>
      </c>
      <c r="L1389" s="42" t="n">
        <f aca="false">(G1389-INDEX('Cohort Summary'!$J$5:$J$14,MATCH($A1389,'Cohort Summary'!$A$5:$A$14,0)))/INDEX('Cohort Summary'!$K$5:$K$14,MATCH($A1389,'Cohort Summary'!$A$5:$A$14,0))</f>
        <v>5.14754098360656</v>
      </c>
      <c r="M1389" s="42" t="n">
        <f aca="false">MAX(I1389:K1389)</f>
        <v>3.73702422145329</v>
      </c>
      <c r="N1389" s="27" t="s">
        <v>212</v>
      </c>
      <c r="O1389" s="27" t="s">
        <v>314</v>
      </c>
      <c r="P1389" s="27" t="str">
        <f aca="false">A1389&amp;"|"&amp;N1389</f>
        <v>NURSE-07|alert</v>
      </c>
    </row>
    <row r="1390" customFormat="false" ht="15" hidden="false" customHeight="true" outlineLevel="0" collapsed="false">
      <c r="A1390" s="27" t="s">
        <v>95</v>
      </c>
      <c r="B1390" s="41" t="n">
        <v>46303.3569444444</v>
      </c>
      <c r="C1390" s="27" t="s">
        <v>200</v>
      </c>
      <c r="D1390" s="27" t="n">
        <v>52.7</v>
      </c>
      <c r="E1390" s="27" t="n">
        <v>21.6</v>
      </c>
      <c r="F1390" s="27" t="n">
        <v>39.6</v>
      </c>
      <c r="G1390" s="27" t="n">
        <v>32.6</v>
      </c>
      <c r="H1390" s="27" t="s">
        <v>196</v>
      </c>
      <c r="I1390" s="42" t="n">
        <f aca="false">(D1390-INDEX('Cohort Summary'!$D$5:$D$14,MATCH($A1390,'Cohort Summary'!$A$5:$A$14,0)))/INDEX('Cohort Summary'!$E$5:$E$14,MATCH($A1390,'Cohort Summary'!$A$5:$A$14,0))</f>
        <v>1.62629757785467</v>
      </c>
      <c r="J1390" s="42" t="n">
        <f aca="false">(E1390-INDEX('Cohort Summary'!$F$5:$F$14,MATCH($A1390,'Cohort Summary'!$A$5:$A$14,0)))/INDEX('Cohort Summary'!$G$5:$G$14,MATCH($A1390,'Cohort Summary'!$A$5:$A$14,0))</f>
        <v>1.64921465968587</v>
      </c>
      <c r="K1390" s="42" t="n">
        <f aca="false">(F1390-INDEX('Cohort Summary'!$H$5:$H$14,MATCH($A1390,'Cohort Summary'!$A$5:$A$14,0)))/INDEX('Cohort Summary'!$I$5:$I$14,MATCH($A1390,'Cohort Summary'!$A$5:$A$14,0))</f>
        <v>1.90874524714829</v>
      </c>
      <c r="L1390" s="42" t="n">
        <f aca="false">(G1390-INDEX('Cohort Summary'!$J$5:$J$14,MATCH($A1390,'Cohort Summary'!$A$5:$A$14,0)))/INDEX('Cohort Summary'!$K$5:$K$14,MATCH($A1390,'Cohort Summary'!$A$5:$A$14,0))</f>
        <v>-1.40983606557377</v>
      </c>
      <c r="M1390" s="42" t="n">
        <f aca="false">MAX(I1390:K1390)</f>
        <v>1.90874524714829</v>
      </c>
      <c r="N1390" s="27" t="s">
        <v>197</v>
      </c>
      <c r="O1390" s="27"/>
      <c r="P1390" s="27" t="str">
        <f aca="false">A1390&amp;"|"&amp;N1390</f>
        <v>NURSE-07|normal</v>
      </c>
    </row>
    <row r="1391" customFormat="false" ht="15" hidden="false" customHeight="true" outlineLevel="0" collapsed="false">
      <c r="A1391" s="27" t="s">
        <v>95</v>
      </c>
      <c r="B1391" s="41" t="n">
        <v>46303.3572916667</v>
      </c>
      <c r="C1391" s="27" t="s">
        <v>200</v>
      </c>
      <c r="D1391" s="27" t="n">
        <v>51.5</v>
      </c>
      <c r="E1391" s="27" t="n">
        <v>15.3</v>
      </c>
      <c r="F1391" s="27" t="n">
        <v>31.3</v>
      </c>
      <c r="G1391" s="27" t="n">
        <v>33.5</v>
      </c>
      <c r="H1391" s="27" t="s">
        <v>199</v>
      </c>
      <c r="I1391" s="42" t="n">
        <f aca="false">(D1391-INDEX('Cohort Summary'!$D$5:$D$14,MATCH($A1391,'Cohort Summary'!$A$5:$A$14,0)))/INDEX('Cohort Summary'!$E$5:$E$14,MATCH($A1391,'Cohort Summary'!$A$5:$A$14,0))</f>
        <v>1.21107266435986</v>
      </c>
      <c r="J1391" s="42" t="n">
        <f aca="false">(E1391-INDEX('Cohort Summary'!$F$5:$F$14,MATCH($A1391,'Cohort Summary'!$A$5:$A$14,0)))/INDEX('Cohort Summary'!$G$5:$G$14,MATCH($A1391,'Cohort Summary'!$A$5:$A$14,0))</f>
        <v>-1.64921465968586</v>
      </c>
      <c r="K1391" s="42" t="n">
        <f aca="false">(F1391-INDEX('Cohort Summary'!$H$5:$H$14,MATCH($A1391,'Cohort Summary'!$A$5:$A$14,0)))/INDEX('Cohort Summary'!$I$5:$I$14,MATCH($A1391,'Cohort Summary'!$A$5:$A$14,0))</f>
        <v>-1.24714828897338</v>
      </c>
      <c r="L1391" s="42" t="n">
        <f aca="false">(G1391-INDEX('Cohort Summary'!$J$5:$J$14,MATCH($A1391,'Cohort Summary'!$A$5:$A$14,0)))/INDEX('Cohort Summary'!$K$5:$K$14,MATCH($A1391,'Cohort Summary'!$A$5:$A$14,0))</f>
        <v>0.0655737704918019</v>
      </c>
      <c r="M1391" s="42" t="n">
        <f aca="false">MAX(I1391:K1391)</f>
        <v>1.21107266435986</v>
      </c>
      <c r="N1391" s="27" t="s">
        <v>197</v>
      </c>
      <c r="O1391" s="27"/>
      <c r="P1391" s="27" t="str">
        <f aca="false">A1391&amp;"|"&amp;N1391</f>
        <v>NURSE-07|normal</v>
      </c>
    </row>
    <row r="1392" customFormat="false" ht="15" hidden="false" customHeight="true" outlineLevel="0" collapsed="false">
      <c r="A1392" s="27" t="s">
        <v>95</v>
      </c>
      <c r="B1392" s="41" t="n">
        <v>46303.3576388889</v>
      </c>
      <c r="C1392" s="27" t="s">
        <v>200</v>
      </c>
      <c r="D1392" s="27" t="n">
        <v>47.4</v>
      </c>
      <c r="E1392" s="27" t="n">
        <v>19.2</v>
      </c>
      <c r="F1392" s="27" t="n">
        <v>38.1</v>
      </c>
      <c r="G1392" s="27" t="n">
        <v>33</v>
      </c>
      <c r="H1392" s="27" t="s">
        <v>198</v>
      </c>
      <c r="I1392" s="42" t="n">
        <f aca="false">(D1392-INDEX('Cohort Summary'!$D$5:$D$14,MATCH($A1392,'Cohort Summary'!$A$5:$A$14,0)))/INDEX('Cohort Summary'!$E$5:$E$14,MATCH($A1392,'Cohort Summary'!$A$5:$A$14,0))</f>
        <v>-0.207612456747405</v>
      </c>
      <c r="J1392" s="42" t="n">
        <f aca="false">(E1392-INDEX('Cohort Summary'!$F$5:$F$14,MATCH($A1392,'Cohort Summary'!$A$5:$A$14,0)))/INDEX('Cohort Summary'!$G$5:$G$14,MATCH($A1392,'Cohort Summary'!$A$5:$A$14,0))</f>
        <v>0.392670157068063</v>
      </c>
      <c r="K1392" s="42" t="n">
        <f aca="false">(F1392-INDEX('Cohort Summary'!$H$5:$H$14,MATCH($A1392,'Cohort Summary'!$A$5:$A$14,0)))/INDEX('Cohort Summary'!$I$5:$I$14,MATCH($A1392,'Cohort Summary'!$A$5:$A$14,0))</f>
        <v>1.3384030418251</v>
      </c>
      <c r="L1392" s="42" t="n">
        <f aca="false">(G1392-INDEX('Cohort Summary'!$J$5:$J$14,MATCH($A1392,'Cohort Summary'!$A$5:$A$14,0)))/INDEX('Cohort Summary'!$K$5:$K$14,MATCH($A1392,'Cohort Summary'!$A$5:$A$14,0))</f>
        <v>-0.754098360655739</v>
      </c>
      <c r="M1392" s="42" t="n">
        <f aca="false">MAX(I1392:K1392)</f>
        <v>1.3384030418251</v>
      </c>
      <c r="N1392" s="27" t="s">
        <v>197</v>
      </c>
      <c r="O1392" s="27"/>
      <c r="P1392" s="27" t="str">
        <f aca="false">A1392&amp;"|"&amp;N1392</f>
        <v>NURSE-07|normal</v>
      </c>
    </row>
    <row r="1393" customFormat="false" ht="15" hidden="false" customHeight="true" outlineLevel="0" collapsed="false">
      <c r="A1393" s="27" t="s">
        <v>95</v>
      </c>
      <c r="B1393" s="41" t="n">
        <v>46303.3579861111</v>
      </c>
      <c r="C1393" s="27" t="s">
        <v>200</v>
      </c>
      <c r="D1393" s="27" t="n">
        <v>47.1</v>
      </c>
      <c r="E1393" s="27" t="n">
        <v>19</v>
      </c>
      <c r="F1393" s="27" t="n">
        <v>35.3</v>
      </c>
      <c r="G1393" s="27" t="n">
        <v>32.9</v>
      </c>
      <c r="H1393" s="27" t="s">
        <v>199</v>
      </c>
      <c r="I1393" s="42" t="n">
        <f aca="false">(D1393-INDEX('Cohort Summary'!$D$5:$D$14,MATCH($A1393,'Cohort Summary'!$A$5:$A$14,0)))/INDEX('Cohort Summary'!$E$5:$E$14,MATCH($A1393,'Cohort Summary'!$A$5:$A$14,0))</f>
        <v>-0.311418685121107</v>
      </c>
      <c r="J1393" s="42" t="n">
        <f aca="false">(E1393-INDEX('Cohort Summary'!$F$5:$F$14,MATCH($A1393,'Cohort Summary'!$A$5:$A$14,0)))/INDEX('Cohort Summary'!$G$5:$G$14,MATCH($A1393,'Cohort Summary'!$A$5:$A$14,0))</f>
        <v>0.287958115183246</v>
      </c>
      <c r="K1393" s="42" t="n">
        <f aca="false">(F1393-INDEX('Cohort Summary'!$H$5:$H$14,MATCH($A1393,'Cohort Summary'!$A$5:$A$14,0)))/INDEX('Cohort Summary'!$I$5:$I$14,MATCH($A1393,'Cohort Summary'!$A$5:$A$14,0))</f>
        <v>0.273764258555133</v>
      </c>
      <c r="L1393" s="42" t="n">
        <f aca="false">(G1393-INDEX('Cohort Summary'!$J$5:$J$14,MATCH($A1393,'Cohort Summary'!$A$5:$A$14,0)))/INDEX('Cohort Summary'!$K$5:$K$14,MATCH($A1393,'Cohort Summary'!$A$5:$A$14,0))</f>
        <v>-0.91803278688525</v>
      </c>
      <c r="M1393" s="42" t="n">
        <f aca="false">MAX(I1393:K1393)</f>
        <v>0.287958115183246</v>
      </c>
      <c r="N1393" s="27" t="s">
        <v>197</v>
      </c>
      <c r="O1393" s="27"/>
      <c r="P1393" s="27" t="str">
        <f aca="false">A1393&amp;"|"&amp;N1393</f>
        <v>NURSE-07|normal</v>
      </c>
    </row>
    <row r="1394" customFormat="false" ht="15" hidden="false" customHeight="true" outlineLevel="0" collapsed="false">
      <c r="A1394" s="27" t="s">
        <v>95</v>
      </c>
      <c r="B1394" s="41" t="n">
        <v>46303.3583333333</v>
      </c>
      <c r="C1394" s="27" t="s">
        <v>200</v>
      </c>
      <c r="D1394" s="27" t="n">
        <v>52.9</v>
      </c>
      <c r="E1394" s="27" t="n">
        <v>20.2</v>
      </c>
      <c r="F1394" s="27" t="n">
        <v>32.1</v>
      </c>
      <c r="G1394" s="27" t="n">
        <v>32.7</v>
      </c>
      <c r="H1394" s="27" t="s">
        <v>196</v>
      </c>
      <c r="I1394" s="42" t="n">
        <f aca="false">(D1394-INDEX('Cohort Summary'!$D$5:$D$14,MATCH($A1394,'Cohort Summary'!$A$5:$A$14,0)))/INDEX('Cohort Summary'!$E$5:$E$14,MATCH($A1394,'Cohort Summary'!$A$5:$A$14,0))</f>
        <v>1.69550173010381</v>
      </c>
      <c r="J1394" s="42" t="n">
        <f aca="false">(E1394-INDEX('Cohort Summary'!$F$5:$F$14,MATCH($A1394,'Cohort Summary'!$A$5:$A$14,0)))/INDEX('Cohort Summary'!$G$5:$G$14,MATCH($A1394,'Cohort Summary'!$A$5:$A$14,0))</f>
        <v>0.916230366492147</v>
      </c>
      <c r="K1394" s="42" t="n">
        <f aca="false">(F1394-INDEX('Cohort Summary'!$H$5:$H$14,MATCH($A1394,'Cohort Summary'!$A$5:$A$14,0)))/INDEX('Cohort Summary'!$I$5:$I$14,MATCH($A1394,'Cohort Summary'!$A$5:$A$14,0))</f>
        <v>-0.94296577946768</v>
      </c>
      <c r="L1394" s="42" t="n">
        <f aca="false">(G1394-INDEX('Cohort Summary'!$J$5:$J$14,MATCH($A1394,'Cohort Summary'!$A$5:$A$14,0)))/INDEX('Cohort Summary'!$K$5:$K$14,MATCH($A1394,'Cohort Summary'!$A$5:$A$14,0))</f>
        <v>-1.24590163934426</v>
      </c>
      <c r="M1394" s="42" t="n">
        <f aca="false">MAX(I1394:K1394)</f>
        <v>1.69550173010381</v>
      </c>
      <c r="N1394" s="27" t="s">
        <v>197</v>
      </c>
      <c r="O1394" s="27"/>
      <c r="P1394" s="27" t="str">
        <f aca="false">A1394&amp;"|"&amp;N1394</f>
        <v>NURSE-07|normal</v>
      </c>
    </row>
    <row r="1395" customFormat="false" ht="15" hidden="false" customHeight="true" outlineLevel="0" collapsed="false">
      <c r="A1395" s="27" t="s">
        <v>95</v>
      </c>
      <c r="B1395" s="41" t="n">
        <v>46303.3586805556</v>
      </c>
      <c r="C1395" s="27" t="s">
        <v>200</v>
      </c>
      <c r="D1395" s="27" t="n">
        <v>49.6</v>
      </c>
      <c r="E1395" s="27" t="n">
        <v>19.1</v>
      </c>
      <c r="F1395" s="27" t="n">
        <v>31.3</v>
      </c>
      <c r="G1395" s="27" t="n">
        <v>33.2</v>
      </c>
      <c r="H1395" s="27" t="s">
        <v>198</v>
      </c>
      <c r="I1395" s="42" t="n">
        <f aca="false">(D1395-INDEX('Cohort Summary'!$D$5:$D$14,MATCH($A1395,'Cohort Summary'!$A$5:$A$14,0)))/INDEX('Cohort Summary'!$E$5:$E$14,MATCH($A1395,'Cohort Summary'!$A$5:$A$14,0))</f>
        <v>0.55363321799308</v>
      </c>
      <c r="J1395" s="42" t="n">
        <f aca="false">(E1395-INDEX('Cohort Summary'!$F$5:$F$14,MATCH($A1395,'Cohort Summary'!$A$5:$A$14,0)))/INDEX('Cohort Summary'!$G$5:$G$14,MATCH($A1395,'Cohort Summary'!$A$5:$A$14,0))</f>
        <v>0.340314136125656</v>
      </c>
      <c r="K1395" s="42" t="n">
        <f aca="false">(F1395-INDEX('Cohort Summary'!$H$5:$H$14,MATCH($A1395,'Cohort Summary'!$A$5:$A$14,0)))/INDEX('Cohort Summary'!$I$5:$I$14,MATCH($A1395,'Cohort Summary'!$A$5:$A$14,0))</f>
        <v>-1.24714828897338</v>
      </c>
      <c r="L1395" s="42" t="n">
        <f aca="false">(G1395-INDEX('Cohort Summary'!$J$5:$J$14,MATCH($A1395,'Cohort Summary'!$A$5:$A$14,0)))/INDEX('Cohort Summary'!$K$5:$K$14,MATCH($A1395,'Cohort Summary'!$A$5:$A$14,0))</f>
        <v>-0.426229508196718</v>
      </c>
      <c r="M1395" s="42" t="n">
        <f aca="false">MAX(I1395:K1395)</f>
        <v>0.55363321799308</v>
      </c>
      <c r="N1395" s="27" t="s">
        <v>197</v>
      </c>
      <c r="O1395" s="27"/>
      <c r="P1395" s="27" t="str">
        <f aca="false">A1395&amp;"|"&amp;N1395</f>
        <v>NURSE-07|normal</v>
      </c>
    </row>
    <row r="1396" customFormat="false" ht="15" hidden="false" customHeight="true" outlineLevel="0" collapsed="false">
      <c r="A1396" s="27" t="s">
        <v>95</v>
      </c>
      <c r="B1396" s="41" t="n">
        <v>46303.3590277778</v>
      </c>
      <c r="C1396" s="27" t="s">
        <v>200</v>
      </c>
      <c r="D1396" s="27" t="n">
        <v>47.3</v>
      </c>
      <c r="E1396" s="27" t="n">
        <v>19.9</v>
      </c>
      <c r="F1396" s="27" t="n">
        <v>35.1</v>
      </c>
      <c r="G1396" s="27" t="n">
        <v>34.4</v>
      </c>
      <c r="H1396" s="27" t="s">
        <v>199</v>
      </c>
      <c r="I1396" s="42" t="n">
        <f aca="false">(D1396-INDEX('Cohort Summary'!$D$5:$D$14,MATCH($A1396,'Cohort Summary'!$A$5:$A$14,0)))/INDEX('Cohort Summary'!$E$5:$E$14,MATCH($A1396,'Cohort Summary'!$A$5:$A$14,0))</f>
        <v>-0.242214532871973</v>
      </c>
      <c r="J1396" s="42" t="n">
        <f aca="false">(E1396-INDEX('Cohort Summary'!$F$5:$F$14,MATCH($A1396,'Cohort Summary'!$A$5:$A$14,0)))/INDEX('Cohort Summary'!$G$5:$G$14,MATCH($A1396,'Cohort Summary'!$A$5:$A$14,0))</f>
        <v>0.759162303664921</v>
      </c>
      <c r="K1396" s="42" t="n">
        <f aca="false">(F1396-INDEX('Cohort Summary'!$H$5:$H$14,MATCH($A1396,'Cohort Summary'!$A$5:$A$14,0)))/INDEX('Cohort Summary'!$I$5:$I$14,MATCH($A1396,'Cohort Summary'!$A$5:$A$14,0))</f>
        <v>0.197718631178708</v>
      </c>
      <c r="L1396" s="42" t="n">
        <f aca="false">(G1396-INDEX('Cohort Summary'!$J$5:$J$14,MATCH($A1396,'Cohort Summary'!$A$5:$A$14,0)))/INDEX('Cohort Summary'!$K$5:$K$14,MATCH($A1396,'Cohort Summary'!$A$5:$A$14,0))</f>
        <v>1.54098360655737</v>
      </c>
      <c r="M1396" s="42" t="n">
        <f aca="false">MAX(I1396:K1396)</f>
        <v>0.759162303664921</v>
      </c>
      <c r="N1396" s="27" t="s">
        <v>197</v>
      </c>
      <c r="O1396" s="27"/>
      <c r="P1396" s="27" t="str">
        <f aca="false">A1396&amp;"|"&amp;N1396</f>
        <v>NURSE-07|normal</v>
      </c>
    </row>
    <row r="1397" customFormat="false" ht="15" hidden="false" customHeight="true" outlineLevel="0" collapsed="false">
      <c r="A1397" s="27" t="s">
        <v>95</v>
      </c>
      <c r="B1397" s="41" t="n">
        <v>46303.359375</v>
      </c>
      <c r="C1397" s="27" t="s">
        <v>200</v>
      </c>
      <c r="D1397" s="27" t="n">
        <v>52.5</v>
      </c>
      <c r="E1397" s="27" t="n">
        <v>20.9</v>
      </c>
      <c r="F1397" s="27" t="n">
        <v>37.3</v>
      </c>
      <c r="G1397" s="27" t="n">
        <v>32.5</v>
      </c>
      <c r="H1397" s="27" t="s">
        <v>196</v>
      </c>
      <c r="I1397" s="42" t="n">
        <f aca="false">(D1397-INDEX('Cohort Summary'!$D$5:$D$14,MATCH($A1397,'Cohort Summary'!$A$5:$A$14,0)))/INDEX('Cohort Summary'!$E$5:$E$14,MATCH($A1397,'Cohort Summary'!$A$5:$A$14,0))</f>
        <v>1.55709342560554</v>
      </c>
      <c r="J1397" s="42" t="n">
        <f aca="false">(E1397-INDEX('Cohort Summary'!$F$5:$F$14,MATCH($A1397,'Cohort Summary'!$A$5:$A$14,0)))/INDEX('Cohort Summary'!$G$5:$G$14,MATCH($A1397,'Cohort Summary'!$A$5:$A$14,0))</f>
        <v>1.28272251308901</v>
      </c>
      <c r="K1397" s="42" t="n">
        <f aca="false">(F1397-INDEX('Cohort Summary'!$H$5:$H$14,MATCH($A1397,'Cohort Summary'!$A$5:$A$14,0)))/INDEX('Cohort Summary'!$I$5:$I$14,MATCH($A1397,'Cohort Summary'!$A$5:$A$14,0))</f>
        <v>1.03422053231939</v>
      </c>
      <c r="L1397" s="42" t="n">
        <f aca="false">(G1397-INDEX('Cohort Summary'!$J$5:$J$14,MATCH($A1397,'Cohort Summary'!$A$5:$A$14,0)))/INDEX('Cohort Summary'!$K$5:$K$14,MATCH($A1397,'Cohort Summary'!$A$5:$A$14,0))</f>
        <v>-1.57377049180328</v>
      </c>
      <c r="M1397" s="42" t="n">
        <f aca="false">MAX(I1397:K1397)</f>
        <v>1.55709342560554</v>
      </c>
      <c r="N1397" s="27" t="s">
        <v>197</v>
      </c>
      <c r="O1397" s="27"/>
      <c r="P1397" s="27" t="str">
        <f aca="false">A1397&amp;"|"&amp;N1397</f>
        <v>NURSE-07|normal</v>
      </c>
    </row>
    <row r="1398" customFormat="false" ht="15" hidden="false" customHeight="true" outlineLevel="0" collapsed="false">
      <c r="A1398" s="27" t="s">
        <v>95</v>
      </c>
      <c r="B1398" s="41" t="n">
        <v>46303.3597222222</v>
      </c>
      <c r="C1398" s="27" t="s">
        <v>200</v>
      </c>
      <c r="D1398" s="27" t="n">
        <v>44.4</v>
      </c>
      <c r="E1398" s="27" t="n">
        <v>20.4</v>
      </c>
      <c r="F1398" s="27" t="n">
        <v>31.7</v>
      </c>
      <c r="G1398" s="27" t="n">
        <v>34</v>
      </c>
      <c r="H1398" s="27" t="s">
        <v>199</v>
      </c>
      <c r="I1398" s="42" t="n">
        <f aca="false">(D1398-INDEX('Cohort Summary'!$D$5:$D$14,MATCH($A1398,'Cohort Summary'!$A$5:$A$14,0)))/INDEX('Cohort Summary'!$E$5:$E$14,MATCH($A1398,'Cohort Summary'!$A$5:$A$14,0))</f>
        <v>-1.24567474048443</v>
      </c>
      <c r="J1398" s="42" t="n">
        <f aca="false">(E1398-INDEX('Cohort Summary'!$F$5:$F$14,MATCH($A1398,'Cohort Summary'!$A$5:$A$14,0)))/INDEX('Cohort Summary'!$G$5:$G$14,MATCH($A1398,'Cohort Summary'!$A$5:$A$14,0))</f>
        <v>1.02094240837696</v>
      </c>
      <c r="K1398" s="42" t="n">
        <f aca="false">(F1398-INDEX('Cohort Summary'!$H$5:$H$14,MATCH($A1398,'Cohort Summary'!$A$5:$A$14,0)))/INDEX('Cohort Summary'!$I$5:$I$14,MATCH($A1398,'Cohort Summary'!$A$5:$A$14,0))</f>
        <v>-1.09505703422053</v>
      </c>
      <c r="L1398" s="42" t="n">
        <f aca="false">(G1398-INDEX('Cohort Summary'!$J$5:$J$14,MATCH($A1398,'Cohort Summary'!$A$5:$A$14,0)))/INDEX('Cohort Summary'!$K$5:$K$14,MATCH($A1398,'Cohort Summary'!$A$5:$A$14,0))</f>
        <v>0.885245901639343</v>
      </c>
      <c r="M1398" s="42" t="n">
        <f aca="false">MAX(I1398:K1398)</f>
        <v>1.02094240837696</v>
      </c>
      <c r="N1398" s="27" t="s">
        <v>197</v>
      </c>
      <c r="O1398" s="27"/>
      <c r="P1398" s="27" t="str">
        <f aca="false">A1398&amp;"|"&amp;N1398</f>
        <v>NURSE-07|normal</v>
      </c>
    </row>
    <row r="1399" customFormat="false" ht="15" hidden="false" customHeight="true" outlineLevel="0" collapsed="false">
      <c r="A1399" s="27" t="s">
        <v>95</v>
      </c>
      <c r="B1399" s="41" t="n">
        <v>46303.3600694445</v>
      </c>
      <c r="C1399" s="27" t="s">
        <v>200</v>
      </c>
      <c r="D1399" s="27" t="n">
        <v>51</v>
      </c>
      <c r="E1399" s="27" t="n">
        <v>15.9</v>
      </c>
      <c r="F1399" s="27" t="n">
        <v>38.8</v>
      </c>
      <c r="G1399" s="27" t="n">
        <v>33.2</v>
      </c>
      <c r="H1399" s="27" t="s">
        <v>199</v>
      </c>
      <c r="I1399" s="42" t="n">
        <f aca="false">(D1399-INDEX('Cohort Summary'!$D$5:$D$14,MATCH($A1399,'Cohort Summary'!$A$5:$A$14,0)))/INDEX('Cohort Summary'!$E$5:$E$14,MATCH($A1399,'Cohort Summary'!$A$5:$A$14,0))</f>
        <v>1.03806228373702</v>
      </c>
      <c r="J1399" s="42" t="n">
        <f aca="false">(E1399-INDEX('Cohort Summary'!$F$5:$F$14,MATCH($A1399,'Cohort Summary'!$A$5:$A$14,0)))/INDEX('Cohort Summary'!$G$5:$G$14,MATCH($A1399,'Cohort Summary'!$A$5:$A$14,0))</f>
        <v>-1.33507853403141</v>
      </c>
      <c r="K1399" s="42" t="n">
        <f aca="false">(F1399-INDEX('Cohort Summary'!$H$5:$H$14,MATCH($A1399,'Cohort Summary'!$A$5:$A$14,0)))/INDEX('Cohort Summary'!$I$5:$I$14,MATCH($A1399,'Cohort Summary'!$A$5:$A$14,0))</f>
        <v>1.60456273764259</v>
      </c>
      <c r="L1399" s="42" t="n">
        <f aca="false">(G1399-INDEX('Cohort Summary'!$J$5:$J$14,MATCH($A1399,'Cohort Summary'!$A$5:$A$14,0)))/INDEX('Cohort Summary'!$K$5:$K$14,MATCH($A1399,'Cohort Summary'!$A$5:$A$14,0))</f>
        <v>-0.426229508196718</v>
      </c>
      <c r="M1399" s="42" t="n">
        <f aca="false">MAX(I1399:K1399)</f>
        <v>1.60456273764259</v>
      </c>
      <c r="N1399" s="27" t="s">
        <v>197</v>
      </c>
      <c r="O1399" s="27"/>
      <c r="P1399" s="27" t="str">
        <f aca="false">A1399&amp;"|"&amp;N1399</f>
        <v>NURSE-07|normal</v>
      </c>
    </row>
    <row r="1400" customFormat="false" ht="15" hidden="false" customHeight="true" outlineLevel="0" collapsed="false">
      <c r="A1400" s="27" t="s">
        <v>95</v>
      </c>
      <c r="B1400" s="41" t="n">
        <v>46303.3604166667</v>
      </c>
      <c r="C1400" s="27" t="s">
        <v>200</v>
      </c>
      <c r="D1400" s="27" t="n">
        <v>43.9</v>
      </c>
      <c r="E1400" s="27" t="n">
        <v>15.8</v>
      </c>
      <c r="F1400" s="27" t="n">
        <v>39.3</v>
      </c>
      <c r="G1400" s="27" t="n">
        <v>33.1</v>
      </c>
      <c r="H1400" s="27" t="s">
        <v>198</v>
      </c>
      <c r="I1400" s="42" t="n">
        <f aca="false">(D1400-INDEX('Cohort Summary'!$D$5:$D$14,MATCH($A1400,'Cohort Summary'!$A$5:$A$14,0)))/INDEX('Cohort Summary'!$E$5:$E$14,MATCH($A1400,'Cohort Summary'!$A$5:$A$14,0))</f>
        <v>-1.41868512110727</v>
      </c>
      <c r="J1400" s="42" t="n">
        <f aca="false">(E1400-INDEX('Cohort Summary'!$F$5:$F$14,MATCH($A1400,'Cohort Summary'!$A$5:$A$14,0)))/INDEX('Cohort Summary'!$G$5:$G$14,MATCH($A1400,'Cohort Summary'!$A$5:$A$14,0))</f>
        <v>-1.38743455497382</v>
      </c>
      <c r="K1400" s="42" t="n">
        <f aca="false">(F1400-INDEX('Cohort Summary'!$H$5:$H$14,MATCH($A1400,'Cohort Summary'!$A$5:$A$14,0)))/INDEX('Cohort Summary'!$I$5:$I$14,MATCH($A1400,'Cohort Summary'!$A$5:$A$14,0))</f>
        <v>1.79467680608365</v>
      </c>
      <c r="L1400" s="42" t="n">
        <f aca="false">(G1400-INDEX('Cohort Summary'!$J$5:$J$14,MATCH($A1400,'Cohort Summary'!$A$5:$A$14,0)))/INDEX('Cohort Summary'!$K$5:$K$14,MATCH($A1400,'Cohort Summary'!$A$5:$A$14,0))</f>
        <v>-0.590163934426229</v>
      </c>
      <c r="M1400" s="42" t="n">
        <f aca="false">MAX(I1400:K1400)</f>
        <v>1.79467680608365</v>
      </c>
      <c r="N1400" s="27" t="s">
        <v>197</v>
      </c>
      <c r="O1400" s="27"/>
      <c r="P1400" s="27" t="str">
        <f aca="false">A1400&amp;"|"&amp;N1400</f>
        <v>NURSE-07|normal</v>
      </c>
    </row>
    <row r="1401" customFormat="false" ht="15" hidden="false" customHeight="true" outlineLevel="0" collapsed="false">
      <c r="A1401" s="27" t="s">
        <v>95</v>
      </c>
      <c r="B1401" s="41" t="n">
        <v>46303.3607638889</v>
      </c>
      <c r="C1401" s="27" t="s">
        <v>200</v>
      </c>
      <c r="D1401" s="27" t="n">
        <v>51.9</v>
      </c>
      <c r="E1401" s="27" t="n">
        <v>18.6</v>
      </c>
      <c r="F1401" s="27" t="n">
        <v>35.1</v>
      </c>
      <c r="G1401" s="27" t="n">
        <v>34.4</v>
      </c>
      <c r="H1401" s="27" t="s">
        <v>198</v>
      </c>
      <c r="I1401" s="42" t="n">
        <f aca="false">(D1401-INDEX('Cohort Summary'!$D$5:$D$14,MATCH($A1401,'Cohort Summary'!$A$5:$A$14,0)))/INDEX('Cohort Summary'!$E$5:$E$14,MATCH($A1401,'Cohort Summary'!$A$5:$A$14,0))</f>
        <v>1.34948096885813</v>
      </c>
      <c r="J1401" s="42" t="n">
        <f aca="false">(E1401-INDEX('Cohort Summary'!$F$5:$F$14,MATCH($A1401,'Cohort Summary'!$A$5:$A$14,0)))/INDEX('Cohort Summary'!$G$5:$G$14,MATCH($A1401,'Cohort Summary'!$A$5:$A$14,0))</f>
        <v>0.0785340314136137</v>
      </c>
      <c r="K1401" s="42" t="n">
        <f aca="false">(F1401-INDEX('Cohort Summary'!$H$5:$H$14,MATCH($A1401,'Cohort Summary'!$A$5:$A$14,0)))/INDEX('Cohort Summary'!$I$5:$I$14,MATCH($A1401,'Cohort Summary'!$A$5:$A$14,0))</f>
        <v>0.197718631178708</v>
      </c>
      <c r="L1401" s="42" t="n">
        <f aca="false">(G1401-INDEX('Cohort Summary'!$J$5:$J$14,MATCH($A1401,'Cohort Summary'!$A$5:$A$14,0)))/INDEX('Cohort Summary'!$K$5:$K$14,MATCH($A1401,'Cohort Summary'!$A$5:$A$14,0))</f>
        <v>1.54098360655737</v>
      </c>
      <c r="M1401" s="42" t="n">
        <f aca="false">MAX(I1401:K1401)</f>
        <v>1.34948096885813</v>
      </c>
      <c r="N1401" s="27" t="s">
        <v>197</v>
      </c>
      <c r="O1401" s="27"/>
      <c r="P1401" s="27" t="str">
        <f aca="false">A1401&amp;"|"&amp;N1401</f>
        <v>NURSE-07|normal</v>
      </c>
    </row>
    <row r="1402" customFormat="false" ht="15" hidden="false" customHeight="true" outlineLevel="0" collapsed="false">
      <c r="A1402" s="27" t="s">
        <v>98</v>
      </c>
      <c r="B1402" s="41" t="n">
        <v>46303.2916666667</v>
      </c>
      <c r="C1402" s="27" t="s">
        <v>195</v>
      </c>
      <c r="D1402" s="27" t="n">
        <v>34.4</v>
      </c>
      <c r="E1402" s="27" t="n">
        <v>14.6</v>
      </c>
      <c r="F1402" s="27" t="n">
        <v>28.3</v>
      </c>
      <c r="G1402" s="27" t="n">
        <v>32.3</v>
      </c>
      <c r="H1402" s="27" t="s">
        <v>198</v>
      </c>
      <c r="I1402" s="42" t="n">
        <f aca="false">(D1402-INDEX('Cohort Summary'!$D$5:$D$14,MATCH($A1402,'Cohort Summary'!$A$5:$A$14,0)))/INDEX('Cohort Summary'!$E$5:$E$14,MATCH($A1402,'Cohort Summary'!$A$5:$A$14,0))</f>
        <v>-1.29285714285714</v>
      </c>
      <c r="J1402" s="42" t="n">
        <f aca="false">(E1402-INDEX('Cohort Summary'!$F$5:$F$14,MATCH($A1402,'Cohort Summary'!$A$5:$A$14,0)))/INDEX('Cohort Summary'!$G$5:$G$14,MATCH($A1402,'Cohort Summary'!$A$5:$A$14,0))</f>
        <v>-1.49746192893401</v>
      </c>
      <c r="K1402" s="42" t="n">
        <f aca="false">(F1402-INDEX('Cohort Summary'!$H$5:$H$14,MATCH($A1402,'Cohort Summary'!$A$5:$A$14,0)))/INDEX('Cohort Summary'!$I$5:$I$14,MATCH($A1402,'Cohort Summary'!$A$5:$A$14,0))</f>
        <v>-0.931972789115646</v>
      </c>
      <c r="L1402" s="42" t="n">
        <f aca="false">(G1402-INDEX('Cohort Summary'!$J$5:$J$14,MATCH($A1402,'Cohort Summary'!$A$5:$A$14,0)))/INDEX('Cohort Summary'!$K$5:$K$14,MATCH($A1402,'Cohort Summary'!$A$5:$A$14,0))</f>
        <v>-0.879310344827595</v>
      </c>
      <c r="M1402" s="42" t="n">
        <f aca="false">MAX(I1402:K1402)</f>
        <v>-0.931972789115646</v>
      </c>
      <c r="N1402" s="27" t="s">
        <v>197</v>
      </c>
      <c r="O1402" s="27"/>
      <c r="P1402" s="27" t="str">
        <f aca="false">A1402&amp;"|"&amp;N1402</f>
        <v>NURSE-08|normal</v>
      </c>
    </row>
    <row r="1403" customFormat="false" ht="15" hidden="false" customHeight="true" outlineLevel="0" collapsed="false">
      <c r="A1403" s="27" t="s">
        <v>98</v>
      </c>
      <c r="B1403" s="41" t="n">
        <v>46303.2920138889</v>
      </c>
      <c r="C1403" s="27" t="s">
        <v>195</v>
      </c>
      <c r="D1403" s="27" t="n">
        <v>37.2</v>
      </c>
      <c r="E1403" s="27" t="n">
        <v>14.2</v>
      </c>
      <c r="F1403" s="27" t="n">
        <v>35.2</v>
      </c>
      <c r="G1403" s="27" t="n">
        <v>32.8</v>
      </c>
      <c r="H1403" s="27" t="s">
        <v>196</v>
      </c>
      <c r="I1403" s="42" t="n">
        <f aca="false">(D1403-INDEX('Cohort Summary'!$D$5:$D$14,MATCH($A1403,'Cohort Summary'!$A$5:$A$14,0)))/INDEX('Cohort Summary'!$E$5:$E$14,MATCH($A1403,'Cohort Summary'!$A$5:$A$14,0))</f>
        <v>-0.292857142857143</v>
      </c>
      <c r="J1403" s="42" t="n">
        <f aca="false">(E1403-INDEX('Cohort Summary'!$F$5:$F$14,MATCH($A1403,'Cohort Summary'!$A$5:$A$14,0)))/INDEX('Cohort Summary'!$G$5:$G$14,MATCH($A1403,'Cohort Summary'!$A$5:$A$14,0))</f>
        <v>-1.7005076142132</v>
      </c>
      <c r="K1403" s="42" t="n">
        <f aca="false">(F1403-INDEX('Cohort Summary'!$H$5:$H$14,MATCH($A1403,'Cohort Summary'!$A$5:$A$14,0)))/INDEX('Cohort Summary'!$I$5:$I$14,MATCH($A1403,'Cohort Summary'!$A$5:$A$14,0))</f>
        <v>1.41496598639456</v>
      </c>
      <c r="L1403" s="42" t="n">
        <f aca="false">(G1403-INDEX('Cohort Summary'!$J$5:$J$14,MATCH($A1403,'Cohort Summary'!$A$5:$A$14,0)))/INDEX('Cohort Summary'!$K$5:$K$14,MATCH($A1403,'Cohort Summary'!$A$5:$A$14,0))</f>
        <v>-0.0172413793103537</v>
      </c>
      <c r="M1403" s="42" t="n">
        <f aca="false">MAX(I1403:K1403)</f>
        <v>1.41496598639456</v>
      </c>
      <c r="N1403" s="27" t="s">
        <v>197</v>
      </c>
      <c r="O1403" s="27"/>
      <c r="P1403" s="27" t="str">
        <f aca="false">A1403&amp;"|"&amp;N1403</f>
        <v>NURSE-08|normal</v>
      </c>
    </row>
    <row r="1404" customFormat="false" ht="15" hidden="false" customHeight="true" outlineLevel="0" collapsed="false">
      <c r="A1404" s="27" t="s">
        <v>98</v>
      </c>
      <c r="B1404" s="41" t="n">
        <v>46303.2923611111</v>
      </c>
      <c r="C1404" s="27" t="s">
        <v>195</v>
      </c>
      <c r="D1404" s="27" t="n">
        <v>40</v>
      </c>
      <c r="E1404" s="27" t="n">
        <v>19.1</v>
      </c>
      <c r="F1404" s="27" t="n">
        <v>33.6</v>
      </c>
      <c r="G1404" s="27" t="n">
        <v>32.4</v>
      </c>
      <c r="H1404" s="27" t="s">
        <v>196</v>
      </c>
      <c r="I1404" s="42" t="n">
        <f aca="false">(D1404-INDEX('Cohort Summary'!$D$5:$D$14,MATCH($A1404,'Cohort Summary'!$A$5:$A$14,0)))/INDEX('Cohort Summary'!$E$5:$E$14,MATCH($A1404,'Cohort Summary'!$A$5:$A$14,0))</f>
        <v>0.707142857142856</v>
      </c>
      <c r="J1404" s="42" t="n">
        <f aca="false">(E1404-INDEX('Cohort Summary'!$F$5:$F$14,MATCH($A1404,'Cohort Summary'!$A$5:$A$14,0)))/INDEX('Cohort Summary'!$G$5:$G$14,MATCH($A1404,'Cohort Summary'!$A$5:$A$14,0))</f>
        <v>0.786802030456853</v>
      </c>
      <c r="K1404" s="42" t="n">
        <f aca="false">(F1404-INDEX('Cohort Summary'!$H$5:$H$14,MATCH($A1404,'Cohort Summary'!$A$5:$A$14,0)))/INDEX('Cohort Summary'!$I$5:$I$14,MATCH($A1404,'Cohort Summary'!$A$5:$A$14,0))</f>
        <v>0.870748299319729</v>
      </c>
      <c r="L1404" s="42" t="n">
        <f aca="false">(G1404-INDEX('Cohort Summary'!$J$5:$J$14,MATCH($A1404,'Cohort Summary'!$A$5:$A$14,0)))/INDEX('Cohort Summary'!$K$5:$K$14,MATCH($A1404,'Cohort Summary'!$A$5:$A$14,0))</f>
        <v>-0.706896551724144</v>
      </c>
      <c r="M1404" s="42" t="n">
        <f aca="false">MAX(I1404:K1404)</f>
        <v>0.870748299319729</v>
      </c>
      <c r="N1404" s="27" t="s">
        <v>197</v>
      </c>
      <c r="O1404" s="27"/>
      <c r="P1404" s="27" t="str">
        <f aca="false">A1404&amp;"|"&amp;N1404</f>
        <v>NURSE-08|normal</v>
      </c>
    </row>
    <row r="1405" customFormat="false" ht="15" hidden="false" customHeight="true" outlineLevel="0" collapsed="false">
      <c r="A1405" s="27" t="s">
        <v>98</v>
      </c>
      <c r="B1405" s="41" t="n">
        <v>46303.2927083333</v>
      </c>
      <c r="C1405" s="27" t="s">
        <v>195</v>
      </c>
      <c r="D1405" s="27" t="n">
        <v>39.3</v>
      </c>
      <c r="E1405" s="27" t="n">
        <v>15</v>
      </c>
      <c r="F1405" s="27" t="n">
        <v>32.8</v>
      </c>
      <c r="G1405" s="27" t="n">
        <v>32.7</v>
      </c>
      <c r="H1405" s="27" t="s">
        <v>199</v>
      </c>
      <c r="I1405" s="42" t="n">
        <f aca="false">(D1405-INDEX('Cohort Summary'!$D$5:$D$14,MATCH($A1405,'Cohort Summary'!$A$5:$A$14,0)))/INDEX('Cohort Summary'!$E$5:$E$14,MATCH($A1405,'Cohort Summary'!$A$5:$A$14,0))</f>
        <v>0.457142857142855</v>
      </c>
      <c r="J1405" s="42" t="n">
        <f aca="false">(E1405-INDEX('Cohort Summary'!$F$5:$F$14,MATCH($A1405,'Cohort Summary'!$A$5:$A$14,0)))/INDEX('Cohort Summary'!$G$5:$G$14,MATCH($A1405,'Cohort Summary'!$A$5:$A$14,0))</f>
        <v>-1.29441624365482</v>
      </c>
      <c r="K1405" s="42" t="n">
        <f aca="false">(F1405-INDEX('Cohort Summary'!$H$5:$H$14,MATCH($A1405,'Cohort Summary'!$A$5:$A$14,0)))/INDEX('Cohort Summary'!$I$5:$I$14,MATCH($A1405,'Cohort Summary'!$A$5:$A$14,0))</f>
        <v>0.598639455782312</v>
      </c>
      <c r="L1405" s="42" t="n">
        <f aca="false">(G1405-INDEX('Cohort Summary'!$J$5:$J$14,MATCH($A1405,'Cohort Summary'!$A$5:$A$14,0)))/INDEX('Cohort Summary'!$K$5:$K$14,MATCH($A1405,'Cohort Summary'!$A$5:$A$14,0))</f>
        <v>-0.189655172413792</v>
      </c>
      <c r="M1405" s="42" t="n">
        <f aca="false">MAX(I1405:K1405)</f>
        <v>0.598639455782312</v>
      </c>
      <c r="N1405" s="27" t="s">
        <v>197</v>
      </c>
      <c r="O1405" s="27"/>
      <c r="P1405" s="27" t="str">
        <f aca="false">A1405&amp;"|"&amp;N1405</f>
        <v>NURSE-08|normal</v>
      </c>
    </row>
    <row r="1406" customFormat="false" ht="15" hidden="false" customHeight="true" outlineLevel="0" collapsed="false">
      <c r="A1406" s="27" t="s">
        <v>98</v>
      </c>
      <c r="B1406" s="41" t="n">
        <v>46303.2930555556</v>
      </c>
      <c r="C1406" s="27" t="s">
        <v>195</v>
      </c>
      <c r="D1406" s="27" t="n">
        <v>34.7</v>
      </c>
      <c r="E1406" s="27" t="n">
        <v>16.4</v>
      </c>
      <c r="F1406" s="27" t="n">
        <v>34.2</v>
      </c>
      <c r="G1406" s="27" t="n">
        <v>33.4</v>
      </c>
      <c r="H1406" s="27" t="s">
        <v>198</v>
      </c>
      <c r="I1406" s="42" t="n">
        <f aca="false">(D1406-INDEX('Cohort Summary'!$D$5:$D$14,MATCH($A1406,'Cohort Summary'!$A$5:$A$14,0)))/INDEX('Cohort Summary'!$E$5:$E$14,MATCH($A1406,'Cohort Summary'!$A$5:$A$14,0))</f>
        <v>-1.18571428571429</v>
      </c>
      <c r="J1406" s="42" t="n">
        <f aca="false">(E1406-INDEX('Cohort Summary'!$F$5:$F$14,MATCH($A1406,'Cohort Summary'!$A$5:$A$14,0)))/INDEX('Cohort Summary'!$G$5:$G$14,MATCH($A1406,'Cohort Summary'!$A$5:$A$14,0))</f>
        <v>-0.583756345177666</v>
      </c>
      <c r="K1406" s="42" t="n">
        <f aca="false">(F1406-INDEX('Cohort Summary'!$H$5:$H$14,MATCH($A1406,'Cohort Summary'!$A$5:$A$14,0)))/INDEX('Cohort Summary'!$I$5:$I$14,MATCH($A1406,'Cohort Summary'!$A$5:$A$14,0))</f>
        <v>1.07482993197279</v>
      </c>
      <c r="L1406" s="42" t="n">
        <f aca="false">(G1406-INDEX('Cohort Summary'!$J$5:$J$14,MATCH($A1406,'Cohort Summary'!$A$5:$A$14,0)))/INDEX('Cohort Summary'!$K$5:$K$14,MATCH($A1406,'Cohort Summary'!$A$5:$A$14,0))</f>
        <v>1.01724137931034</v>
      </c>
      <c r="M1406" s="42" t="n">
        <f aca="false">MAX(I1406:K1406)</f>
        <v>1.07482993197279</v>
      </c>
      <c r="N1406" s="27" t="s">
        <v>197</v>
      </c>
      <c r="O1406" s="27"/>
      <c r="P1406" s="27" t="str">
        <f aca="false">A1406&amp;"|"&amp;N1406</f>
        <v>NURSE-08|normal</v>
      </c>
    </row>
    <row r="1407" customFormat="false" ht="15" hidden="false" customHeight="true" outlineLevel="0" collapsed="false">
      <c r="A1407" s="27" t="s">
        <v>98</v>
      </c>
      <c r="B1407" s="41" t="n">
        <v>46303.2934027778</v>
      </c>
      <c r="C1407" s="27" t="s">
        <v>195</v>
      </c>
      <c r="D1407" s="27" t="n">
        <v>40.3</v>
      </c>
      <c r="E1407" s="27" t="n">
        <v>17.1</v>
      </c>
      <c r="F1407" s="27" t="n">
        <v>27.2</v>
      </c>
      <c r="G1407" s="27" t="n">
        <v>33.3</v>
      </c>
      <c r="H1407" s="27" t="s">
        <v>199</v>
      </c>
      <c r="I1407" s="42" t="n">
        <f aca="false">(D1407-INDEX('Cohort Summary'!$D$5:$D$14,MATCH($A1407,'Cohort Summary'!$A$5:$A$14,0)))/INDEX('Cohort Summary'!$E$5:$E$14,MATCH($A1407,'Cohort Summary'!$A$5:$A$14,0))</f>
        <v>0.814285714285712</v>
      </c>
      <c r="J1407" s="42" t="n">
        <f aca="false">(E1407-INDEX('Cohort Summary'!$F$5:$F$14,MATCH($A1407,'Cohort Summary'!$A$5:$A$14,0)))/INDEX('Cohort Summary'!$G$5:$G$14,MATCH($A1407,'Cohort Summary'!$A$5:$A$14,0))</f>
        <v>-0.228426395939086</v>
      </c>
      <c r="K1407" s="42" t="n">
        <f aca="false">(F1407-INDEX('Cohort Summary'!$H$5:$H$14,MATCH($A1407,'Cohort Summary'!$A$5:$A$14,0)))/INDEX('Cohort Summary'!$I$5:$I$14,MATCH($A1407,'Cohort Summary'!$A$5:$A$14,0))</f>
        <v>-1.30612244897959</v>
      </c>
      <c r="L1407" s="42" t="n">
        <f aca="false">(G1407-INDEX('Cohort Summary'!$J$5:$J$14,MATCH($A1407,'Cohort Summary'!$A$5:$A$14,0)))/INDEX('Cohort Summary'!$K$5:$K$14,MATCH($A1407,'Cohort Summary'!$A$5:$A$14,0))</f>
        <v>0.844827586206888</v>
      </c>
      <c r="M1407" s="42" t="n">
        <f aca="false">MAX(I1407:K1407)</f>
        <v>0.814285714285712</v>
      </c>
      <c r="N1407" s="27" t="s">
        <v>197</v>
      </c>
      <c r="O1407" s="27"/>
      <c r="P1407" s="27" t="str">
        <f aca="false">A1407&amp;"|"&amp;N1407</f>
        <v>NURSE-08|normal</v>
      </c>
    </row>
    <row r="1408" customFormat="false" ht="15" hidden="false" customHeight="true" outlineLevel="0" collapsed="false">
      <c r="A1408" s="27" t="s">
        <v>98</v>
      </c>
      <c r="B1408" s="41" t="n">
        <v>46303.29375</v>
      </c>
      <c r="C1408" s="27" t="s">
        <v>195</v>
      </c>
      <c r="D1408" s="27" t="n">
        <v>39.5</v>
      </c>
      <c r="E1408" s="27" t="n">
        <v>19.5</v>
      </c>
      <c r="F1408" s="27" t="n">
        <v>31.2</v>
      </c>
      <c r="G1408" s="27" t="n">
        <v>32.9</v>
      </c>
      <c r="H1408" s="27" t="s">
        <v>196</v>
      </c>
      <c r="I1408" s="42" t="n">
        <f aca="false">(D1408-INDEX('Cohort Summary'!$D$5:$D$14,MATCH($A1408,'Cohort Summary'!$A$5:$A$14,0)))/INDEX('Cohort Summary'!$E$5:$E$14,MATCH($A1408,'Cohort Summary'!$A$5:$A$14,0))</f>
        <v>0.528571428571428</v>
      </c>
      <c r="J1408" s="42" t="n">
        <f aca="false">(E1408-INDEX('Cohort Summary'!$F$5:$F$14,MATCH($A1408,'Cohort Summary'!$A$5:$A$14,0)))/INDEX('Cohort Summary'!$G$5:$G$14,MATCH($A1408,'Cohort Summary'!$A$5:$A$14,0))</f>
        <v>0.98984771573604</v>
      </c>
      <c r="K1408" s="42" t="n">
        <f aca="false">(F1408-INDEX('Cohort Summary'!$H$5:$H$14,MATCH($A1408,'Cohort Summary'!$A$5:$A$14,0)))/INDEX('Cohort Summary'!$I$5:$I$14,MATCH($A1408,'Cohort Summary'!$A$5:$A$14,0))</f>
        <v>0.054421768707483</v>
      </c>
      <c r="L1408" s="42" t="n">
        <f aca="false">(G1408-INDEX('Cohort Summary'!$J$5:$J$14,MATCH($A1408,'Cohort Summary'!$A$5:$A$14,0)))/INDEX('Cohort Summary'!$K$5:$K$14,MATCH($A1408,'Cohort Summary'!$A$5:$A$14,0))</f>
        <v>0.155172413793097</v>
      </c>
      <c r="M1408" s="42" t="n">
        <f aca="false">MAX(I1408:K1408)</f>
        <v>0.98984771573604</v>
      </c>
      <c r="N1408" s="27" t="s">
        <v>197</v>
      </c>
      <c r="O1408" s="27"/>
      <c r="P1408" s="27" t="str">
        <f aca="false">A1408&amp;"|"&amp;N1408</f>
        <v>NURSE-08|normal</v>
      </c>
    </row>
    <row r="1409" customFormat="false" ht="15" hidden="false" customHeight="true" outlineLevel="0" collapsed="false">
      <c r="A1409" s="27" t="s">
        <v>98</v>
      </c>
      <c r="B1409" s="41" t="n">
        <v>46303.2940972222</v>
      </c>
      <c r="C1409" s="27" t="s">
        <v>195</v>
      </c>
      <c r="D1409" s="27" t="n">
        <v>39.5</v>
      </c>
      <c r="E1409" s="27" t="n">
        <v>18.6</v>
      </c>
      <c r="F1409" s="27" t="n">
        <v>31.9</v>
      </c>
      <c r="G1409" s="27" t="n">
        <v>32.8</v>
      </c>
      <c r="H1409" s="27" t="s">
        <v>199</v>
      </c>
      <c r="I1409" s="42" t="n">
        <f aca="false">(D1409-INDEX('Cohort Summary'!$D$5:$D$14,MATCH($A1409,'Cohort Summary'!$A$5:$A$14,0)))/INDEX('Cohort Summary'!$E$5:$E$14,MATCH($A1409,'Cohort Summary'!$A$5:$A$14,0))</f>
        <v>0.528571428571428</v>
      </c>
      <c r="J1409" s="42" t="n">
        <f aca="false">(E1409-INDEX('Cohort Summary'!$F$5:$F$14,MATCH($A1409,'Cohort Summary'!$A$5:$A$14,0)))/INDEX('Cohort Summary'!$G$5:$G$14,MATCH($A1409,'Cohort Summary'!$A$5:$A$14,0))</f>
        <v>0.532994923857868</v>
      </c>
      <c r="K1409" s="42" t="n">
        <f aca="false">(F1409-INDEX('Cohort Summary'!$H$5:$H$14,MATCH($A1409,'Cohort Summary'!$A$5:$A$14,0)))/INDEX('Cohort Summary'!$I$5:$I$14,MATCH($A1409,'Cohort Summary'!$A$5:$A$14,0))</f>
        <v>0.292517006802721</v>
      </c>
      <c r="L1409" s="42" t="n">
        <f aca="false">(G1409-INDEX('Cohort Summary'!$J$5:$J$14,MATCH($A1409,'Cohort Summary'!$A$5:$A$14,0)))/INDEX('Cohort Summary'!$K$5:$K$14,MATCH($A1409,'Cohort Summary'!$A$5:$A$14,0))</f>
        <v>-0.0172413793103537</v>
      </c>
      <c r="M1409" s="42" t="n">
        <f aca="false">MAX(I1409:K1409)</f>
        <v>0.532994923857868</v>
      </c>
      <c r="N1409" s="27" t="s">
        <v>197</v>
      </c>
      <c r="O1409" s="27"/>
      <c r="P1409" s="27" t="str">
        <f aca="false">A1409&amp;"|"&amp;N1409</f>
        <v>NURSE-08|normal</v>
      </c>
    </row>
    <row r="1410" customFormat="false" ht="15" hidden="false" customHeight="true" outlineLevel="0" collapsed="false">
      <c r="A1410" s="27" t="s">
        <v>98</v>
      </c>
      <c r="B1410" s="41" t="n">
        <v>46303.2944444444</v>
      </c>
      <c r="C1410" s="27" t="s">
        <v>195</v>
      </c>
      <c r="D1410" s="27" t="n">
        <v>38.7</v>
      </c>
      <c r="E1410" s="27" t="n">
        <v>14.9</v>
      </c>
      <c r="F1410" s="27" t="n">
        <v>30.3</v>
      </c>
      <c r="G1410" s="27" t="n">
        <v>32.6</v>
      </c>
      <c r="H1410" s="27" t="s">
        <v>199</v>
      </c>
      <c r="I1410" s="42" t="n">
        <f aca="false">(D1410-INDEX('Cohort Summary'!$D$5:$D$14,MATCH($A1410,'Cohort Summary'!$A$5:$A$14,0)))/INDEX('Cohort Summary'!$E$5:$E$14,MATCH($A1410,'Cohort Summary'!$A$5:$A$14,0))</f>
        <v>0.242857142857143</v>
      </c>
      <c r="J1410" s="42" t="n">
        <f aca="false">(E1410-INDEX('Cohort Summary'!$F$5:$F$14,MATCH($A1410,'Cohort Summary'!$A$5:$A$14,0)))/INDEX('Cohort Summary'!$G$5:$G$14,MATCH($A1410,'Cohort Summary'!$A$5:$A$14,0))</f>
        <v>-1.34517766497462</v>
      </c>
      <c r="K1410" s="42" t="n">
        <f aca="false">(F1410-INDEX('Cohort Summary'!$H$5:$H$14,MATCH($A1410,'Cohort Summary'!$A$5:$A$14,0)))/INDEX('Cohort Summary'!$I$5:$I$14,MATCH($A1410,'Cohort Summary'!$A$5:$A$14,0))</f>
        <v>-0.251700680272108</v>
      </c>
      <c r="L1410" s="42" t="n">
        <f aca="false">(G1410-INDEX('Cohort Summary'!$J$5:$J$14,MATCH($A1410,'Cohort Summary'!$A$5:$A$14,0)))/INDEX('Cohort Summary'!$K$5:$K$14,MATCH($A1410,'Cohort Summary'!$A$5:$A$14,0))</f>
        <v>-0.362068965517243</v>
      </c>
      <c r="M1410" s="42" t="n">
        <f aca="false">MAX(I1410:K1410)</f>
        <v>0.242857142857143</v>
      </c>
      <c r="N1410" s="27" t="s">
        <v>197</v>
      </c>
      <c r="O1410" s="27"/>
      <c r="P1410" s="27" t="str">
        <f aca="false">A1410&amp;"|"&amp;N1410</f>
        <v>NURSE-08|normal</v>
      </c>
    </row>
    <row r="1411" customFormat="false" ht="15" hidden="false" customHeight="true" outlineLevel="0" collapsed="false">
      <c r="A1411" s="27" t="s">
        <v>98</v>
      </c>
      <c r="B1411" s="41" t="n">
        <v>46303.2947916667</v>
      </c>
      <c r="C1411" s="27" t="s">
        <v>195</v>
      </c>
      <c r="D1411" s="27" t="n">
        <v>35.4</v>
      </c>
      <c r="E1411" s="27" t="n">
        <v>17.6</v>
      </c>
      <c r="F1411" s="27" t="n">
        <v>31.2</v>
      </c>
      <c r="G1411" s="27" t="n">
        <v>32.1</v>
      </c>
      <c r="H1411" s="27" t="s">
        <v>199</v>
      </c>
      <c r="I1411" s="42" t="n">
        <f aca="false">(D1411-INDEX('Cohort Summary'!$D$5:$D$14,MATCH($A1411,'Cohort Summary'!$A$5:$A$14,0)))/INDEX('Cohort Summary'!$E$5:$E$14,MATCH($A1411,'Cohort Summary'!$A$5:$A$14,0))</f>
        <v>-0.935714285714287</v>
      </c>
      <c r="J1411" s="42" t="n">
        <f aca="false">(E1411-INDEX('Cohort Summary'!$F$5:$F$14,MATCH($A1411,'Cohort Summary'!$A$5:$A$14,0)))/INDEX('Cohort Summary'!$G$5:$G$14,MATCH($A1411,'Cohort Summary'!$A$5:$A$14,0))</f>
        <v>0.0253807106598988</v>
      </c>
      <c r="K1411" s="42" t="n">
        <f aca="false">(F1411-INDEX('Cohort Summary'!$H$5:$H$14,MATCH($A1411,'Cohort Summary'!$A$5:$A$14,0)))/INDEX('Cohort Summary'!$I$5:$I$14,MATCH($A1411,'Cohort Summary'!$A$5:$A$14,0))</f>
        <v>0.054421768707483</v>
      </c>
      <c r="L1411" s="42" t="n">
        <f aca="false">(G1411-INDEX('Cohort Summary'!$J$5:$J$14,MATCH($A1411,'Cohort Summary'!$A$5:$A$14,0)))/INDEX('Cohort Summary'!$K$5:$K$14,MATCH($A1411,'Cohort Summary'!$A$5:$A$14,0))</f>
        <v>-1.22413793103448</v>
      </c>
      <c r="M1411" s="42" t="n">
        <f aca="false">MAX(I1411:K1411)</f>
        <v>0.054421768707483</v>
      </c>
      <c r="N1411" s="27" t="s">
        <v>197</v>
      </c>
      <c r="O1411" s="27"/>
      <c r="P1411" s="27" t="str">
        <f aca="false">A1411&amp;"|"&amp;N1411</f>
        <v>NURSE-08|normal</v>
      </c>
    </row>
    <row r="1412" customFormat="false" ht="15" hidden="false" customHeight="true" outlineLevel="0" collapsed="false">
      <c r="A1412" s="27" t="s">
        <v>98</v>
      </c>
      <c r="B1412" s="41" t="n">
        <v>46303.2951388889</v>
      </c>
      <c r="C1412" s="27" t="s">
        <v>195</v>
      </c>
      <c r="D1412" s="27" t="n">
        <v>36.7</v>
      </c>
      <c r="E1412" s="27" t="n">
        <v>20.8</v>
      </c>
      <c r="F1412" s="27" t="n">
        <v>26.9</v>
      </c>
      <c r="G1412" s="27" t="n">
        <v>31.8</v>
      </c>
      <c r="H1412" s="27" t="s">
        <v>196</v>
      </c>
      <c r="I1412" s="42" t="n">
        <f aca="false">(D1412-INDEX('Cohort Summary'!$D$5:$D$14,MATCH($A1412,'Cohort Summary'!$A$5:$A$14,0)))/INDEX('Cohort Summary'!$E$5:$E$14,MATCH($A1412,'Cohort Summary'!$A$5:$A$14,0))</f>
        <v>-0.471428571428572</v>
      </c>
      <c r="J1412" s="42" t="n">
        <f aca="false">(E1412-INDEX('Cohort Summary'!$F$5:$F$14,MATCH($A1412,'Cohort Summary'!$A$5:$A$14,0)))/INDEX('Cohort Summary'!$G$5:$G$14,MATCH($A1412,'Cohort Summary'!$A$5:$A$14,0))</f>
        <v>1.6497461928934</v>
      </c>
      <c r="K1412" s="42" t="n">
        <f aca="false">(F1412-INDEX('Cohort Summary'!$H$5:$H$14,MATCH($A1412,'Cohort Summary'!$A$5:$A$14,0)))/INDEX('Cohort Summary'!$I$5:$I$14,MATCH($A1412,'Cohort Summary'!$A$5:$A$14,0))</f>
        <v>-1.40816326530612</v>
      </c>
      <c r="L1412" s="42" t="n">
        <f aca="false">(G1412-INDEX('Cohort Summary'!$J$5:$J$14,MATCH($A1412,'Cohort Summary'!$A$5:$A$14,0)))/INDEX('Cohort Summary'!$K$5:$K$14,MATCH($A1412,'Cohort Summary'!$A$5:$A$14,0))</f>
        <v>-1.74137931034483</v>
      </c>
      <c r="M1412" s="42" t="n">
        <f aca="false">MAX(I1412:K1412)</f>
        <v>1.6497461928934</v>
      </c>
      <c r="N1412" s="27" t="s">
        <v>197</v>
      </c>
      <c r="O1412" s="27"/>
      <c r="P1412" s="27" t="str">
        <f aca="false">A1412&amp;"|"&amp;N1412</f>
        <v>NURSE-08|normal</v>
      </c>
    </row>
    <row r="1413" customFormat="false" ht="15" hidden="false" customHeight="true" outlineLevel="0" collapsed="false">
      <c r="A1413" s="27" t="s">
        <v>98</v>
      </c>
      <c r="B1413" s="41" t="n">
        <v>46303.2954861111</v>
      </c>
      <c r="C1413" s="27" t="s">
        <v>195</v>
      </c>
      <c r="D1413" s="27" t="n">
        <v>34.1</v>
      </c>
      <c r="E1413" s="27" t="n">
        <v>17.5</v>
      </c>
      <c r="F1413" s="27" t="n">
        <v>27.7</v>
      </c>
      <c r="G1413" s="27" t="n">
        <v>32</v>
      </c>
      <c r="H1413" s="27" t="s">
        <v>198</v>
      </c>
      <c r="I1413" s="42" t="n">
        <f aca="false">(D1413-INDEX('Cohort Summary'!$D$5:$D$14,MATCH($A1413,'Cohort Summary'!$A$5:$A$14,0)))/INDEX('Cohort Summary'!$E$5:$E$14,MATCH($A1413,'Cohort Summary'!$A$5:$A$14,0))</f>
        <v>-1.4</v>
      </c>
      <c r="J1413" s="42" t="n">
        <f aca="false">(E1413-INDEX('Cohort Summary'!$F$5:$F$14,MATCH($A1413,'Cohort Summary'!$A$5:$A$14,0)))/INDEX('Cohort Summary'!$G$5:$G$14,MATCH($A1413,'Cohort Summary'!$A$5:$A$14,0))</f>
        <v>-0.0253807106598988</v>
      </c>
      <c r="K1413" s="42" t="n">
        <f aca="false">(F1413-INDEX('Cohort Summary'!$H$5:$H$14,MATCH($A1413,'Cohort Summary'!$A$5:$A$14,0)))/INDEX('Cohort Summary'!$I$5:$I$14,MATCH($A1413,'Cohort Summary'!$A$5:$A$14,0))</f>
        <v>-1.13605442176871</v>
      </c>
      <c r="L1413" s="42" t="n">
        <f aca="false">(G1413-INDEX('Cohort Summary'!$J$5:$J$14,MATCH($A1413,'Cohort Summary'!$A$5:$A$14,0)))/INDEX('Cohort Summary'!$K$5:$K$14,MATCH($A1413,'Cohort Summary'!$A$5:$A$14,0))</f>
        <v>-1.39655172413794</v>
      </c>
      <c r="M1413" s="42" t="n">
        <f aca="false">MAX(I1413:K1413)</f>
        <v>-0.0253807106598988</v>
      </c>
      <c r="N1413" s="27" t="s">
        <v>197</v>
      </c>
      <c r="O1413" s="27"/>
      <c r="P1413" s="27" t="str">
        <f aca="false">A1413&amp;"|"&amp;N1413</f>
        <v>NURSE-08|normal</v>
      </c>
    </row>
    <row r="1414" customFormat="false" ht="15" hidden="false" customHeight="true" outlineLevel="0" collapsed="false">
      <c r="A1414" s="27" t="s">
        <v>98</v>
      </c>
      <c r="B1414" s="41" t="n">
        <v>46303.2958333333</v>
      </c>
      <c r="C1414" s="27" t="s">
        <v>195</v>
      </c>
      <c r="D1414" s="27" t="n">
        <v>35.4</v>
      </c>
      <c r="E1414" s="27" t="n">
        <v>14.1</v>
      </c>
      <c r="F1414" s="27" t="n">
        <v>34.7</v>
      </c>
      <c r="G1414" s="27" t="n">
        <v>33.7</v>
      </c>
      <c r="H1414" s="27" t="s">
        <v>199</v>
      </c>
      <c r="I1414" s="42" t="n">
        <f aca="false">(D1414-INDEX('Cohort Summary'!$D$5:$D$14,MATCH($A1414,'Cohort Summary'!$A$5:$A$14,0)))/INDEX('Cohort Summary'!$E$5:$E$14,MATCH($A1414,'Cohort Summary'!$A$5:$A$14,0))</f>
        <v>-0.935714285714287</v>
      </c>
      <c r="J1414" s="42" t="n">
        <f aca="false">(E1414-INDEX('Cohort Summary'!$F$5:$F$14,MATCH($A1414,'Cohort Summary'!$A$5:$A$14,0)))/INDEX('Cohort Summary'!$G$5:$G$14,MATCH($A1414,'Cohort Summary'!$A$5:$A$14,0))</f>
        <v>-1.751269035533</v>
      </c>
      <c r="K1414" s="42" t="n">
        <f aca="false">(F1414-INDEX('Cohort Summary'!$H$5:$H$14,MATCH($A1414,'Cohort Summary'!$A$5:$A$14,0)))/INDEX('Cohort Summary'!$I$5:$I$14,MATCH($A1414,'Cohort Summary'!$A$5:$A$14,0))</f>
        <v>1.24489795918367</v>
      </c>
      <c r="L1414" s="42" t="n">
        <f aca="false">(G1414-INDEX('Cohort Summary'!$J$5:$J$14,MATCH($A1414,'Cohort Summary'!$A$5:$A$14,0)))/INDEX('Cohort Summary'!$K$5:$K$14,MATCH($A1414,'Cohort Summary'!$A$5:$A$14,0))</f>
        <v>1.53448275862069</v>
      </c>
      <c r="M1414" s="42" t="n">
        <f aca="false">MAX(I1414:K1414)</f>
        <v>1.24489795918367</v>
      </c>
      <c r="N1414" s="27" t="s">
        <v>197</v>
      </c>
      <c r="O1414" s="27"/>
      <c r="P1414" s="27" t="str">
        <f aca="false">A1414&amp;"|"&amp;N1414</f>
        <v>NURSE-08|normal</v>
      </c>
    </row>
    <row r="1415" customFormat="false" ht="15" hidden="false" customHeight="true" outlineLevel="0" collapsed="false">
      <c r="A1415" s="27" t="s">
        <v>98</v>
      </c>
      <c r="B1415" s="41" t="n">
        <v>46303.2961805556</v>
      </c>
      <c r="C1415" s="27" t="s">
        <v>195</v>
      </c>
      <c r="D1415" s="27" t="n">
        <v>41.7</v>
      </c>
      <c r="E1415" s="27" t="n">
        <v>18.7</v>
      </c>
      <c r="F1415" s="27" t="n">
        <v>35.1</v>
      </c>
      <c r="G1415" s="27" t="n">
        <v>33.6</v>
      </c>
      <c r="H1415" s="27" t="s">
        <v>198</v>
      </c>
      <c r="I1415" s="42" t="n">
        <f aca="false">(D1415-INDEX('Cohort Summary'!$D$5:$D$14,MATCH($A1415,'Cohort Summary'!$A$5:$A$14,0)))/INDEX('Cohort Summary'!$E$5:$E$14,MATCH($A1415,'Cohort Summary'!$A$5:$A$14,0))</f>
        <v>1.31428571428571</v>
      </c>
      <c r="J1415" s="42" t="n">
        <f aca="false">(E1415-INDEX('Cohort Summary'!$F$5:$F$14,MATCH($A1415,'Cohort Summary'!$A$5:$A$14,0)))/INDEX('Cohort Summary'!$G$5:$G$14,MATCH($A1415,'Cohort Summary'!$A$5:$A$14,0))</f>
        <v>0.583756345177664</v>
      </c>
      <c r="K1415" s="42" t="n">
        <f aca="false">(F1415-INDEX('Cohort Summary'!$H$5:$H$14,MATCH($A1415,'Cohort Summary'!$A$5:$A$14,0)))/INDEX('Cohort Summary'!$I$5:$I$14,MATCH($A1415,'Cohort Summary'!$A$5:$A$14,0))</f>
        <v>1.38095238095238</v>
      </c>
      <c r="L1415" s="42" t="n">
        <f aca="false">(G1415-INDEX('Cohort Summary'!$J$5:$J$14,MATCH($A1415,'Cohort Summary'!$A$5:$A$14,0)))/INDEX('Cohort Summary'!$K$5:$K$14,MATCH($A1415,'Cohort Summary'!$A$5:$A$14,0))</f>
        <v>1.36206896551724</v>
      </c>
      <c r="M1415" s="42" t="n">
        <f aca="false">MAX(I1415:K1415)</f>
        <v>1.38095238095238</v>
      </c>
      <c r="N1415" s="27" t="s">
        <v>197</v>
      </c>
      <c r="O1415" s="27"/>
      <c r="P1415" s="27" t="str">
        <f aca="false">A1415&amp;"|"&amp;N1415</f>
        <v>NURSE-08|normal</v>
      </c>
    </row>
    <row r="1416" customFormat="false" ht="15" hidden="false" customHeight="true" outlineLevel="0" collapsed="false">
      <c r="A1416" s="27" t="s">
        <v>98</v>
      </c>
      <c r="B1416" s="41" t="n">
        <v>46303.2965277778</v>
      </c>
      <c r="C1416" s="27" t="s">
        <v>195</v>
      </c>
      <c r="D1416" s="27" t="n">
        <v>41.4</v>
      </c>
      <c r="E1416" s="27" t="n">
        <v>15.7</v>
      </c>
      <c r="F1416" s="27" t="n">
        <v>28.5</v>
      </c>
      <c r="G1416" s="27" t="n">
        <v>33.2</v>
      </c>
      <c r="H1416" s="27" t="s">
        <v>199</v>
      </c>
      <c r="I1416" s="42" t="n">
        <f aca="false">(D1416-INDEX('Cohort Summary'!$D$5:$D$14,MATCH($A1416,'Cohort Summary'!$A$5:$A$14,0)))/INDEX('Cohort Summary'!$E$5:$E$14,MATCH($A1416,'Cohort Summary'!$A$5:$A$14,0))</f>
        <v>1.20714285714286</v>
      </c>
      <c r="J1416" s="42" t="n">
        <f aca="false">(E1416-INDEX('Cohort Summary'!$F$5:$F$14,MATCH($A1416,'Cohort Summary'!$A$5:$A$14,0)))/INDEX('Cohort Summary'!$G$5:$G$14,MATCH($A1416,'Cohort Summary'!$A$5:$A$14,0))</f>
        <v>-0.939086294416244</v>
      </c>
      <c r="K1416" s="42" t="n">
        <f aca="false">(F1416-INDEX('Cohort Summary'!$H$5:$H$14,MATCH($A1416,'Cohort Summary'!$A$5:$A$14,0)))/INDEX('Cohort Summary'!$I$5:$I$14,MATCH($A1416,'Cohort Summary'!$A$5:$A$14,0))</f>
        <v>-0.863945578231292</v>
      </c>
      <c r="L1416" s="42" t="n">
        <f aca="false">(G1416-INDEX('Cohort Summary'!$J$5:$J$14,MATCH($A1416,'Cohort Summary'!$A$5:$A$14,0)))/INDEX('Cohort Summary'!$K$5:$K$14,MATCH($A1416,'Cohort Summary'!$A$5:$A$14,0))</f>
        <v>0.672413793103449</v>
      </c>
      <c r="M1416" s="42" t="n">
        <f aca="false">MAX(I1416:K1416)</f>
        <v>1.20714285714286</v>
      </c>
      <c r="N1416" s="27" t="s">
        <v>197</v>
      </c>
      <c r="O1416" s="27"/>
      <c r="P1416" s="27" t="str">
        <f aca="false">A1416&amp;"|"&amp;N1416</f>
        <v>NURSE-08|normal</v>
      </c>
    </row>
    <row r="1417" customFormat="false" ht="15" hidden="false" customHeight="true" outlineLevel="0" collapsed="false">
      <c r="A1417" s="27" t="s">
        <v>98</v>
      </c>
      <c r="B1417" s="41" t="n">
        <v>46303.296875</v>
      </c>
      <c r="C1417" s="27" t="s">
        <v>195</v>
      </c>
      <c r="D1417" s="27" t="n">
        <v>37.4</v>
      </c>
      <c r="E1417" s="27" t="n">
        <v>14.8</v>
      </c>
      <c r="F1417" s="27" t="n">
        <v>27.9</v>
      </c>
      <c r="G1417" s="27" t="n">
        <v>33.4</v>
      </c>
      <c r="H1417" s="27" t="s">
        <v>199</v>
      </c>
      <c r="I1417" s="42" t="n">
        <f aca="false">(D1417-INDEX('Cohort Summary'!$D$5:$D$14,MATCH($A1417,'Cohort Summary'!$A$5:$A$14,0)))/INDEX('Cohort Summary'!$E$5:$E$14,MATCH($A1417,'Cohort Summary'!$A$5:$A$14,0))</f>
        <v>-0.221428571428573</v>
      </c>
      <c r="J1417" s="42" t="n">
        <f aca="false">(E1417-INDEX('Cohort Summary'!$F$5:$F$14,MATCH($A1417,'Cohort Summary'!$A$5:$A$14,0)))/INDEX('Cohort Summary'!$G$5:$G$14,MATCH($A1417,'Cohort Summary'!$A$5:$A$14,0))</f>
        <v>-1.39593908629442</v>
      </c>
      <c r="K1417" s="42" t="n">
        <f aca="false">(F1417-INDEX('Cohort Summary'!$H$5:$H$14,MATCH($A1417,'Cohort Summary'!$A$5:$A$14,0)))/INDEX('Cohort Summary'!$I$5:$I$14,MATCH($A1417,'Cohort Summary'!$A$5:$A$14,0))</f>
        <v>-1.06802721088435</v>
      </c>
      <c r="L1417" s="42" t="n">
        <f aca="false">(G1417-INDEX('Cohort Summary'!$J$5:$J$14,MATCH($A1417,'Cohort Summary'!$A$5:$A$14,0)))/INDEX('Cohort Summary'!$K$5:$K$14,MATCH($A1417,'Cohort Summary'!$A$5:$A$14,0))</f>
        <v>1.01724137931034</v>
      </c>
      <c r="M1417" s="42" t="n">
        <f aca="false">MAX(I1417:K1417)</f>
        <v>-0.221428571428573</v>
      </c>
      <c r="N1417" s="27" t="s">
        <v>197</v>
      </c>
      <c r="O1417" s="27"/>
      <c r="P1417" s="27" t="str">
        <f aca="false">A1417&amp;"|"&amp;N1417</f>
        <v>NURSE-08|normal</v>
      </c>
    </row>
    <row r="1418" customFormat="false" ht="15" hidden="false" customHeight="true" outlineLevel="0" collapsed="false">
      <c r="A1418" s="27" t="s">
        <v>98</v>
      </c>
      <c r="B1418" s="41" t="n">
        <v>46303.2972222222</v>
      </c>
      <c r="C1418" s="27" t="s">
        <v>195</v>
      </c>
      <c r="D1418" s="27" t="n">
        <v>34.1</v>
      </c>
      <c r="E1418" s="27" t="n">
        <v>18.2</v>
      </c>
      <c r="F1418" s="27" t="n">
        <v>35.9</v>
      </c>
      <c r="G1418" s="27" t="n">
        <v>33.2</v>
      </c>
      <c r="H1418" s="27" t="s">
        <v>199</v>
      </c>
      <c r="I1418" s="42" t="n">
        <f aca="false">(D1418-INDEX('Cohort Summary'!$D$5:$D$14,MATCH($A1418,'Cohort Summary'!$A$5:$A$14,0)))/INDEX('Cohort Summary'!$E$5:$E$14,MATCH($A1418,'Cohort Summary'!$A$5:$A$14,0))</f>
        <v>-1.4</v>
      </c>
      <c r="J1418" s="42" t="n">
        <f aca="false">(E1418-INDEX('Cohort Summary'!$F$5:$F$14,MATCH($A1418,'Cohort Summary'!$A$5:$A$14,0)))/INDEX('Cohort Summary'!$G$5:$G$14,MATCH($A1418,'Cohort Summary'!$A$5:$A$14,0))</f>
        <v>0.329949238578679</v>
      </c>
      <c r="K1418" s="42" t="n">
        <f aca="false">(F1418-INDEX('Cohort Summary'!$H$5:$H$14,MATCH($A1418,'Cohort Summary'!$A$5:$A$14,0)))/INDEX('Cohort Summary'!$I$5:$I$14,MATCH($A1418,'Cohort Summary'!$A$5:$A$14,0))</f>
        <v>1.6530612244898</v>
      </c>
      <c r="L1418" s="42" t="n">
        <f aca="false">(G1418-INDEX('Cohort Summary'!$J$5:$J$14,MATCH($A1418,'Cohort Summary'!$A$5:$A$14,0)))/INDEX('Cohort Summary'!$K$5:$K$14,MATCH($A1418,'Cohort Summary'!$A$5:$A$14,0))</f>
        <v>0.672413793103449</v>
      </c>
      <c r="M1418" s="42" t="n">
        <f aca="false">MAX(I1418:K1418)</f>
        <v>1.6530612244898</v>
      </c>
      <c r="N1418" s="27" t="s">
        <v>197</v>
      </c>
      <c r="O1418" s="27"/>
      <c r="P1418" s="27" t="str">
        <f aca="false">A1418&amp;"|"&amp;N1418</f>
        <v>NURSE-08|normal</v>
      </c>
    </row>
    <row r="1419" customFormat="false" ht="15" hidden="false" customHeight="true" outlineLevel="0" collapsed="false">
      <c r="A1419" s="27" t="s">
        <v>98</v>
      </c>
      <c r="B1419" s="41" t="n">
        <v>46303.2975694445</v>
      </c>
      <c r="C1419" s="27" t="s">
        <v>195</v>
      </c>
      <c r="D1419" s="27" t="n">
        <v>42.1</v>
      </c>
      <c r="E1419" s="27" t="n">
        <v>20.8</v>
      </c>
      <c r="F1419" s="27" t="n">
        <v>30.2</v>
      </c>
      <c r="G1419" s="27" t="n">
        <v>32.2</v>
      </c>
      <c r="H1419" s="27" t="s">
        <v>196</v>
      </c>
      <c r="I1419" s="42" t="n">
        <f aca="false">(D1419-INDEX('Cohort Summary'!$D$5:$D$14,MATCH($A1419,'Cohort Summary'!$A$5:$A$14,0)))/INDEX('Cohort Summary'!$E$5:$E$14,MATCH($A1419,'Cohort Summary'!$A$5:$A$14,0))</f>
        <v>1.45714285714286</v>
      </c>
      <c r="J1419" s="42" t="n">
        <f aca="false">(E1419-INDEX('Cohort Summary'!$F$5:$F$14,MATCH($A1419,'Cohort Summary'!$A$5:$A$14,0)))/INDEX('Cohort Summary'!$G$5:$G$14,MATCH($A1419,'Cohort Summary'!$A$5:$A$14,0))</f>
        <v>1.6497461928934</v>
      </c>
      <c r="K1419" s="42" t="n">
        <f aca="false">(F1419-INDEX('Cohort Summary'!$H$5:$H$14,MATCH($A1419,'Cohort Summary'!$A$5:$A$14,0)))/INDEX('Cohort Summary'!$I$5:$I$14,MATCH($A1419,'Cohort Summary'!$A$5:$A$14,0))</f>
        <v>-0.285714285714286</v>
      </c>
      <c r="L1419" s="42" t="n">
        <f aca="false">(G1419-INDEX('Cohort Summary'!$J$5:$J$14,MATCH($A1419,'Cohort Summary'!$A$5:$A$14,0)))/INDEX('Cohort Summary'!$K$5:$K$14,MATCH($A1419,'Cohort Summary'!$A$5:$A$14,0))</f>
        <v>-1.05172413793103</v>
      </c>
      <c r="M1419" s="42" t="n">
        <f aca="false">MAX(I1419:K1419)</f>
        <v>1.6497461928934</v>
      </c>
      <c r="N1419" s="27" t="s">
        <v>197</v>
      </c>
      <c r="O1419" s="27"/>
      <c r="P1419" s="27" t="str">
        <f aca="false">A1419&amp;"|"&amp;N1419</f>
        <v>NURSE-08|normal</v>
      </c>
    </row>
    <row r="1420" customFormat="false" ht="15" hidden="false" customHeight="true" outlineLevel="0" collapsed="false">
      <c r="A1420" s="27" t="s">
        <v>98</v>
      </c>
      <c r="B1420" s="41" t="n">
        <v>46303.2979166667</v>
      </c>
      <c r="C1420" s="27" t="s">
        <v>195</v>
      </c>
      <c r="D1420" s="27" t="n">
        <v>41.1</v>
      </c>
      <c r="E1420" s="27" t="n">
        <v>18.7</v>
      </c>
      <c r="F1420" s="27" t="n">
        <v>30.7</v>
      </c>
      <c r="G1420" s="27" t="n">
        <v>33.6</v>
      </c>
      <c r="H1420" s="27" t="s">
        <v>196</v>
      </c>
      <c r="I1420" s="42" t="n">
        <f aca="false">(D1420-INDEX('Cohort Summary'!$D$5:$D$14,MATCH($A1420,'Cohort Summary'!$A$5:$A$14,0)))/INDEX('Cohort Summary'!$E$5:$E$14,MATCH($A1420,'Cohort Summary'!$A$5:$A$14,0))</f>
        <v>1.1</v>
      </c>
      <c r="J1420" s="42" t="n">
        <f aca="false">(E1420-INDEX('Cohort Summary'!$F$5:$F$14,MATCH($A1420,'Cohort Summary'!$A$5:$A$14,0)))/INDEX('Cohort Summary'!$G$5:$G$14,MATCH($A1420,'Cohort Summary'!$A$5:$A$14,0))</f>
        <v>0.583756345177664</v>
      </c>
      <c r="K1420" s="42" t="n">
        <f aca="false">(F1420-INDEX('Cohort Summary'!$H$5:$H$14,MATCH($A1420,'Cohort Summary'!$A$5:$A$14,0)))/INDEX('Cohort Summary'!$I$5:$I$14,MATCH($A1420,'Cohort Summary'!$A$5:$A$14,0))</f>
        <v>-0.115646258503401</v>
      </c>
      <c r="L1420" s="42" t="n">
        <f aca="false">(G1420-INDEX('Cohort Summary'!$J$5:$J$14,MATCH($A1420,'Cohort Summary'!$A$5:$A$14,0)))/INDEX('Cohort Summary'!$K$5:$K$14,MATCH($A1420,'Cohort Summary'!$A$5:$A$14,0))</f>
        <v>1.36206896551724</v>
      </c>
      <c r="M1420" s="42" t="n">
        <f aca="false">MAX(I1420:K1420)</f>
        <v>1.1</v>
      </c>
      <c r="N1420" s="27" t="s">
        <v>197</v>
      </c>
      <c r="O1420" s="27"/>
      <c r="P1420" s="27" t="str">
        <f aca="false">A1420&amp;"|"&amp;N1420</f>
        <v>NURSE-08|normal</v>
      </c>
    </row>
    <row r="1421" customFormat="false" ht="15" hidden="false" customHeight="true" outlineLevel="0" collapsed="false">
      <c r="A1421" s="27" t="s">
        <v>98</v>
      </c>
      <c r="B1421" s="41" t="n">
        <v>46303.2982638889</v>
      </c>
      <c r="C1421" s="27" t="s">
        <v>195</v>
      </c>
      <c r="D1421" s="27" t="n">
        <v>34.3</v>
      </c>
      <c r="E1421" s="27" t="n">
        <v>18.9</v>
      </c>
      <c r="F1421" s="27" t="n">
        <v>26.1</v>
      </c>
      <c r="G1421" s="27" t="n">
        <v>32.6</v>
      </c>
      <c r="H1421" s="27" t="s">
        <v>196</v>
      </c>
      <c r="I1421" s="42" t="n">
        <f aca="false">(D1421-INDEX('Cohort Summary'!$D$5:$D$14,MATCH($A1421,'Cohort Summary'!$A$5:$A$14,0)))/INDEX('Cohort Summary'!$E$5:$E$14,MATCH($A1421,'Cohort Summary'!$A$5:$A$14,0))</f>
        <v>-1.32857142857143</v>
      </c>
      <c r="J1421" s="42" t="n">
        <f aca="false">(E1421-INDEX('Cohort Summary'!$F$5:$F$14,MATCH($A1421,'Cohort Summary'!$A$5:$A$14,0)))/INDEX('Cohort Summary'!$G$5:$G$14,MATCH($A1421,'Cohort Summary'!$A$5:$A$14,0))</f>
        <v>0.685279187817258</v>
      </c>
      <c r="K1421" s="42" t="n">
        <f aca="false">(F1421-INDEX('Cohort Summary'!$H$5:$H$14,MATCH($A1421,'Cohort Summary'!$A$5:$A$14,0)))/INDEX('Cohort Summary'!$I$5:$I$14,MATCH($A1421,'Cohort Summary'!$A$5:$A$14,0))</f>
        <v>-1.68027210884354</v>
      </c>
      <c r="L1421" s="42" t="n">
        <f aca="false">(G1421-INDEX('Cohort Summary'!$J$5:$J$14,MATCH($A1421,'Cohort Summary'!$A$5:$A$14,0)))/INDEX('Cohort Summary'!$K$5:$K$14,MATCH($A1421,'Cohort Summary'!$A$5:$A$14,0))</f>
        <v>-0.362068965517243</v>
      </c>
      <c r="M1421" s="42" t="n">
        <f aca="false">MAX(I1421:K1421)</f>
        <v>0.685279187817258</v>
      </c>
      <c r="N1421" s="27" t="s">
        <v>197</v>
      </c>
      <c r="O1421" s="27"/>
      <c r="P1421" s="27" t="str">
        <f aca="false">A1421&amp;"|"&amp;N1421</f>
        <v>NURSE-08|normal</v>
      </c>
    </row>
    <row r="1422" customFormat="false" ht="15" hidden="false" customHeight="true" outlineLevel="0" collapsed="false">
      <c r="A1422" s="27" t="s">
        <v>98</v>
      </c>
      <c r="B1422" s="41" t="n">
        <v>46303.2986111111</v>
      </c>
      <c r="C1422" s="27" t="s">
        <v>195</v>
      </c>
      <c r="D1422" s="27" t="n">
        <v>42.3</v>
      </c>
      <c r="E1422" s="27" t="n">
        <v>19.1</v>
      </c>
      <c r="F1422" s="27" t="n">
        <v>27.2</v>
      </c>
      <c r="G1422" s="27" t="n">
        <v>32.3</v>
      </c>
      <c r="H1422" s="27" t="s">
        <v>199</v>
      </c>
      <c r="I1422" s="42" t="n">
        <f aca="false">(D1422-INDEX('Cohort Summary'!$D$5:$D$14,MATCH($A1422,'Cohort Summary'!$A$5:$A$14,0)))/INDEX('Cohort Summary'!$E$5:$E$14,MATCH($A1422,'Cohort Summary'!$A$5:$A$14,0))</f>
        <v>1.52857142857143</v>
      </c>
      <c r="J1422" s="42" t="n">
        <f aca="false">(E1422-INDEX('Cohort Summary'!$F$5:$F$14,MATCH($A1422,'Cohort Summary'!$A$5:$A$14,0)))/INDEX('Cohort Summary'!$G$5:$G$14,MATCH($A1422,'Cohort Summary'!$A$5:$A$14,0))</f>
        <v>0.786802030456853</v>
      </c>
      <c r="K1422" s="42" t="n">
        <f aca="false">(F1422-INDEX('Cohort Summary'!$H$5:$H$14,MATCH($A1422,'Cohort Summary'!$A$5:$A$14,0)))/INDEX('Cohort Summary'!$I$5:$I$14,MATCH($A1422,'Cohort Summary'!$A$5:$A$14,0))</f>
        <v>-1.30612244897959</v>
      </c>
      <c r="L1422" s="42" t="n">
        <f aca="false">(G1422-INDEX('Cohort Summary'!$J$5:$J$14,MATCH($A1422,'Cohort Summary'!$A$5:$A$14,0)))/INDEX('Cohort Summary'!$K$5:$K$14,MATCH($A1422,'Cohort Summary'!$A$5:$A$14,0))</f>
        <v>-0.879310344827595</v>
      </c>
      <c r="M1422" s="42" t="n">
        <f aca="false">MAX(I1422:K1422)</f>
        <v>1.52857142857143</v>
      </c>
      <c r="N1422" s="27" t="s">
        <v>197</v>
      </c>
      <c r="O1422" s="27"/>
      <c r="P1422" s="27" t="str">
        <f aca="false">A1422&amp;"|"&amp;N1422</f>
        <v>NURSE-08|normal</v>
      </c>
    </row>
    <row r="1423" customFormat="false" ht="15" hidden="false" customHeight="true" outlineLevel="0" collapsed="false">
      <c r="A1423" s="27" t="s">
        <v>98</v>
      </c>
      <c r="B1423" s="41" t="n">
        <v>46303.2989583333</v>
      </c>
      <c r="C1423" s="27" t="s">
        <v>195</v>
      </c>
      <c r="D1423" s="27" t="n">
        <v>35.2</v>
      </c>
      <c r="E1423" s="27" t="n">
        <v>20.3</v>
      </c>
      <c r="F1423" s="27" t="n">
        <v>26.9</v>
      </c>
      <c r="G1423" s="27" t="n">
        <v>33</v>
      </c>
      <c r="H1423" s="27" t="s">
        <v>198</v>
      </c>
      <c r="I1423" s="42" t="n">
        <f aca="false">(D1423-INDEX('Cohort Summary'!$D$5:$D$14,MATCH($A1423,'Cohort Summary'!$A$5:$A$14,0)))/INDEX('Cohort Summary'!$E$5:$E$14,MATCH($A1423,'Cohort Summary'!$A$5:$A$14,0))</f>
        <v>-1.00714285714286</v>
      </c>
      <c r="J1423" s="42" t="n">
        <f aca="false">(E1423-INDEX('Cohort Summary'!$F$5:$F$14,MATCH($A1423,'Cohort Summary'!$A$5:$A$14,0)))/INDEX('Cohort Summary'!$G$5:$G$14,MATCH($A1423,'Cohort Summary'!$A$5:$A$14,0))</f>
        <v>1.39593908629442</v>
      </c>
      <c r="K1423" s="42" t="n">
        <f aca="false">(F1423-INDEX('Cohort Summary'!$H$5:$H$14,MATCH($A1423,'Cohort Summary'!$A$5:$A$14,0)))/INDEX('Cohort Summary'!$I$5:$I$14,MATCH($A1423,'Cohort Summary'!$A$5:$A$14,0))</f>
        <v>-1.40816326530612</v>
      </c>
      <c r="L1423" s="42" t="n">
        <f aca="false">(G1423-INDEX('Cohort Summary'!$J$5:$J$14,MATCH($A1423,'Cohort Summary'!$A$5:$A$14,0)))/INDEX('Cohort Summary'!$K$5:$K$14,MATCH($A1423,'Cohort Summary'!$A$5:$A$14,0))</f>
        <v>0.327586206896548</v>
      </c>
      <c r="M1423" s="42" t="n">
        <f aca="false">MAX(I1423:K1423)</f>
        <v>1.39593908629442</v>
      </c>
      <c r="N1423" s="27" t="s">
        <v>197</v>
      </c>
      <c r="O1423" s="27"/>
      <c r="P1423" s="27" t="str">
        <f aca="false">A1423&amp;"|"&amp;N1423</f>
        <v>NURSE-08|normal</v>
      </c>
    </row>
    <row r="1424" customFormat="false" ht="15" hidden="false" customHeight="true" outlineLevel="0" collapsed="false">
      <c r="A1424" s="27" t="s">
        <v>98</v>
      </c>
      <c r="B1424" s="41" t="n">
        <v>46303.2993055556</v>
      </c>
      <c r="C1424" s="27" t="s">
        <v>195</v>
      </c>
      <c r="D1424" s="27" t="n">
        <v>40.3</v>
      </c>
      <c r="E1424" s="27" t="n">
        <v>17.6</v>
      </c>
      <c r="F1424" s="27" t="n">
        <v>35.7</v>
      </c>
      <c r="G1424" s="27" t="n">
        <v>33.3</v>
      </c>
      <c r="H1424" s="27" t="s">
        <v>198</v>
      </c>
      <c r="I1424" s="42" t="n">
        <f aca="false">(D1424-INDEX('Cohort Summary'!$D$5:$D$14,MATCH($A1424,'Cohort Summary'!$A$5:$A$14,0)))/INDEX('Cohort Summary'!$E$5:$E$14,MATCH($A1424,'Cohort Summary'!$A$5:$A$14,0))</f>
        <v>0.814285714285712</v>
      </c>
      <c r="J1424" s="42" t="n">
        <f aca="false">(E1424-INDEX('Cohort Summary'!$F$5:$F$14,MATCH($A1424,'Cohort Summary'!$A$5:$A$14,0)))/INDEX('Cohort Summary'!$G$5:$G$14,MATCH($A1424,'Cohort Summary'!$A$5:$A$14,0))</f>
        <v>0.0253807106598988</v>
      </c>
      <c r="K1424" s="42" t="n">
        <f aca="false">(F1424-INDEX('Cohort Summary'!$H$5:$H$14,MATCH($A1424,'Cohort Summary'!$A$5:$A$14,0)))/INDEX('Cohort Summary'!$I$5:$I$14,MATCH($A1424,'Cohort Summary'!$A$5:$A$14,0))</f>
        <v>1.58503401360544</v>
      </c>
      <c r="L1424" s="42" t="n">
        <f aca="false">(G1424-INDEX('Cohort Summary'!$J$5:$J$14,MATCH($A1424,'Cohort Summary'!$A$5:$A$14,0)))/INDEX('Cohort Summary'!$K$5:$K$14,MATCH($A1424,'Cohort Summary'!$A$5:$A$14,0))</f>
        <v>0.844827586206888</v>
      </c>
      <c r="M1424" s="42" t="n">
        <f aca="false">MAX(I1424:K1424)</f>
        <v>1.58503401360544</v>
      </c>
      <c r="N1424" s="27" t="s">
        <v>197</v>
      </c>
      <c r="O1424" s="27"/>
      <c r="P1424" s="27" t="str">
        <f aca="false">A1424&amp;"|"&amp;N1424</f>
        <v>NURSE-08|normal</v>
      </c>
    </row>
    <row r="1425" customFormat="false" ht="15" hidden="false" customHeight="true" outlineLevel="0" collapsed="false">
      <c r="A1425" s="27" t="s">
        <v>98</v>
      </c>
      <c r="B1425" s="41" t="n">
        <v>46303.2996527778</v>
      </c>
      <c r="C1425" s="27" t="s">
        <v>195</v>
      </c>
      <c r="D1425" s="27" t="n">
        <v>36.3</v>
      </c>
      <c r="E1425" s="27" t="n">
        <v>18.2</v>
      </c>
      <c r="F1425" s="27" t="n">
        <v>27.1</v>
      </c>
      <c r="G1425" s="27" t="n">
        <v>32.6</v>
      </c>
      <c r="H1425" s="27" t="s">
        <v>196</v>
      </c>
      <c r="I1425" s="42" t="n">
        <f aca="false">(D1425-INDEX('Cohort Summary'!$D$5:$D$14,MATCH($A1425,'Cohort Summary'!$A$5:$A$14,0)))/INDEX('Cohort Summary'!$E$5:$E$14,MATCH($A1425,'Cohort Summary'!$A$5:$A$14,0))</f>
        <v>-0.614285714285716</v>
      </c>
      <c r="J1425" s="42" t="n">
        <f aca="false">(E1425-INDEX('Cohort Summary'!$F$5:$F$14,MATCH($A1425,'Cohort Summary'!$A$5:$A$14,0)))/INDEX('Cohort Summary'!$G$5:$G$14,MATCH($A1425,'Cohort Summary'!$A$5:$A$14,0))</f>
        <v>0.329949238578679</v>
      </c>
      <c r="K1425" s="42" t="n">
        <f aca="false">(F1425-INDEX('Cohort Summary'!$H$5:$H$14,MATCH($A1425,'Cohort Summary'!$A$5:$A$14,0)))/INDEX('Cohort Summary'!$I$5:$I$14,MATCH($A1425,'Cohort Summary'!$A$5:$A$14,0))</f>
        <v>-1.34013605442177</v>
      </c>
      <c r="L1425" s="42" t="n">
        <f aca="false">(G1425-INDEX('Cohort Summary'!$J$5:$J$14,MATCH($A1425,'Cohort Summary'!$A$5:$A$14,0)))/INDEX('Cohort Summary'!$K$5:$K$14,MATCH($A1425,'Cohort Summary'!$A$5:$A$14,0))</f>
        <v>-0.362068965517243</v>
      </c>
      <c r="M1425" s="42" t="n">
        <f aca="false">MAX(I1425:K1425)</f>
        <v>0.329949238578679</v>
      </c>
      <c r="N1425" s="27" t="s">
        <v>197</v>
      </c>
      <c r="O1425" s="27"/>
      <c r="P1425" s="27" t="str">
        <f aca="false">A1425&amp;"|"&amp;N1425</f>
        <v>NURSE-08|normal</v>
      </c>
    </row>
    <row r="1426" customFormat="false" ht="15" hidden="false" customHeight="true" outlineLevel="0" collapsed="false">
      <c r="A1426" s="27" t="s">
        <v>98</v>
      </c>
      <c r="B1426" s="41" t="n">
        <v>46303.3</v>
      </c>
      <c r="C1426" s="27" t="s">
        <v>195</v>
      </c>
      <c r="D1426" s="27" t="n">
        <v>34.8</v>
      </c>
      <c r="E1426" s="27" t="n">
        <v>17.5</v>
      </c>
      <c r="F1426" s="27" t="n">
        <v>34.4</v>
      </c>
      <c r="G1426" s="27" t="n">
        <v>32.7</v>
      </c>
      <c r="H1426" s="27" t="s">
        <v>199</v>
      </c>
      <c r="I1426" s="42" t="n">
        <f aca="false">(D1426-INDEX('Cohort Summary'!$D$5:$D$14,MATCH($A1426,'Cohort Summary'!$A$5:$A$14,0)))/INDEX('Cohort Summary'!$E$5:$E$14,MATCH($A1426,'Cohort Summary'!$A$5:$A$14,0))</f>
        <v>-1.15</v>
      </c>
      <c r="J1426" s="42" t="n">
        <f aca="false">(E1426-INDEX('Cohort Summary'!$F$5:$F$14,MATCH($A1426,'Cohort Summary'!$A$5:$A$14,0)))/INDEX('Cohort Summary'!$G$5:$G$14,MATCH($A1426,'Cohort Summary'!$A$5:$A$14,0))</f>
        <v>-0.0253807106598988</v>
      </c>
      <c r="K1426" s="42" t="n">
        <f aca="false">(F1426-INDEX('Cohort Summary'!$H$5:$H$14,MATCH($A1426,'Cohort Summary'!$A$5:$A$14,0)))/INDEX('Cohort Summary'!$I$5:$I$14,MATCH($A1426,'Cohort Summary'!$A$5:$A$14,0))</f>
        <v>1.14285714285714</v>
      </c>
      <c r="L1426" s="42" t="n">
        <f aca="false">(G1426-INDEX('Cohort Summary'!$J$5:$J$14,MATCH($A1426,'Cohort Summary'!$A$5:$A$14,0)))/INDEX('Cohort Summary'!$K$5:$K$14,MATCH($A1426,'Cohort Summary'!$A$5:$A$14,0))</f>
        <v>-0.189655172413792</v>
      </c>
      <c r="M1426" s="42" t="n">
        <f aca="false">MAX(I1426:K1426)</f>
        <v>1.14285714285714</v>
      </c>
      <c r="N1426" s="27" t="s">
        <v>197</v>
      </c>
      <c r="O1426" s="27"/>
      <c r="P1426" s="27" t="str">
        <f aca="false">A1426&amp;"|"&amp;N1426</f>
        <v>NURSE-08|normal</v>
      </c>
    </row>
    <row r="1427" customFormat="false" ht="15" hidden="false" customHeight="true" outlineLevel="0" collapsed="false">
      <c r="A1427" s="27" t="s">
        <v>98</v>
      </c>
      <c r="B1427" s="41" t="n">
        <v>46303.3003472222</v>
      </c>
      <c r="C1427" s="27" t="s">
        <v>195</v>
      </c>
      <c r="D1427" s="27" t="n">
        <v>38.6</v>
      </c>
      <c r="E1427" s="27" t="n">
        <v>15.2</v>
      </c>
      <c r="F1427" s="27" t="n">
        <v>29.1</v>
      </c>
      <c r="G1427" s="27" t="n">
        <v>33</v>
      </c>
      <c r="H1427" s="27" t="s">
        <v>196</v>
      </c>
      <c r="I1427" s="42" t="n">
        <f aca="false">(D1427-INDEX('Cohort Summary'!$D$5:$D$14,MATCH($A1427,'Cohort Summary'!$A$5:$A$14,0)))/INDEX('Cohort Summary'!$E$5:$E$14,MATCH($A1427,'Cohort Summary'!$A$5:$A$14,0))</f>
        <v>0.207142857142857</v>
      </c>
      <c r="J1427" s="42" t="n">
        <f aca="false">(E1427-INDEX('Cohort Summary'!$F$5:$F$14,MATCH($A1427,'Cohort Summary'!$A$5:$A$14,0)))/INDEX('Cohort Summary'!$G$5:$G$14,MATCH($A1427,'Cohort Summary'!$A$5:$A$14,0))</f>
        <v>-1.19289340101523</v>
      </c>
      <c r="K1427" s="42" t="n">
        <f aca="false">(F1427-INDEX('Cohort Summary'!$H$5:$H$14,MATCH($A1427,'Cohort Summary'!$A$5:$A$14,0)))/INDEX('Cohort Summary'!$I$5:$I$14,MATCH($A1427,'Cohort Summary'!$A$5:$A$14,0))</f>
        <v>-0.659863945578231</v>
      </c>
      <c r="L1427" s="42" t="n">
        <f aca="false">(G1427-INDEX('Cohort Summary'!$J$5:$J$14,MATCH($A1427,'Cohort Summary'!$A$5:$A$14,0)))/INDEX('Cohort Summary'!$K$5:$K$14,MATCH($A1427,'Cohort Summary'!$A$5:$A$14,0))</f>
        <v>0.327586206896548</v>
      </c>
      <c r="M1427" s="42" t="n">
        <f aca="false">MAX(I1427:K1427)</f>
        <v>0.207142857142857</v>
      </c>
      <c r="N1427" s="27" t="s">
        <v>197</v>
      </c>
      <c r="O1427" s="27"/>
      <c r="P1427" s="27" t="str">
        <f aca="false">A1427&amp;"|"&amp;N1427</f>
        <v>NURSE-08|normal</v>
      </c>
    </row>
    <row r="1428" customFormat="false" ht="15" hidden="false" customHeight="true" outlineLevel="0" collapsed="false">
      <c r="A1428" s="27" t="s">
        <v>98</v>
      </c>
      <c r="B1428" s="41" t="n">
        <v>46303.3006944444</v>
      </c>
      <c r="C1428" s="27" t="s">
        <v>195</v>
      </c>
      <c r="D1428" s="27" t="n">
        <v>35.7</v>
      </c>
      <c r="E1428" s="27" t="n">
        <v>20.4</v>
      </c>
      <c r="F1428" s="27" t="n">
        <v>32.8</v>
      </c>
      <c r="G1428" s="27" t="n">
        <v>32.7</v>
      </c>
      <c r="H1428" s="27" t="s">
        <v>196</v>
      </c>
      <c r="I1428" s="42" t="n">
        <f aca="false">(D1428-INDEX('Cohort Summary'!$D$5:$D$14,MATCH($A1428,'Cohort Summary'!$A$5:$A$14,0)))/INDEX('Cohort Summary'!$E$5:$E$14,MATCH($A1428,'Cohort Summary'!$A$5:$A$14,0))</f>
        <v>-0.828571428571429</v>
      </c>
      <c r="J1428" s="42" t="n">
        <f aca="false">(E1428-INDEX('Cohort Summary'!$F$5:$F$14,MATCH($A1428,'Cohort Summary'!$A$5:$A$14,0)))/INDEX('Cohort Summary'!$G$5:$G$14,MATCH($A1428,'Cohort Summary'!$A$5:$A$14,0))</f>
        <v>1.44670050761421</v>
      </c>
      <c r="K1428" s="42" t="n">
        <f aca="false">(F1428-INDEX('Cohort Summary'!$H$5:$H$14,MATCH($A1428,'Cohort Summary'!$A$5:$A$14,0)))/INDEX('Cohort Summary'!$I$5:$I$14,MATCH($A1428,'Cohort Summary'!$A$5:$A$14,0))</f>
        <v>0.598639455782312</v>
      </c>
      <c r="L1428" s="42" t="n">
        <f aca="false">(G1428-INDEX('Cohort Summary'!$J$5:$J$14,MATCH($A1428,'Cohort Summary'!$A$5:$A$14,0)))/INDEX('Cohort Summary'!$K$5:$K$14,MATCH($A1428,'Cohort Summary'!$A$5:$A$14,0))</f>
        <v>-0.189655172413792</v>
      </c>
      <c r="M1428" s="42" t="n">
        <f aca="false">MAX(I1428:K1428)</f>
        <v>1.44670050761421</v>
      </c>
      <c r="N1428" s="27" t="s">
        <v>197</v>
      </c>
      <c r="O1428" s="27"/>
      <c r="P1428" s="27" t="str">
        <f aca="false">A1428&amp;"|"&amp;N1428</f>
        <v>NURSE-08|normal</v>
      </c>
    </row>
    <row r="1429" customFormat="false" ht="15" hidden="false" customHeight="true" outlineLevel="0" collapsed="false">
      <c r="A1429" s="27" t="s">
        <v>98</v>
      </c>
      <c r="B1429" s="41" t="n">
        <v>46303.3010416667</v>
      </c>
      <c r="C1429" s="27" t="s">
        <v>195</v>
      </c>
      <c r="D1429" s="27" t="n">
        <v>34.6</v>
      </c>
      <c r="E1429" s="27" t="n">
        <v>15.8</v>
      </c>
      <c r="F1429" s="27" t="n">
        <v>30.4</v>
      </c>
      <c r="G1429" s="27" t="n">
        <v>33.6</v>
      </c>
      <c r="H1429" s="27" t="s">
        <v>198</v>
      </c>
      <c r="I1429" s="42" t="n">
        <f aca="false">(D1429-INDEX('Cohort Summary'!$D$5:$D$14,MATCH($A1429,'Cohort Summary'!$A$5:$A$14,0)))/INDEX('Cohort Summary'!$E$5:$E$14,MATCH($A1429,'Cohort Summary'!$A$5:$A$14,0))</f>
        <v>-1.22142857142857</v>
      </c>
      <c r="J1429" s="42" t="n">
        <f aca="false">(E1429-INDEX('Cohort Summary'!$F$5:$F$14,MATCH($A1429,'Cohort Summary'!$A$5:$A$14,0)))/INDEX('Cohort Summary'!$G$5:$G$14,MATCH($A1429,'Cohort Summary'!$A$5:$A$14,0))</f>
        <v>-0.888324873096447</v>
      </c>
      <c r="K1429" s="42" t="n">
        <f aca="false">(F1429-INDEX('Cohort Summary'!$H$5:$H$14,MATCH($A1429,'Cohort Summary'!$A$5:$A$14,0)))/INDEX('Cohort Summary'!$I$5:$I$14,MATCH($A1429,'Cohort Summary'!$A$5:$A$14,0))</f>
        <v>-0.217687074829932</v>
      </c>
      <c r="L1429" s="42" t="n">
        <f aca="false">(G1429-INDEX('Cohort Summary'!$J$5:$J$14,MATCH($A1429,'Cohort Summary'!$A$5:$A$14,0)))/INDEX('Cohort Summary'!$K$5:$K$14,MATCH($A1429,'Cohort Summary'!$A$5:$A$14,0))</f>
        <v>1.36206896551724</v>
      </c>
      <c r="M1429" s="42" t="n">
        <f aca="false">MAX(I1429:K1429)</f>
        <v>-0.217687074829932</v>
      </c>
      <c r="N1429" s="27" t="s">
        <v>197</v>
      </c>
      <c r="O1429" s="27"/>
      <c r="P1429" s="27" t="str">
        <f aca="false">A1429&amp;"|"&amp;N1429</f>
        <v>NURSE-08|normal</v>
      </c>
    </row>
    <row r="1430" customFormat="false" ht="15" hidden="false" customHeight="true" outlineLevel="0" collapsed="false">
      <c r="A1430" s="27" t="s">
        <v>98</v>
      </c>
      <c r="B1430" s="41" t="n">
        <v>46303.3013888889</v>
      </c>
      <c r="C1430" s="27" t="s">
        <v>195</v>
      </c>
      <c r="D1430" s="27" t="n">
        <v>38.9</v>
      </c>
      <c r="E1430" s="27" t="n">
        <v>17.1</v>
      </c>
      <c r="F1430" s="27" t="n">
        <v>34.8</v>
      </c>
      <c r="G1430" s="27" t="n">
        <v>33.3</v>
      </c>
      <c r="H1430" s="27" t="s">
        <v>198</v>
      </c>
      <c r="I1430" s="42" t="n">
        <f aca="false">(D1430-INDEX('Cohort Summary'!$D$5:$D$14,MATCH($A1430,'Cohort Summary'!$A$5:$A$14,0)))/INDEX('Cohort Summary'!$E$5:$E$14,MATCH($A1430,'Cohort Summary'!$A$5:$A$14,0))</f>
        <v>0.314285714285713</v>
      </c>
      <c r="J1430" s="42" t="n">
        <f aca="false">(E1430-INDEX('Cohort Summary'!$F$5:$F$14,MATCH($A1430,'Cohort Summary'!$A$5:$A$14,0)))/INDEX('Cohort Summary'!$G$5:$G$14,MATCH($A1430,'Cohort Summary'!$A$5:$A$14,0))</f>
        <v>-0.228426395939086</v>
      </c>
      <c r="K1430" s="42" t="n">
        <f aca="false">(F1430-INDEX('Cohort Summary'!$H$5:$H$14,MATCH($A1430,'Cohort Summary'!$A$5:$A$14,0)))/INDEX('Cohort Summary'!$I$5:$I$14,MATCH($A1430,'Cohort Summary'!$A$5:$A$14,0))</f>
        <v>1.27891156462585</v>
      </c>
      <c r="L1430" s="42" t="n">
        <f aca="false">(G1430-INDEX('Cohort Summary'!$J$5:$J$14,MATCH($A1430,'Cohort Summary'!$A$5:$A$14,0)))/INDEX('Cohort Summary'!$K$5:$K$14,MATCH($A1430,'Cohort Summary'!$A$5:$A$14,0))</f>
        <v>0.844827586206888</v>
      </c>
      <c r="M1430" s="42" t="n">
        <f aca="false">MAX(I1430:K1430)</f>
        <v>1.27891156462585</v>
      </c>
      <c r="N1430" s="27" t="s">
        <v>197</v>
      </c>
      <c r="O1430" s="27"/>
      <c r="P1430" s="27" t="str">
        <f aca="false">A1430&amp;"|"&amp;N1430</f>
        <v>NURSE-08|normal</v>
      </c>
    </row>
    <row r="1431" customFormat="false" ht="15" hidden="false" customHeight="true" outlineLevel="0" collapsed="false">
      <c r="A1431" s="27" t="s">
        <v>98</v>
      </c>
      <c r="B1431" s="41" t="n">
        <v>46303.3017361111</v>
      </c>
      <c r="C1431" s="27" t="s">
        <v>195</v>
      </c>
      <c r="D1431" s="27" t="n">
        <v>37</v>
      </c>
      <c r="E1431" s="27" t="n">
        <v>19.3</v>
      </c>
      <c r="F1431" s="27" t="n">
        <v>30</v>
      </c>
      <c r="G1431" s="27" t="n">
        <v>32.8</v>
      </c>
      <c r="H1431" s="27" t="s">
        <v>199</v>
      </c>
      <c r="I1431" s="42" t="n">
        <f aca="false">(D1431-INDEX('Cohort Summary'!$D$5:$D$14,MATCH($A1431,'Cohort Summary'!$A$5:$A$14,0)))/INDEX('Cohort Summary'!$E$5:$E$14,MATCH($A1431,'Cohort Summary'!$A$5:$A$14,0))</f>
        <v>-0.364285714285715</v>
      </c>
      <c r="J1431" s="42" t="n">
        <f aca="false">(E1431-INDEX('Cohort Summary'!$F$5:$F$14,MATCH($A1431,'Cohort Summary'!$A$5:$A$14,0)))/INDEX('Cohort Summary'!$G$5:$G$14,MATCH($A1431,'Cohort Summary'!$A$5:$A$14,0))</f>
        <v>0.888324873096447</v>
      </c>
      <c r="K1431" s="42" t="n">
        <f aca="false">(F1431-INDEX('Cohort Summary'!$H$5:$H$14,MATCH($A1431,'Cohort Summary'!$A$5:$A$14,0)))/INDEX('Cohort Summary'!$I$5:$I$14,MATCH($A1431,'Cohort Summary'!$A$5:$A$14,0))</f>
        <v>-0.353741496598639</v>
      </c>
      <c r="L1431" s="42" t="n">
        <f aca="false">(G1431-INDEX('Cohort Summary'!$J$5:$J$14,MATCH($A1431,'Cohort Summary'!$A$5:$A$14,0)))/INDEX('Cohort Summary'!$K$5:$K$14,MATCH($A1431,'Cohort Summary'!$A$5:$A$14,0))</f>
        <v>-0.0172413793103537</v>
      </c>
      <c r="M1431" s="42" t="n">
        <f aca="false">MAX(I1431:K1431)</f>
        <v>0.888324873096447</v>
      </c>
      <c r="N1431" s="27" t="s">
        <v>197</v>
      </c>
      <c r="O1431" s="27"/>
      <c r="P1431" s="27" t="str">
        <f aca="false">A1431&amp;"|"&amp;N1431</f>
        <v>NURSE-08|normal</v>
      </c>
    </row>
    <row r="1432" customFormat="false" ht="15" hidden="false" customHeight="true" outlineLevel="0" collapsed="false">
      <c r="A1432" s="27" t="s">
        <v>98</v>
      </c>
      <c r="B1432" s="41" t="n">
        <v>46303.3020833333</v>
      </c>
      <c r="C1432" s="27" t="s">
        <v>195</v>
      </c>
      <c r="D1432" s="27" t="n">
        <v>34.5</v>
      </c>
      <c r="E1432" s="27" t="n">
        <v>16.6</v>
      </c>
      <c r="F1432" s="27" t="n">
        <v>26.5</v>
      </c>
      <c r="G1432" s="27" t="n">
        <v>33.5</v>
      </c>
      <c r="H1432" s="27" t="s">
        <v>196</v>
      </c>
      <c r="I1432" s="42" t="n">
        <f aca="false">(D1432-INDEX('Cohort Summary'!$D$5:$D$14,MATCH($A1432,'Cohort Summary'!$A$5:$A$14,0)))/INDEX('Cohort Summary'!$E$5:$E$14,MATCH($A1432,'Cohort Summary'!$A$5:$A$14,0))</f>
        <v>-1.25714285714286</v>
      </c>
      <c r="J1432" s="42" t="n">
        <f aca="false">(E1432-INDEX('Cohort Summary'!$F$5:$F$14,MATCH($A1432,'Cohort Summary'!$A$5:$A$14,0)))/INDEX('Cohort Summary'!$G$5:$G$14,MATCH($A1432,'Cohort Summary'!$A$5:$A$14,0))</f>
        <v>-0.482233502538071</v>
      </c>
      <c r="K1432" s="42" t="n">
        <f aca="false">(F1432-INDEX('Cohort Summary'!$H$5:$H$14,MATCH($A1432,'Cohort Summary'!$A$5:$A$14,0)))/INDEX('Cohort Summary'!$I$5:$I$14,MATCH($A1432,'Cohort Summary'!$A$5:$A$14,0))</f>
        <v>-1.54421768707483</v>
      </c>
      <c r="L1432" s="42" t="n">
        <f aca="false">(G1432-INDEX('Cohort Summary'!$J$5:$J$14,MATCH($A1432,'Cohort Summary'!$A$5:$A$14,0)))/INDEX('Cohort Summary'!$K$5:$K$14,MATCH($A1432,'Cohort Summary'!$A$5:$A$14,0))</f>
        <v>1.18965517241379</v>
      </c>
      <c r="M1432" s="42" t="n">
        <f aca="false">MAX(I1432:K1432)</f>
        <v>-0.482233502538071</v>
      </c>
      <c r="N1432" s="27" t="s">
        <v>197</v>
      </c>
      <c r="O1432" s="27"/>
      <c r="P1432" s="27" t="str">
        <f aca="false">A1432&amp;"|"&amp;N1432</f>
        <v>NURSE-08|normal</v>
      </c>
    </row>
    <row r="1433" customFormat="false" ht="15" hidden="false" customHeight="true" outlineLevel="0" collapsed="false">
      <c r="A1433" s="27" t="s">
        <v>98</v>
      </c>
      <c r="B1433" s="41" t="n">
        <v>46303.3024305556</v>
      </c>
      <c r="C1433" s="27" t="s">
        <v>195</v>
      </c>
      <c r="D1433" s="27" t="n">
        <v>35.5</v>
      </c>
      <c r="E1433" s="27" t="n">
        <v>20.8</v>
      </c>
      <c r="F1433" s="27" t="n">
        <v>31.3</v>
      </c>
      <c r="G1433" s="27" t="n">
        <v>33.2</v>
      </c>
      <c r="H1433" s="27" t="s">
        <v>199</v>
      </c>
      <c r="I1433" s="42" t="n">
        <f aca="false">(D1433-INDEX('Cohort Summary'!$D$5:$D$14,MATCH($A1433,'Cohort Summary'!$A$5:$A$14,0)))/INDEX('Cohort Summary'!$E$5:$E$14,MATCH($A1433,'Cohort Summary'!$A$5:$A$14,0))</f>
        <v>-0.900000000000001</v>
      </c>
      <c r="J1433" s="42" t="n">
        <f aca="false">(E1433-INDEX('Cohort Summary'!$F$5:$F$14,MATCH($A1433,'Cohort Summary'!$A$5:$A$14,0)))/INDEX('Cohort Summary'!$G$5:$G$14,MATCH($A1433,'Cohort Summary'!$A$5:$A$14,0))</f>
        <v>1.6497461928934</v>
      </c>
      <c r="K1433" s="42" t="n">
        <f aca="false">(F1433-INDEX('Cohort Summary'!$H$5:$H$14,MATCH($A1433,'Cohort Summary'!$A$5:$A$14,0)))/INDEX('Cohort Summary'!$I$5:$I$14,MATCH($A1433,'Cohort Summary'!$A$5:$A$14,0))</f>
        <v>0.0884353741496604</v>
      </c>
      <c r="L1433" s="42" t="n">
        <f aca="false">(G1433-INDEX('Cohort Summary'!$J$5:$J$14,MATCH($A1433,'Cohort Summary'!$A$5:$A$14,0)))/INDEX('Cohort Summary'!$K$5:$K$14,MATCH($A1433,'Cohort Summary'!$A$5:$A$14,0))</f>
        <v>0.672413793103449</v>
      </c>
      <c r="M1433" s="42" t="n">
        <f aca="false">MAX(I1433:K1433)</f>
        <v>1.6497461928934</v>
      </c>
      <c r="N1433" s="27" t="s">
        <v>197</v>
      </c>
      <c r="O1433" s="27"/>
      <c r="P1433" s="27" t="str">
        <f aca="false">A1433&amp;"|"&amp;N1433</f>
        <v>NURSE-08|normal</v>
      </c>
    </row>
    <row r="1434" customFormat="false" ht="15" hidden="false" customHeight="true" outlineLevel="0" collapsed="false">
      <c r="A1434" s="27" t="s">
        <v>98</v>
      </c>
      <c r="B1434" s="41" t="n">
        <v>46303.3027777778</v>
      </c>
      <c r="C1434" s="27" t="s">
        <v>195</v>
      </c>
      <c r="D1434" s="27" t="n">
        <v>42.8</v>
      </c>
      <c r="E1434" s="27" t="n">
        <v>19.8</v>
      </c>
      <c r="F1434" s="27" t="n">
        <v>27.3</v>
      </c>
      <c r="G1434" s="27" t="n">
        <v>33.6</v>
      </c>
      <c r="H1434" s="27" t="s">
        <v>196</v>
      </c>
      <c r="I1434" s="42" t="n">
        <f aca="false">(D1434-INDEX('Cohort Summary'!$D$5:$D$14,MATCH($A1434,'Cohort Summary'!$A$5:$A$14,0)))/INDEX('Cohort Summary'!$E$5:$E$14,MATCH($A1434,'Cohort Summary'!$A$5:$A$14,0))</f>
        <v>1.70714285714286</v>
      </c>
      <c r="J1434" s="42" t="n">
        <f aca="false">(E1434-INDEX('Cohort Summary'!$F$5:$F$14,MATCH($A1434,'Cohort Summary'!$A$5:$A$14,0)))/INDEX('Cohort Summary'!$G$5:$G$14,MATCH($A1434,'Cohort Summary'!$A$5:$A$14,0))</f>
        <v>1.14213197969543</v>
      </c>
      <c r="K1434" s="42" t="n">
        <f aca="false">(F1434-INDEX('Cohort Summary'!$H$5:$H$14,MATCH($A1434,'Cohort Summary'!$A$5:$A$14,0)))/INDEX('Cohort Summary'!$I$5:$I$14,MATCH($A1434,'Cohort Summary'!$A$5:$A$14,0))</f>
        <v>-1.27210884353741</v>
      </c>
      <c r="L1434" s="42" t="n">
        <f aca="false">(G1434-INDEX('Cohort Summary'!$J$5:$J$14,MATCH($A1434,'Cohort Summary'!$A$5:$A$14,0)))/INDEX('Cohort Summary'!$K$5:$K$14,MATCH($A1434,'Cohort Summary'!$A$5:$A$14,0))</f>
        <v>1.36206896551724</v>
      </c>
      <c r="M1434" s="42" t="n">
        <f aca="false">MAX(I1434:K1434)</f>
        <v>1.70714285714286</v>
      </c>
      <c r="N1434" s="27" t="s">
        <v>197</v>
      </c>
      <c r="O1434" s="27"/>
      <c r="P1434" s="27" t="str">
        <f aca="false">A1434&amp;"|"&amp;N1434</f>
        <v>NURSE-08|normal</v>
      </c>
    </row>
    <row r="1435" customFormat="false" ht="15" hidden="false" customHeight="true" outlineLevel="0" collapsed="false">
      <c r="A1435" s="27" t="s">
        <v>98</v>
      </c>
      <c r="B1435" s="41" t="n">
        <v>46303.303125</v>
      </c>
      <c r="C1435" s="27" t="s">
        <v>195</v>
      </c>
      <c r="D1435" s="27" t="n">
        <v>41.2</v>
      </c>
      <c r="E1435" s="27" t="n">
        <v>17.6</v>
      </c>
      <c r="F1435" s="27" t="n">
        <v>32</v>
      </c>
      <c r="G1435" s="27" t="n">
        <v>32.1</v>
      </c>
      <c r="H1435" s="27" t="s">
        <v>196</v>
      </c>
      <c r="I1435" s="42" t="n">
        <f aca="false">(D1435-INDEX('Cohort Summary'!$D$5:$D$14,MATCH($A1435,'Cohort Summary'!$A$5:$A$14,0)))/INDEX('Cohort Summary'!$E$5:$E$14,MATCH($A1435,'Cohort Summary'!$A$5:$A$14,0))</f>
        <v>1.13571428571429</v>
      </c>
      <c r="J1435" s="42" t="n">
        <f aca="false">(E1435-INDEX('Cohort Summary'!$F$5:$F$14,MATCH($A1435,'Cohort Summary'!$A$5:$A$14,0)))/INDEX('Cohort Summary'!$G$5:$G$14,MATCH($A1435,'Cohort Summary'!$A$5:$A$14,0))</f>
        <v>0.0253807106598988</v>
      </c>
      <c r="K1435" s="42" t="n">
        <f aca="false">(F1435-INDEX('Cohort Summary'!$H$5:$H$14,MATCH($A1435,'Cohort Summary'!$A$5:$A$14,0)))/INDEX('Cohort Summary'!$I$5:$I$14,MATCH($A1435,'Cohort Summary'!$A$5:$A$14,0))</f>
        <v>0.326530612244898</v>
      </c>
      <c r="L1435" s="42" t="n">
        <f aca="false">(G1435-INDEX('Cohort Summary'!$J$5:$J$14,MATCH($A1435,'Cohort Summary'!$A$5:$A$14,0)))/INDEX('Cohort Summary'!$K$5:$K$14,MATCH($A1435,'Cohort Summary'!$A$5:$A$14,0))</f>
        <v>-1.22413793103448</v>
      </c>
      <c r="M1435" s="42" t="n">
        <f aca="false">MAX(I1435:K1435)</f>
        <v>1.13571428571429</v>
      </c>
      <c r="N1435" s="27" t="s">
        <v>197</v>
      </c>
      <c r="O1435" s="27"/>
      <c r="P1435" s="27" t="str">
        <f aca="false">A1435&amp;"|"&amp;N1435</f>
        <v>NURSE-08|normal</v>
      </c>
    </row>
    <row r="1436" customFormat="false" ht="15" hidden="false" customHeight="true" outlineLevel="0" collapsed="false">
      <c r="A1436" s="27" t="s">
        <v>98</v>
      </c>
      <c r="B1436" s="41" t="n">
        <v>46303.3034722222</v>
      </c>
      <c r="C1436" s="27" t="s">
        <v>195</v>
      </c>
      <c r="D1436" s="27" t="n">
        <v>36.4</v>
      </c>
      <c r="E1436" s="27" t="n">
        <v>18.8</v>
      </c>
      <c r="F1436" s="27" t="n">
        <v>31.4</v>
      </c>
      <c r="G1436" s="27" t="n">
        <v>31.8</v>
      </c>
      <c r="H1436" s="27" t="s">
        <v>196</v>
      </c>
      <c r="I1436" s="42" t="n">
        <f aca="false">(D1436-INDEX('Cohort Summary'!$D$5:$D$14,MATCH($A1436,'Cohort Summary'!$A$5:$A$14,0)))/INDEX('Cohort Summary'!$E$5:$E$14,MATCH($A1436,'Cohort Summary'!$A$5:$A$14,0))</f>
        <v>-0.57857142857143</v>
      </c>
      <c r="J1436" s="42" t="n">
        <f aca="false">(E1436-INDEX('Cohort Summary'!$F$5:$F$14,MATCH($A1436,'Cohort Summary'!$A$5:$A$14,0)))/INDEX('Cohort Summary'!$G$5:$G$14,MATCH($A1436,'Cohort Summary'!$A$5:$A$14,0))</f>
        <v>0.634517766497462</v>
      </c>
      <c r="K1436" s="42" t="n">
        <f aca="false">(F1436-INDEX('Cohort Summary'!$H$5:$H$14,MATCH($A1436,'Cohort Summary'!$A$5:$A$14,0)))/INDEX('Cohort Summary'!$I$5:$I$14,MATCH($A1436,'Cohort Summary'!$A$5:$A$14,0))</f>
        <v>0.122448979591837</v>
      </c>
      <c r="L1436" s="42" t="n">
        <f aca="false">(G1436-INDEX('Cohort Summary'!$J$5:$J$14,MATCH($A1436,'Cohort Summary'!$A$5:$A$14,0)))/INDEX('Cohort Summary'!$K$5:$K$14,MATCH($A1436,'Cohort Summary'!$A$5:$A$14,0))</f>
        <v>-1.74137931034483</v>
      </c>
      <c r="M1436" s="42" t="n">
        <f aca="false">MAX(I1436:K1436)</f>
        <v>0.634517766497462</v>
      </c>
      <c r="N1436" s="27" t="s">
        <v>197</v>
      </c>
      <c r="O1436" s="27"/>
      <c r="P1436" s="27" t="str">
        <f aca="false">A1436&amp;"|"&amp;N1436</f>
        <v>NURSE-08|normal</v>
      </c>
    </row>
    <row r="1437" customFormat="false" ht="15" hidden="false" customHeight="true" outlineLevel="0" collapsed="false">
      <c r="A1437" s="27" t="s">
        <v>98</v>
      </c>
      <c r="B1437" s="41" t="n">
        <v>46303.3038194445</v>
      </c>
      <c r="C1437" s="27" t="s">
        <v>195</v>
      </c>
      <c r="D1437" s="27" t="n">
        <v>40.5</v>
      </c>
      <c r="E1437" s="27" t="n">
        <v>15.3</v>
      </c>
      <c r="F1437" s="27" t="n">
        <v>35.6</v>
      </c>
      <c r="G1437" s="27" t="n">
        <v>32</v>
      </c>
      <c r="H1437" s="27" t="s">
        <v>198</v>
      </c>
      <c r="I1437" s="42" t="n">
        <f aca="false">(D1437-INDEX('Cohort Summary'!$D$5:$D$14,MATCH($A1437,'Cohort Summary'!$A$5:$A$14,0)))/INDEX('Cohort Summary'!$E$5:$E$14,MATCH($A1437,'Cohort Summary'!$A$5:$A$14,0))</f>
        <v>0.885714285714285</v>
      </c>
      <c r="J1437" s="42" t="n">
        <f aca="false">(E1437-INDEX('Cohort Summary'!$F$5:$F$14,MATCH($A1437,'Cohort Summary'!$A$5:$A$14,0)))/INDEX('Cohort Summary'!$G$5:$G$14,MATCH($A1437,'Cohort Summary'!$A$5:$A$14,0))</f>
        <v>-1.14213197969543</v>
      </c>
      <c r="K1437" s="42" t="n">
        <f aca="false">(F1437-INDEX('Cohort Summary'!$H$5:$H$14,MATCH($A1437,'Cohort Summary'!$A$5:$A$14,0)))/INDEX('Cohort Summary'!$I$5:$I$14,MATCH($A1437,'Cohort Summary'!$A$5:$A$14,0))</f>
        <v>1.55102040816327</v>
      </c>
      <c r="L1437" s="42" t="n">
        <f aca="false">(G1437-INDEX('Cohort Summary'!$J$5:$J$14,MATCH($A1437,'Cohort Summary'!$A$5:$A$14,0)))/INDEX('Cohort Summary'!$K$5:$K$14,MATCH($A1437,'Cohort Summary'!$A$5:$A$14,0))</f>
        <v>-1.39655172413794</v>
      </c>
      <c r="M1437" s="42" t="n">
        <f aca="false">MAX(I1437:K1437)</f>
        <v>1.55102040816327</v>
      </c>
      <c r="N1437" s="27" t="s">
        <v>197</v>
      </c>
      <c r="O1437" s="27"/>
      <c r="P1437" s="27" t="str">
        <f aca="false">A1437&amp;"|"&amp;N1437</f>
        <v>NURSE-08|normal</v>
      </c>
    </row>
    <row r="1438" customFormat="false" ht="15" hidden="false" customHeight="true" outlineLevel="0" collapsed="false">
      <c r="A1438" s="27" t="s">
        <v>98</v>
      </c>
      <c r="B1438" s="41" t="n">
        <v>46303.3041666667</v>
      </c>
      <c r="C1438" s="27" t="s">
        <v>195</v>
      </c>
      <c r="D1438" s="27" t="n">
        <v>41.2</v>
      </c>
      <c r="E1438" s="27" t="n">
        <v>17.9</v>
      </c>
      <c r="F1438" s="27" t="n">
        <v>29.3</v>
      </c>
      <c r="G1438" s="27" t="n">
        <v>32.3</v>
      </c>
      <c r="H1438" s="27" t="s">
        <v>199</v>
      </c>
      <c r="I1438" s="42" t="n">
        <f aca="false">(D1438-INDEX('Cohort Summary'!$D$5:$D$14,MATCH($A1438,'Cohort Summary'!$A$5:$A$14,0)))/INDEX('Cohort Summary'!$E$5:$E$14,MATCH($A1438,'Cohort Summary'!$A$5:$A$14,0))</f>
        <v>1.13571428571429</v>
      </c>
      <c r="J1438" s="42" t="n">
        <f aca="false">(E1438-INDEX('Cohort Summary'!$F$5:$F$14,MATCH($A1438,'Cohort Summary'!$A$5:$A$14,0)))/INDEX('Cohort Summary'!$G$5:$G$14,MATCH($A1438,'Cohort Summary'!$A$5:$A$14,0))</f>
        <v>0.177664974619288</v>
      </c>
      <c r="K1438" s="42" t="n">
        <f aca="false">(F1438-INDEX('Cohort Summary'!$H$5:$H$14,MATCH($A1438,'Cohort Summary'!$A$5:$A$14,0)))/INDEX('Cohort Summary'!$I$5:$I$14,MATCH($A1438,'Cohort Summary'!$A$5:$A$14,0))</f>
        <v>-0.591836734693877</v>
      </c>
      <c r="L1438" s="42" t="n">
        <f aca="false">(G1438-INDEX('Cohort Summary'!$J$5:$J$14,MATCH($A1438,'Cohort Summary'!$A$5:$A$14,0)))/INDEX('Cohort Summary'!$K$5:$K$14,MATCH($A1438,'Cohort Summary'!$A$5:$A$14,0))</f>
        <v>-0.879310344827595</v>
      </c>
      <c r="M1438" s="42" t="n">
        <f aca="false">MAX(I1438:K1438)</f>
        <v>1.13571428571429</v>
      </c>
      <c r="N1438" s="27" t="s">
        <v>197</v>
      </c>
      <c r="O1438" s="27"/>
      <c r="P1438" s="27" t="str">
        <f aca="false">A1438&amp;"|"&amp;N1438</f>
        <v>NURSE-08|normal</v>
      </c>
    </row>
    <row r="1439" customFormat="false" ht="15" hidden="false" customHeight="true" outlineLevel="0" collapsed="false">
      <c r="A1439" s="27" t="s">
        <v>98</v>
      </c>
      <c r="B1439" s="41" t="n">
        <v>46303.3045138889</v>
      </c>
      <c r="C1439" s="27" t="s">
        <v>195</v>
      </c>
      <c r="D1439" s="27" t="n">
        <v>41.2</v>
      </c>
      <c r="E1439" s="27" t="n">
        <v>19.5</v>
      </c>
      <c r="F1439" s="27" t="n">
        <v>32.8</v>
      </c>
      <c r="G1439" s="27" t="n">
        <v>33.2</v>
      </c>
      <c r="H1439" s="27" t="s">
        <v>198</v>
      </c>
      <c r="I1439" s="42" t="n">
        <f aca="false">(D1439-INDEX('Cohort Summary'!$D$5:$D$14,MATCH($A1439,'Cohort Summary'!$A$5:$A$14,0)))/INDEX('Cohort Summary'!$E$5:$E$14,MATCH($A1439,'Cohort Summary'!$A$5:$A$14,0))</f>
        <v>1.13571428571429</v>
      </c>
      <c r="J1439" s="42" t="n">
        <f aca="false">(E1439-INDEX('Cohort Summary'!$F$5:$F$14,MATCH($A1439,'Cohort Summary'!$A$5:$A$14,0)))/INDEX('Cohort Summary'!$G$5:$G$14,MATCH($A1439,'Cohort Summary'!$A$5:$A$14,0))</f>
        <v>0.98984771573604</v>
      </c>
      <c r="K1439" s="42" t="n">
        <f aca="false">(F1439-INDEX('Cohort Summary'!$H$5:$H$14,MATCH($A1439,'Cohort Summary'!$A$5:$A$14,0)))/INDEX('Cohort Summary'!$I$5:$I$14,MATCH($A1439,'Cohort Summary'!$A$5:$A$14,0))</f>
        <v>0.598639455782312</v>
      </c>
      <c r="L1439" s="42" t="n">
        <f aca="false">(G1439-INDEX('Cohort Summary'!$J$5:$J$14,MATCH($A1439,'Cohort Summary'!$A$5:$A$14,0)))/INDEX('Cohort Summary'!$K$5:$K$14,MATCH($A1439,'Cohort Summary'!$A$5:$A$14,0))</f>
        <v>0.672413793103449</v>
      </c>
      <c r="M1439" s="42" t="n">
        <f aca="false">MAX(I1439:K1439)</f>
        <v>1.13571428571429</v>
      </c>
      <c r="N1439" s="27" t="s">
        <v>197</v>
      </c>
      <c r="O1439" s="27"/>
      <c r="P1439" s="27" t="str">
        <f aca="false">A1439&amp;"|"&amp;N1439</f>
        <v>NURSE-08|normal</v>
      </c>
    </row>
    <row r="1440" customFormat="false" ht="15" hidden="false" customHeight="true" outlineLevel="0" collapsed="false">
      <c r="A1440" s="27" t="s">
        <v>98</v>
      </c>
      <c r="B1440" s="41" t="n">
        <v>46303.3048611111</v>
      </c>
      <c r="C1440" s="27" t="s">
        <v>195</v>
      </c>
      <c r="D1440" s="27" t="n">
        <v>40</v>
      </c>
      <c r="E1440" s="27" t="n">
        <v>20.2</v>
      </c>
      <c r="F1440" s="27" t="n">
        <v>32.5</v>
      </c>
      <c r="G1440" s="27" t="n">
        <v>32</v>
      </c>
      <c r="H1440" s="27" t="s">
        <v>198</v>
      </c>
      <c r="I1440" s="42" t="n">
        <f aca="false">(D1440-INDEX('Cohort Summary'!$D$5:$D$14,MATCH($A1440,'Cohort Summary'!$A$5:$A$14,0)))/INDEX('Cohort Summary'!$E$5:$E$14,MATCH($A1440,'Cohort Summary'!$A$5:$A$14,0))</f>
        <v>0.707142857142856</v>
      </c>
      <c r="J1440" s="42" t="n">
        <f aca="false">(E1440-INDEX('Cohort Summary'!$F$5:$F$14,MATCH($A1440,'Cohort Summary'!$A$5:$A$14,0)))/INDEX('Cohort Summary'!$G$5:$G$14,MATCH($A1440,'Cohort Summary'!$A$5:$A$14,0))</f>
        <v>1.34517766497462</v>
      </c>
      <c r="K1440" s="42" t="n">
        <f aca="false">(F1440-INDEX('Cohort Summary'!$H$5:$H$14,MATCH($A1440,'Cohort Summary'!$A$5:$A$14,0)))/INDEX('Cohort Summary'!$I$5:$I$14,MATCH($A1440,'Cohort Summary'!$A$5:$A$14,0))</f>
        <v>0.496598639455783</v>
      </c>
      <c r="L1440" s="42" t="n">
        <f aca="false">(G1440-INDEX('Cohort Summary'!$J$5:$J$14,MATCH($A1440,'Cohort Summary'!$A$5:$A$14,0)))/INDEX('Cohort Summary'!$K$5:$K$14,MATCH($A1440,'Cohort Summary'!$A$5:$A$14,0))</f>
        <v>-1.39655172413794</v>
      </c>
      <c r="M1440" s="42" t="n">
        <f aca="false">MAX(I1440:K1440)</f>
        <v>1.34517766497462</v>
      </c>
      <c r="N1440" s="27" t="s">
        <v>197</v>
      </c>
      <c r="O1440" s="27"/>
      <c r="P1440" s="27" t="str">
        <f aca="false">A1440&amp;"|"&amp;N1440</f>
        <v>NURSE-08|normal</v>
      </c>
    </row>
    <row r="1441" customFormat="false" ht="15" hidden="false" customHeight="true" outlineLevel="0" collapsed="false">
      <c r="A1441" s="27" t="s">
        <v>98</v>
      </c>
      <c r="B1441" s="41" t="n">
        <v>46303.3052083333</v>
      </c>
      <c r="C1441" s="27" t="s">
        <v>195</v>
      </c>
      <c r="D1441" s="27" t="n">
        <v>33.2</v>
      </c>
      <c r="E1441" s="27" t="n">
        <v>18</v>
      </c>
      <c r="F1441" s="27" t="n">
        <v>34.7</v>
      </c>
      <c r="G1441" s="27" t="n">
        <v>32</v>
      </c>
      <c r="H1441" s="27" t="s">
        <v>196</v>
      </c>
      <c r="I1441" s="42" t="n">
        <f aca="false">(D1441-INDEX('Cohort Summary'!$D$5:$D$14,MATCH($A1441,'Cohort Summary'!$A$5:$A$14,0)))/INDEX('Cohort Summary'!$E$5:$E$14,MATCH($A1441,'Cohort Summary'!$A$5:$A$14,0))</f>
        <v>-1.72142857142857</v>
      </c>
      <c r="J1441" s="42" t="n">
        <f aca="false">(E1441-INDEX('Cohort Summary'!$F$5:$F$14,MATCH($A1441,'Cohort Summary'!$A$5:$A$14,0)))/INDEX('Cohort Summary'!$G$5:$G$14,MATCH($A1441,'Cohort Summary'!$A$5:$A$14,0))</f>
        <v>0.228426395939086</v>
      </c>
      <c r="K1441" s="42" t="n">
        <f aca="false">(F1441-INDEX('Cohort Summary'!$H$5:$H$14,MATCH($A1441,'Cohort Summary'!$A$5:$A$14,0)))/INDEX('Cohort Summary'!$I$5:$I$14,MATCH($A1441,'Cohort Summary'!$A$5:$A$14,0))</f>
        <v>1.24489795918367</v>
      </c>
      <c r="L1441" s="42" t="n">
        <f aca="false">(G1441-INDEX('Cohort Summary'!$J$5:$J$14,MATCH($A1441,'Cohort Summary'!$A$5:$A$14,0)))/INDEX('Cohort Summary'!$K$5:$K$14,MATCH($A1441,'Cohort Summary'!$A$5:$A$14,0))</f>
        <v>-1.39655172413794</v>
      </c>
      <c r="M1441" s="42" t="n">
        <f aca="false">MAX(I1441:K1441)</f>
        <v>1.24489795918367</v>
      </c>
      <c r="N1441" s="27" t="s">
        <v>197</v>
      </c>
      <c r="O1441" s="27"/>
      <c r="P1441" s="27" t="str">
        <f aca="false">A1441&amp;"|"&amp;N1441</f>
        <v>NURSE-08|normal</v>
      </c>
    </row>
    <row r="1442" customFormat="false" ht="15" hidden="false" customHeight="true" outlineLevel="0" collapsed="false">
      <c r="A1442" s="27" t="s">
        <v>98</v>
      </c>
      <c r="B1442" s="41" t="n">
        <v>46303.3055555556</v>
      </c>
      <c r="C1442" s="27" t="s">
        <v>195</v>
      </c>
      <c r="D1442" s="27" t="n">
        <v>38.9</v>
      </c>
      <c r="E1442" s="27" t="n">
        <v>17</v>
      </c>
      <c r="F1442" s="27" t="n">
        <v>28.4</v>
      </c>
      <c r="G1442" s="27" t="n">
        <v>33.8</v>
      </c>
      <c r="H1442" s="27" t="s">
        <v>199</v>
      </c>
      <c r="I1442" s="42" t="n">
        <f aca="false">(D1442-INDEX('Cohort Summary'!$D$5:$D$14,MATCH($A1442,'Cohort Summary'!$A$5:$A$14,0)))/INDEX('Cohort Summary'!$E$5:$E$14,MATCH($A1442,'Cohort Summary'!$A$5:$A$14,0))</f>
        <v>0.314285714285713</v>
      </c>
      <c r="J1442" s="42" t="n">
        <f aca="false">(E1442-INDEX('Cohort Summary'!$F$5:$F$14,MATCH($A1442,'Cohort Summary'!$A$5:$A$14,0)))/INDEX('Cohort Summary'!$G$5:$G$14,MATCH($A1442,'Cohort Summary'!$A$5:$A$14,0))</f>
        <v>-0.279187817258884</v>
      </c>
      <c r="K1442" s="42" t="n">
        <f aca="false">(F1442-INDEX('Cohort Summary'!$H$5:$H$14,MATCH($A1442,'Cohort Summary'!$A$5:$A$14,0)))/INDEX('Cohort Summary'!$I$5:$I$14,MATCH($A1442,'Cohort Summary'!$A$5:$A$14,0))</f>
        <v>-0.89795918367347</v>
      </c>
      <c r="L1442" s="42" t="n">
        <f aca="false">(G1442-INDEX('Cohort Summary'!$J$5:$J$14,MATCH($A1442,'Cohort Summary'!$A$5:$A$14,0)))/INDEX('Cohort Summary'!$K$5:$K$14,MATCH($A1442,'Cohort Summary'!$A$5:$A$14,0))</f>
        <v>1.70689655172413</v>
      </c>
      <c r="M1442" s="42" t="n">
        <f aca="false">MAX(I1442:K1442)</f>
        <v>0.314285714285713</v>
      </c>
      <c r="N1442" s="27" t="s">
        <v>197</v>
      </c>
      <c r="O1442" s="27"/>
      <c r="P1442" s="27" t="str">
        <f aca="false">A1442&amp;"|"&amp;N1442</f>
        <v>NURSE-08|normal</v>
      </c>
    </row>
    <row r="1443" customFormat="false" ht="15" hidden="false" customHeight="true" outlineLevel="0" collapsed="false">
      <c r="A1443" s="27" t="s">
        <v>98</v>
      </c>
      <c r="B1443" s="41" t="n">
        <v>46303.3059027778</v>
      </c>
      <c r="C1443" s="27" t="s">
        <v>195</v>
      </c>
      <c r="D1443" s="27" t="n">
        <v>37.5</v>
      </c>
      <c r="E1443" s="27" t="n">
        <v>19.9</v>
      </c>
      <c r="F1443" s="27" t="n">
        <v>29.1</v>
      </c>
      <c r="G1443" s="27" t="n">
        <v>33.8</v>
      </c>
      <c r="H1443" s="27" t="s">
        <v>198</v>
      </c>
      <c r="I1443" s="42" t="n">
        <f aca="false">(D1443-INDEX('Cohort Summary'!$D$5:$D$14,MATCH($A1443,'Cohort Summary'!$A$5:$A$14,0)))/INDEX('Cohort Summary'!$E$5:$E$14,MATCH($A1443,'Cohort Summary'!$A$5:$A$14,0))</f>
        <v>-0.185714285714287</v>
      </c>
      <c r="J1443" s="42" t="n">
        <f aca="false">(E1443-INDEX('Cohort Summary'!$F$5:$F$14,MATCH($A1443,'Cohort Summary'!$A$5:$A$14,0)))/INDEX('Cohort Summary'!$G$5:$G$14,MATCH($A1443,'Cohort Summary'!$A$5:$A$14,0))</f>
        <v>1.19289340101523</v>
      </c>
      <c r="K1443" s="42" t="n">
        <f aca="false">(F1443-INDEX('Cohort Summary'!$H$5:$H$14,MATCH($A1443,'Cohort Summary'!$A$5:$A$14,0)))/INDEX('Cohort Summary'!$I$5:$I$14,MATCH($A1443,'Cohort Summary'!$A$5:$A$14,0))</f>
        <v>-0.659863945578231</v>
      </c>
      <c r="L1443" s="42" t="n">
        <f aca="false">(G1443-INDEX('Cohort Summary'!$J$5:$J$14,MATCH($A1443,'Cohort Summary'!$A$5:$A$14,0)))/INDEX('Cohort Summary'!$K$5:$K$14,MATCH($A1443,'Cohort Summary'!$A$5:$A$14,0))</f>
        <v>1.70689655172413</v>
      </c>
      <c r="M1443" s="42" t="n">
        <f aca="false">MAX(I1443:K1443)</f>
        <v>1.19289340101523</v>
      </c>
      <c r="N1443" s="27" t="s">
        <v>197</v>
      </c>
      <c r="O1443" s="27"/>
      <c r="P1443" s="27" t="str">
        <f aca="false">A1443&amp;"|"&amp;N1443</f>
        <v>NURSE-08|normal</v>
      </c>
    </row>
    <row r="1444" customFormat="false" ht="15" hidden="false" customHeight="true" outlineLevel="0" collapsed="false">
      <c r="A1444" s="27" t="s">
        <v>98</v>
      </c>
      <c r="B1444" s="41" t="n">
        <v>46303.30625</v>
      </c>
      <c r="C1444" s="27" t="s">
        <v>195</v>
      </c>
      <c r="D1444" s="27" t="n">
        <v>37</v>
      </c>
      <c r="E1444" s="27" t="n">
        <v>19.5</v>
      </c>
      <c r="F1444" s="27" t="n">
        <v>33.8</v>
      </c>
      <c r="G1444" s="27" t="n">
        <v>32.9</v>
      </c>
      <c r="H1444" s="27" t="s">
        <v>196</v>
      </c>
      <c r="I1444" s="42" t="n">
        <f aca="false">(D1444-INDEX('Cohort Summary'!$D$5:$D$14,MATCH($A1444,'Cohort Summary'!$A$5:$A$14,0)))/INDEX('Cohort Summary'!$E$5:$E$14,MATCH($A1444,'Cohort Summary'!$A$5:$A$14,0))</f>
        <v>-0.364285714285715</v>
      </c>
      <c r="J1444" s="42" t="n">
        <f aca="false">(E1444-INDEX('Cohort Summary'!$F$5:$F$14,MATCH($A1444,'Cohort Summary'!$A$5:$A$14,0)))/INDEX('Cohort Summary'!$G$5:$G$14,MATCH($A1444,'Cohort Summary'!$A$5:$A$14,0))</f>
        <v>0.98984771573604</v>
      </c>
      <c r="K1444" s="42" t="n">
        <f aca="false">(F1444-INDEX('Cohort Summary'!$H$5:$H$14,MATCH($A1444,'Cohort Summary'!$A$5:$A$14,0)))/INDEX('Cohort Summary'!$I$5:$I$14,MATCH($A1444,'Cohort Summary'!$A$5:$A$14,0))</f>
        <v>0.938775510204081</v>
      </c>
      <c r="L1444" s="42" t="n">
        <f aca="false">(G1444-INDEX('Cohort Summary'!$J$5:$J$14,MATCH($A1444,'Cohort Summary'!$A$5:$A$14,0)))/INDEX('Cohort Summary'!$K$5:$K$14,MATCH($A1444,'Cohort Summary'!$A$5:$A$14,0))</f>
        <v>0.155172413793097</v>
      </c>
      <c r="M1444" s="42" t="n">
        <f aca="false">MAX(I1444:K1444)</f>
        <v>0.98984771573604</v>
      </c>
      <c r="N1444" s="27" t="s">
        <v>197</v>
      </c>
      <c r="O1444" s="27"/>
      <c r="P1444" s="27" t="str">
        <f aca="false">A1444&amp;"|"&amp;N1444</f>
        <v>NURSE-08|normal</v>
      </c>
    </row>
    <row r="1445" customFormat="false" ht="15" hidden="false" customHeight="true" outlineLevel="0" collapsed="false">
      <c r="A1445" s="27" t="s">
        <v>98</v>
      </c>
      <c r="B1445" s="41" t="n">
        <v>46303.3065972222</v>
      </c>
      <c r="C1445" s="27" t="s">
        <v>195</v>
      </c>
      <c r="D1445" s="27" t="n">
        <v>34</v>
      </c>
      <c r="E1445" s="27" t="n">
        <v>15.4</v>
      </c>
      <c r="F1445" s="27" t="n">
        <v>34.1</v>
      </c>
      <c r="G1445" s="27" t="n">
        <v>33.8</v>
      </c>
      <c r="H1445" s="27" t="s">
        <v>196</v>
      </c>
      <c r="I1445" s="42" t="n">
        <f aca="false">(D1445-INDEX('Cohort Summary'!$D$5:$D$14,MATCH($A1445,'Cohort Summary'!$A$5:$A$14,0)))/INDEX('Cohort Summary'!$E$5:$E$14,MATCH($A1445,'Cohort Summary'!$A$5:$A$14,0))</f>
        <v>-1.43571428571429</v>
      </c>
      <c r="J1445" s="42" t="n">
        <f aca="false">(E1445-INDEX('Cohort Summary'!$F$5:$F$14,MATCH($A1445,'Cohort Summary'!$A$5:$A$14,0)))/INDEX('Cohort Summary'!$G$5:$G$14,MATCH($A1445,'Cohort Summary'!$A$5:$A$14,0))</f>
        <v>-1.09137055837563</v>
      </c>
      <c r="K1445" s="42" t="n">
        <f aca="false">(F1445-INDEX('Cohort Summary'!$H$5:$H$14,MATCH($A1445,'Cohort Summary'!$A$5:$A$14,0)))/INDEX('Cohort Summary'!$I$5:$I$14,MATCH($A1445,'Cohort Summary'!$A$5:$A$14,0))</f>
        <v>1.04081632653061</v>
      </c>
      <c r="L1445" s="42" t="n">
        <f aca="false">(G1445-INDEX('Cohort Summary'!$J$5:$J$14,MATCH($A1445,'Cohort Summary'!$A$5:$A$14,0)))/INDEX('Cohort Summary'!$K$5:$K$14,MATCH($A1445,'Cohort Summary'!$A$5:$A$14,0))</f>
        <v>1.70689655172413</v>
      </c>
      <c r="M1445" s="42" t="n">
        <f aca="false">MAX(I1445:K1445)</f>
        <v>1.04081632653061</v>
      </c>
      <c r="N1445" s="27" t="s">
        <v>197</v>
      </c>
      <c r="O1445" s="27"/>
      <c r="P1445" s="27" t="str">
        <f aca="false">A1445&amp;"|"&amp;N1445</f>
        <v>NURSE-08|normal</v>
      </c>
    </row>
    <row r="1446" customFormat="false" ht="15" hidden="false" customHeight="true" outlineLevel="0" collapsed="false">
      <c r="A1446" s="27" t="s">
        <v>98</v>
      </c>
      <c r="B1446" s="41" t="n">
        <v>46303.3069444444</v>
      </c>
      <c r="C1446" s="27" t="s">
        <v>195</v>
      </c>
      <c r="D1446" s="27" t="n">
        <v>40.1</v>
      </c>
      <c r="E1446" s="27" t="n">
        <v>16.3</v>
      </c>
      <c r="F1446" s="27" t="n">
        <v>28.7</v>
      </c>
      <c r="G1446" s="27" t="n">
        <v>33</v>
      </c>
      <c r="H1446" s="27" t="s">
        <v>198</v>
      </c>
      <c r="I1446" s="42" t="n">
        <f aca="false">(D1446-INDEX('Cohort Summary'!$D$5:$D$14,MATCH($A1446,'Cohort Summary'!$A$5:$A$14,0)))/INDEX('Cohort Summary'!$E$5:$E$14,MATCH($A1446,'Cohort Summary'!$A$5:$A$14,0))</f>
        <v>0.742857142857142</v>
      </c>
      <c r="J1446" s="42" t="n">
        <f aca="false">(E1446-INDEX('Cohort Summary'!$F$5:$F$14,MATCH($A1446,'Cohort Summary'!$A$5:$A$14,0)))/INDEX('Cohort Summary'!$G$5:$G$14,MATCH($A1446,'Cohort Summary'!$A$5:$A$14,0))</f>
        <v>-0.634517766497462</v>
      </c>
      <c r="K1446" s="42" t="n">
        <f aca="false">(F1446-INDEX('Cohort Summary'!$H$5:$H$14,MATCH($A1446,'Cohort Summary'!$A$5:$A$14,0)))/INDEX('Cohort Summary'!$I$5:$I$14,MATCH($A1446,'Cohort Summary'!$A$5:$A$14,0))</f>
        <v>-0.795918367346939</v>
      </c>
      <c r="L1446" s="42" t="n">
        <f aca="false">(G1446-INDEX('Cohort Summary'!$J$5:$J$14,MATCH($A1446,'Cohort Summary'!$A$5:$A$14,0)))/INDEX('Cohort Summary'!$K$5:$K$14,MATCH($A1446,'Cohort Summary'!$A$5:$A$14,0))</f>
        <v>0.327586206896548</v>
      </c>
      <c r="M1446" s="42" t="n">
        <f aca="false">MAX(I1446:K1446)</f>
        <v>0.742857142857142</v>
      </c>
      <c r="N1446" s="27" t="s">
        <v>197</v>
      </c>
      <c r="O1446" s="27"/>
      <c r="P1446" s="27" t="str">
        <f aca="false">A1446&amp;"|"&amp;N1446</f>
        <v>NURSE-08|normal</v>
      </c>
    </row>
    <row r="1447" customFormat="false" ht="15" hidden="false" customHeight="true" outlineLevel="0" collapsed="false">
      <c r="A1447" s="27" t="s">
        <v>98</v>
      </c>
      <c r="B1447" s="41" t="n">
        <v>46303.3072916667</v>
      </c>
      <c r="C1447" s="27" t="s">
        <v>195</v>
      </c>
      <c r="D1447" s="27" t="n">
        <v>42.8</v>
      </c>
      <c r="E1447" s="27" t="n">
        <v>14.3</v>
      </c>
      <c r="F1447" s="27" t="n">
        <v>32.1</v>
      </c>
      <c r="G1447" s="27" t="n">
        <v>32.5</v>
      </c>
      <c r="H1447" s="27" t="s">
        <v>198</v>
      </c>
      <c r="I1447" s="42" t="n">
        <f aca="false">(D1447-INDEX('Cohort Summary'!$D$5:$D$14,MATCH($A1447,'Cohort Summary'!$A$5:$A$14,0)))/INDEX('Cohort Summary'!$E$5:$E$14,MATCH($A1447,'Cohort Summary'!$A$5:$A$14,0))</f>
        <v>1.70714285714286</v>
      </c>
      <c r="J1447" s="42" t="n">
        <f aca="false">(E1447-INDEX('Cohort Summary'!$F$5:$F$14,MATCH($A1447,'Cohort Summary'!$A$5:$A$14,0)))/INDEX('Cohort Summary'!$G$5:$G$14,MATCH($A1447,'Cohort Summary'!$A$5:$A$14,0))</f>
        <v>-1.6497461928934</v>
      </c>
      <c r="K1447" s="42" t="n">
        <f aca="false">(F1447-INDEX('Cohort Summary'!$H$5:$H$14,MATCH($A1447,'Cohort Summary'!$A$5:$A$14,0)))/INDEX('Cohort Summary'!$I$5:$I$14,MATCH($A1447,'Cohort Summary'!$A$5:$A$14,0))</f>
        <v>0.360544217687076</v>
      </c>
      <c r="L1447" s="42" t="n">
        <f aca="false">(G1447-INDEX('Cohort Summary'!$J$5:$J$14,MATCH($A1447,'Cohort Summary'!$A$5:$A$14,0)))/INDEX('Cohort Summary'!$K$5:$K$14,MATCH($A1447,'Cohort Summary'!$A$5:$A$14,0))</f>
        <v>-0.534482758620694</v>
      </c>
      <c r="M1447" s="42" t="n">
        <f aca="false">MAX(I1447:K1447)</f>
        <v>1.70714285714286</v>
      </c>
      <c r="N1447" s="27" t="s">
        <v>197</v>
      </c>
      <c r="O1447" s="27"/>
      <c r="P1447" s="27" t="str">
        <f aca="false">A1447&amp;"|"&amp;N1447</f>
        <v>NURSE-08|normal</v>
      </c>
    </row>
    <row r="1448" customFormat="false" ht="15" hidden="false" customHeight="true" outlineLevel="0" collapsed="false">
      <c r="A1448" s="27" t="s">
        <v>98</v>
      </c>
      <c r="B1448" s="41" t="n">
        <v>46303.3076388889</v>
      </c>
      <c r="C1448" s="27" t="s">
        <v>195</v>
      </c>
      <c r="D1448" s="27" t="n">
        <v>39.5</v>
      </c>
      <c r="E1448" s="27" t="n">
        <v>16.4</v>
      </c>
      <c r="F1448" s="27" t="n">
        <v>28.7</v>
      </c>
      <c r="G1448" s="27" t="n">
        <v>33.1</v>
      </c>
      <c r="H1448" s="27" t="s">
        <v>196</v>
      </c>
      <c r="I1448" s="42" t="n">
        <f aca="false">(D1448-INDEX('Cohort Summary'!$D$5:$D$14,MATCH($A1448,'Cohort Summary'!$A$5:$A$14,0)))/INDEX('Cohort Summary'!$E$5:$E$14,MATCH($A1448,'Cohort Summary'!$A$5:$A$14,0))</f>
        <v>0.528571428571428</v>
      </c>
      <c r="J1448" s="42" t="n">
        <f aca="false">(E1448-INDEX('Cohort Summary'!$F$5:$F$14,MATCH($A1448,'Cohort Summary'!$A$5:$A$14,0)))/INDEX('Cohort Summary'!$G$5:$G$14,MATCH($A1448,'Cohort Summary'!$A$5:$A$14,0))</f>
        <v>-0.583756345177666</v>
      </c>
      <c r="K1448" s="42" t="n">
        <f aca="false">(F1448-INDEX('Cohort Summary'!$H$5:$H$14,MATCH($A1448,'Cohort Summary'!$A$5:$A$14,0)))/INDEX('Cohort Summary'!$I$5:$I$14,MATCH($A1448,'Cohort Summary'!$A$5:$A$14,0))</f>
        <v>-0.795918367346939</v>
      </c>
      <c r="L1448" s="42" t="n">
        <f aca="false">(G1448-INDEX('Cohort Summary'!$J$5:$J$14,MATCH($A1448,'Cohort Summary'!$A$5:$A$14,0)))/INDEX('Cohort Summary'!$K$5:$K$14,MATCH($A1448,'Cohort Summary'!$A$5:$A$14,0))</f>
        <v>0.499999999999999</v>
      </c>
      <c r="M1448" s="42" t="n">
        <f aca="false">MAX(I1448:K1448)</f>
        <v>0.528571428571428</v>
      </c>
      <c r="N1448" s="27" t="s">
        <v>197</v>
      </c>
      <c r="O1448" s="27"/>
      <c r="P1448" s="27" t="str">
        <f aca="false">A1448&amp;"|"&amp;N1448</f>
        <v>NURSE-08|normal</v>
      </c>
    </row>
    <row r="1449" customFormat="false" ht="15" hidden="false" customHeight="true" outlineLevel="0" collapsed="false">
      <c r="A1449" s="27" t="s">
        <v>98</v>
      </c>
      <c r="B1449" s="41" t="n">
        <v>46303.3079861111</v>
      </c>
      <c r="C1449" s="27" t="s">
        <v>195</v>
      </c>
      <c r="D1449" s="27" t="n">
        <v>42.6</v>
      </c>
      <c r="E1449" s="27" t="n">
        <v>17.6</v>
      </c>
      <c r="F1449" s="27" t="n">
        <v>29</v>
      </c>
      <c r="G1449" s="27" t="n">
        <v>33</v>
      </c>
      <c r="H1449" s="27" t="s">
        <v>198</v>
      </c>
      <c r="I1449" s="42" t="n">
        <f aca="false">(D1449-INDEX('Cohort Summary'!$D$5:$D$14,MATCH($A1449,'Cohort Summary'!$A$5:$A$14,0)))/INDEX('Cohort Summary'!$E$5:$E$14,MATCH($A1449,'Cohort Summary'!$A$5:$A$14,0))</f>
        <v>1.63571428571429</v>
      </c>
      <c r="J1449" s="42" t="n">
        <f aca="false">(E1449-INDEX('Cohort Summary'!$F$5:$F$14,MATCH($A1449,'Cohort Summary'!$A$5:$A$14,0)))/INDEX('Cohort Summary'!$G$5:$G$14,MATCH($A1449,'Cohort Summary'!$A$5:$A$14,0))</f>
        <v>0.0253807106598988</v>
      </c>
      <c r="K1449" s="42" t="n">
        <f aca="false">(F1449-INDEX('Cohort Summary'!$H$5:$H$14,MATCH($A1449,'Cohort Summary'!$A$5:$A$14,0)))/INDEX('Cohort Summary'!$I$5:$I$14,MATCH($A1449,'Cohort Summary'!$A$5:$A$14,0))</f>
        <v>-0.693877551020408</v>
      </c>
      <c r="L1449" s="42" t="n">
        <f aca="false">(G1449-INDEX('Cohort Summary'!$J$5:$J$14,MATCH($A1449,'Cohort Summary'!$A$5:$A$14,0)))/INDEX('Cohort Summary'!$K$5:$K$14,MATCH($A1449,'Cohort Summary'!$A$5:$A$14,0))</f>
        <v>0.327586206896548</v>
      </c>
      <c r="M1449" s="42" t="n">
        <f aca="false">MAX(I1449:K1449)</f>
        <v>1.63571428571429</v>
      </c>
      <c r="N1449" s="27" t="s">
        <v>197</v>
      </c>
      <c r="O1449" s="27"/>
      <c r="P1449" s="27" t="str">
        <f aca="false">A1449&amp;"|"&amp;N1449</f>
        <v>NURSE-08|normal</v>
      </c>
    </row>
    <row r="1450" customFormat="false" ht="15" hidden="false" customHeight="true" outlineLevel="0" collapsed="false">
      <c r="A1450" s="27" t="s">
        <v>98</v>
      </c>
      <c r="B1450" s="41" t="n">
        <v>46303.3083333333</v>
      </c>
      <c r="C1450" s="27" t="s">
        <v>195</v>
      </c>
      <c r="D1450" s="27" t="n">
        <v>38.5</v>
      </c>
      <c r="E1450" s="27" t="n">
        <v>14.2</v>
      </c>
      <c r="F1450" s="27" t="n">
        <v>29.7</v>
      </c>
      <c r="G1450" s="27" t="n">
        <v>32.8</v>
      </c>
      <c r="H1450" s="27" t="s">
        <v>198</v>
      </c>
      <c r="I1450" s="42" t="n">
        <f aca="false">(D1450-INDEX('Cohort Summary'!$D$5:$D$14,MATCH($A1450,'Cohort Summary'!$A$5:$A$14,0)))/INDEX('Cohort Summary'!$E$5:$E$14,MATCH($A1450,'Cohort Summary'!$A$5:$A$14,0))</f>
        <v>0.17142857142857</v>
      </c>
      <c r="J1450" s="42" t="n">
        <f aca="false">(E1450-INDEX('Cohort Summary'!$F$5:$F$14,MATCH($A1450,'Cohort Summary'!$A$5:$A$14,0)))/INDEX('Cohort Summary'!$G$5:$G$14,MATCH($A1450,'Cohort Summary'!$A$5:$A$14,0))</f>
        <v>-1.7005076142132</v>
      </c>
      <c r="K1450" s="42" t="n">
        <f aca="false">(F1450-INDEX('Cohort Summary'!$H$5:$H$14,MATCH($A1450,'Cohort Summary'!$A$5:$A$14,0)))/INDEX('Cohort Summary'!$I$5:$I$14,MATCH($A1450,'Cohort Summary'!$A$5:$A$14,0))</f>
        <v>-0.45578231292517</v>
      </c>
      <c r="L1450" s="42" t="n">
        <f aca="false">(G1450-INDEX('Cohort Summary'!$J$5:$J$14,MATCH($A1450,'Cohort Summary'!$A$5:$A$14,0)))/INDEX('Cohort Summary'!$K$5:$K$14,MATCH($A1450,'Cohort Summary'!$A$5:$A$14,0))</f>
        <v>-0.0172413793103537</v>
      </c>
      <c r="M1450" s="42" t="n">
        <f aca="false">MAX(I1450:K1450)</f>
        <v>0.17142857142857</v>
      </c>
      <c r="N1450" s="27" t="s">
        <v>197</v>
      </c>
      <c r="O1450" s="27"/>
      <c r="P1450" s="27" t="str">
        <f aca="false">A1450&amp;"|"&amp;N1450</f>
        <v>NURSE-08|normal</v>
      </c>
    </row>
    <row r="1451" customFormat="false" ht="15" hidden="false" customHeight="true" outlineLevel="0" collapsed="false">
      <c r="A1451" s="27" t="s">
        <v>98</v>
      </c>
      <c r="B1451" s="41" t="n">
        <v>46303.3086805556</v>
      </c>
      <c r="C1451" s="27" t="s">
        <v>195</v>
      </c>
      <c r="D1451" s="27" t="n">
        <v>38.5</v>
      </c>
      <c r="E1451" s="27" t="n">
        <v>19.1</v>
      </c>
      <c r="F1451" s="27" t="n">
        <v>34.9</v>
      </c>
      <c r="G1451" s="27" t="n">
        <v>32.7</v>
      </c>
      <c r="H1451" s="27" t="s">
        <v>198</v>
      </c>
      <c r="I1451" s="42" t="n">
        <f aca="false">(D1451-INDEX('Cohort Summary'!$D$5:$D$14,MATCH($A1451,'Cohort Summary'!$A$5:$A$14,0)))/INDEX('Cohort Summary'!$E$5:$E$14,MATCH($A1451,'Cohort Summary'!$A$5:$A$14,0))</f>
        <v>0.17142857142857</v>
      </c>
      <c r="J1451" s="42" t="n">
        <f aca="false">(E1451-INDEX('Cohort Summary'!$F$5:$F$14,MATCH($A1451,'Cohort Summary'!$A$5:$A$14,0)))/INDEX('Cohort Summary'!$G$5:$G$14,MATCH($A1451,'Cohort Summary'!$A$5:$A$14,0))</f>
        <v>0.786802030456853</v>
      </c>
      <c r="K1451" s="42" t="n">
        <f aca="false">(F1451-INDEX('Cohort Summary'!$H$5:$H$14,MATCH($A1451,'Cohort Summary'!$A$5:$A$14,0)))/INDEX('Cohort Summary'!$I$5:$I$14,MATCH($A1451,'Cohort Summary'!$A$5:$A$14,0))</f>
        <v>1.31292517006803</v>
      </c>
      <c r="L1451" s="42" t="n">
        <f aca="false">(G1451-INDEX('Cohort Summary'!$J$5:$J$14,MATCH($A1451,'Cohort Summary'!$A$5:$A$14,0)))/INDEX('Cohort Summary'!$K$5:$K$14,MATCH($A1451,'Cohort Summary'!$A$5:$A$14,0))</f>
        <v>-0.189655172413792</v>
      </c>
      <c r="M1451" s="42" t="n">
        <f aca="false">MAX(I1451:K1451)</f>
        <v>1.31292517006803</v>
      </c>
      <c r="N1451" s="27" t="s">
        <v>197</v>
      </c>
      <c r="O1451" s="27"/>
      <c r="P1451" s="27" t="str">
        <f aca="false">A1451&amp;"|"&amp;N1451</f>
        <v>NURSE-08|normal</v>
      </c>
    </row>
    <row r="1452" customFormat="false" ht="15" hidden="false" customHeight="true" outlineLevel="0" collapsed="false">
      <c r="A1452" s="27" t="s">
        <v>98</v>
      </c>
      <c r="B1452" s="41" t="n">
        <v>46303.3090277778</v>
      </c>
      <c r="C1452" s="27" t="s">
        <v>195</v>
      </c>
      <c r="D1452" s="27" t="n">
        <v>36.7</v>
      </c>
      <c r="E1452" s="27" t="n">
        <v>14.6</v>
      </c>
      <c r="F1452" s="27" t="n">
        <v>32.5</v>
      </c>
      <c r="G1452" s="27" t="n">
        <v>33.5</v>
      </c>
      <c r="H1452" s="27" t="s">
        <v>198</v>
      </c>
      <c r="I1452" s="42" t="n">
        <f aca="false">(D1452-INDEX('Cohort Summary'!$D$5:$D$14,MATCH($A1452,'Cohort Summary'!$A$5:$A$14,0)))/INDEX('Cohort Summary'!$E$5:$E$14,MATCH($A1452,'Cohort Summary'!$A$5:$A$14,0))</f>
        <v>-0.471428571428572</v>
      </c>
      <c r="J1452" s="42" t="n">
        <f aca="false">(E1452-INDEX('Cohort Summary'!$F$5:$F$14,MATCH($A1452,'Cohort Summary'!$A$5:$A$14,0)))/INDEX('Cohort Summary'!$G$5:$G$14,MATCH($A1452,'Cohort Summary'!$A$5:$A$14,0))</f>
        <v>-1.49746192893401</v>
      </c>
      <c r="K1452" s="42" t="n">
        <f aca="false">(F1452-INDEX('Cohort Summary'!$H$5:$H$14,MATCH($A1452,'Cohort Summary'!$A$5:$A$14,0)))/INDEX('Cohort Summary'!$I$5:$I$14,MATCH($A1452,'Cohort Summary'!$A$5:$A$14,0))</f>
        <v>0.496598639455783</v>
      </c>
      <c r="L1452" s="42" t="n">
        <f aca="false">(G1452-INDEX('Cohort Summary'!$J$5:$J$14,MATCH($A1452,'Cohort Summary'!$A$5:$A$14,0)))/INDEX('Cohort Summary'!$K$5:$K$14,MATCH($A1452,'Cohort Summary'!$A$5:$A$14,0))</f>
        <v>1.18965517241379</v>
      </c>
      <c r="M1452" s="42" t="n">
        <f aca="false">MAX(I1452:K1452)</f>
        <v>0.496598639455783</v>
      </c>
      <c r="N1452" s="27" t="s">
        <v>197</v>
      </c>
      <c r="O1452" s="27"/>
      <c r="P1452" s="27" t="str">
        <f aca="false">A1452&amp;"|"&amp;N1452</f>
        <v>NURSE-08|normal</v>
      </c>
    </row>
    <row r="1453" customFormat="false" ht="15" hidden="false" customHeight="true" outlineLevel="0" collapsed="false">
      <c r="A1453" s="27" t="s">
        <v>98</v>
      </c>
      <c r="B1453" s="41" t="n">
        <v>46303.309375</v>
      </c>
      <c r="C1453" s="27" t="s">
        <v>195</v>
      </c>
      <c r="D1453" s="27" t="n">
        <v>39</v>
      </c>
      <c r="E1453" s="27" t="n">
        <v>19.5</v>
      </c>
      <c r="F1453" s="27" t="n">
        <v>27.3</v>
      </c>
      <c r="G1453" s="27" t="n">
        <v>32.4</v>
      </c>
      <c r="H1453" s="27" t="s">
        <v>196</v>
      </c>
      <c r="I1453" s="42" t="n">
        <f aca="false">(D1453-INDEX('Cohort Summary'!$D$5:$D$14,MATCH($A1453,'Cohort Summary'!$A$5:$A$14,0)))/INDEX('Cohort Summary'!$E$5:$E$14,MATCH($A1453,'Cohort Summary'!$A$5:$A$14,0))</f>
        <v>0.349999999999999</v>
      </c>
      <c r="J1453" s="42" t="n">
        <f aca="false">(E1453-INDEX('Cohort Summary'!$F$5:$F$14,MATCH($A1453,'Cohort Summary'!$A$5:$A$14,0)))/INDEX('Cohort Summary'!$G$5:$G$14,MATCH($A1453,'Cohort Summary'!$A$5:$A$14,0))</f>
        <v>0.98984771573604</v>
      </c>
      <c r="K1453" s="42" t="n">
        <f aca="false">(F1453-INDEX('Cohort Summary'!$H$5:$H$14,MATCH($A1453,'Cohort Summary'!$A$5:$A$14,0)))/INDEX('Cohort Summary'!$I$5:$I$14,MATCH($A1453,'Cohort Summary'!$A$5:$A$14,0))</f>
        <v>-1.27210884353741</v>
      </c>
      <c r="L1453" s="42" t="n">
        <f aca="false">(G1453-INDEX('Cohort Summary'!$J$5:$J$14,MATCH($A1453,'Cohort Summary'!$A$5:$A$14,0)))/INDEX('Cohort Summary'!$K$5:$K$14,MATCH($A1453,'Cohort Summary'!$A$5:$A$14,0))</f>
        <v>-0.706896551724144</v>
      </c>
      <c r="M1453" s="42" t="n">
        <f aca="false">MAX(I1453:K1453)</f>
        <v>0.98984771573604</v>
      </c>
      <c r="N1453" s="27" t="s">
        <v>197</v>
      </c>
      <c r="O1453" s="27"/>
      <c r="P1453" s="27" t="str">
        <f aca="false">A1453&amp;"|"&amp;N1453</f>
        <v>NURSE-08|normal</v>
      </c>
    </row>
    <row r="1454" customFormat="false" ht="15" hidden="false" customHeight="true" outlineLevel="0" collapsed="false">
      <c r="A1454" s="27" t="s">
        <v>98</v>
      </c>
      <c r="B1454" s="41" t="n">
        <v>46303.3097222222</v>
      </c>
      <c r="C1454" s="27" t="s">
        <v>195</v>
      </c>
      <c r="D1454" s="27" t="n">
        <v>42.7</v>
      </c>
      <c r="E1454" s="27" t="n">
        <v>17.5</v>
      </c>
      <c r="F1454" s="27" t="n">
        <v>27.6</v>
      </c>
      <c r="G1454" s="27" t="n">
        <v>33.6</v>
      </c>
      <c r="H1454" s="27" t="s">
        <v>196</v>
      </c>
      <c r="I1454" s="42" t="n">
        <f aca="false">(D1454-INDEX('Cohort Summary'!$D$5:$D$14,MATCH($A1454,'Cohort Summary'!$A$5:$A$14,0)))/INDEX('Cohort Summary'!$E$5:$E$14,MATCH($A1454,'Cohort Summary'!$A$5:$A$14,0))</f>
        <v>1.67142857142857</v>
      </c>
      <c r="J1454" s="42" t="n">
        <f aca="false">(E1454-INDEX('Cohort Summary'!$F$5:$F$14,MATCH($A1454,'Cohort Summary'!$A$5:$A$14,0)))/INDEX('Cohort Summary'!$G$5:$G$14,MATCH($A1454,'Cohort Summary'!$A$5:$A$14,0))</f>
        <v>-0.0253807106598988</v>
      </c>
      <c r="K1454" s="42" t="n">
        <f aca="false">(F1454-INDEX('Cohort Summary'!$H$5:$H$14,MATCH($A1454,'Cohort Summary'!$A$5:$A$14,0)))/INDEX('Cohort Summary'!$I$5:$I$14,MATCH($A1454,'Cohort Summary'!$A$5:$A$14,0))</f>
        <v>-1.17006802721088</v>
      </c>
      <c r="L1454" s="42" t="n">
        <f aca="false">(G1454-INDEX('Cohort Summary'!$J$5:$J$14,MATCH($A1454,'Cohort Summary'!$A$5:$A$14,0)))/INDEX('Cohort Summary'!$K$5:$K$14,MATCH($A1454,'Cohort Summary'!$A$5:$A$14,0))</f>
        <v>1.36206896551724</v>
      </c>
      <c r="M1454" s="42" t="n">
        <f aca="false">MAX(I1454:K1454)</f>
        <v>1.67142857142857</v>
      </c>
      <c r="N1454" s="27" t="s">
        <v>197</v>
      </c>
      <c r="O1454" s="27"/>
      <c r="P1454" s="27" t="str">
        <f aca="false">A1454&amp;"|"&amp;N1454</f>
        <v>NURSE-08|normal</v>
      </c>
    </row>
    <row r="1455" customFormat="false" ht="15" hidden="false" customHeight="true" outlineLevel="0" collapsed="false">
      <c r="A1455" s="27" t="s">
        <v>98</v>
      </c>
      <c r="B1455" s="41" t="n">
        <v>46303.3100694444</v>
      </c>
      <c r="C1455" s="27" t="s">
        <v>195</v>
      </c>
      <c r="D1455" s="27" t="n">
        <v>34.6</v>
      </c>
      <c r="E1455" s="27" t="n">
        <v>18.6</v>
      </c>
      <c r="F1455" s="27" t="n">
        <v>29.2</v>
      </c>
      <c r="G1455" s="27" t="n">
        <v>32.1</v>
      </c>
      <c r="H1455" s="27" t="s">
        <v>198</v>
      </c>
      <c r="I1455" s="42" t="n">
        <f aca="false">(D1455-INDEX('Cohort Summary'!$D$5:$D$14,MATCH($A1455,'Cohort Summary'!$A$5:$A$14,0)))/INDEX('Cohort Summary'!$E$5:$E$14,MATCH($A1455,'Cohort Summary'!$A$5:$A$14,0))</f>
        <v>-1.22142857142857</v>
      </c>
      <c r="J1455" s="42" t="n">
        <f aca="false">(E1455-INDEX('Cohort Summary'!$F$5:$F$14,MATCH($A1455,'Cohort Summary'!$A$5:$A$14,0)))/INDEX('Cohort Summary'!$G$5:$G$14,MATCH($A1455,'Cohort Summary'!$A$5:$A$14,0))</f>
        <v>0.532994923857868</v>
      </c>
      <c r="K1455" s="42" t="n">
        <f aca="false">(F1455-INDEX('Cohort Summary'!$H$5:$H$14,MATCH($A1455,'Cohort Summary'!$A$5:$A$14,0)))/INDEX('Cohort Summary'!$I$5:$I$14,MATCH($A1455,'Cohort Summary'!$A$5:$A$14,0))</f>
        <v>-0.625850340136054</v>
      </c>
      <c r="L1455" s="42" t="n">
        <f aca="false">(G1455-INDEX('Cohort Summary'!$J$5:$J$14,MATCH($A1455,'Cohort Summary'!$A$5:$A$14,0)))/INDEX('Cohort Summary'!$K$5:$K$14,MATCH($A1455,'Cohort Summary'!$A$5:$A$14,0))</f>
        <v>-1.22413793103448</v>
      </c>
      <c r="M1455" s="42" t="n">
        <f aca="false">MAX(I1455:K1455)</f>
        <v>0.532994923857868</v>
      </c>
      <c r="N1455" s="27" t="s">
        <v>197</v>
      </c>
      <c r="O1455" s="27"/>
      <c r="P1455" s="27" t="str">
        <f aca="false">A1455&amp;"|"&amp;N1455</f>
        <v>NURSE-08|normal</v>
      </c>
    </row>
    <row r="1456" customFormat="false" ht="15" hidden="false" customHeight="true" outlineLevel="0" collapsed="false">
      <c r="A1456" s="27" t="s">
        <v>98</v>
      </c>
      <c r="B1456" s="41" t="n">
        <v>46303.3104166667</v>
      </c>
      <c r="C1456" s="27" t="s">
        <v>195</v>
      </c>
      <c r="D1456" s="27" t="n">
        <v>37.5</v>
      </c>
      <c r="E1456" s="27" t="n">
        <v>15.3</v>
      </c>
      <c r="F1456" s="27" t="n">
        <v>29</v>
      </c>
      <c r="G1456" s="27" t="n">
        <v>32.1</v>
      </c>
      <c r="H1456" s="27" t="s">
        <v>199</v>
      </c>
      <c r="I1456" s="42" t="n">
        <f aca="false">(D1456-INDEX('Cohort Summary'!$D$5:$D$14,MATCH($A1456,'Cohort Summary'!$A$5:$A$14,0)))/INDEX('Cohort Summary'!$E$5:$E$14,MATCH($A1456,'Cohort Summary'!$A$5:$A$14,0))</f>
        <v>-0.185714285714287</v>
      </c>
      <c r="J1456" s="42" t="n">
        <f aca="false">(E1456-INDEX('Cohort Summary'!$F$5:$F$14,MATCH($A1456,'Cohort Summary'!$A$5:$A$14,0)))/INDEX('Cohort Summary'!$G$5:$G$14,MATCH($A1456,'Cohort Summary'!$A$5:$A$14,0))</f>
        <v>-1.14213197969543</v>
      </c>
      <c r="K1456" s="42" t="n">
        <f aca="false">(F1456-INDEX('Cohort Summary'!$H$5:$H$14,MATCH($A1456,'Cohort Summary'!$A$5:$A$14,0)))/INDEX('Cohort Summary'!$I$5:$I$14,MATCH($A1456,'Cohort Summary'!$A$5:$A$14,0))</f>
        <v>-0.693877551020408</v>
      </c>
      <c r="L1456" s="42" t="n">
        <f aca="false">(G1456-INDEX('Cohort Summary'!$J$5:$J$14,MATCH($A1456,'Cohort Summary'!$A$5:$A$14,0)))/INDEX('Cohort Summary'!$K$5:$K$14,MATCH($A1456,'Cohort Summary'!$A$5:$A$14,0))</f>
        <v>-1.22413793103448</v>
      </c>
      <c r="M1456" s="42" t="n">
        <f aca="false">MAX(I1456:K1456)</f>
        <v>-0.185714285714287</v>
      </c>
      <c r="N1456" s="27" t="s">
        <v>197</v>
      </c>
      <c r="O1456" s="27"/>
      <c r="P1456" s="27" t="str">
        <f aca="false">A1456&amp;"|"&amp;N1456</f>
        <v>NURSE-08|normal</v>
      </c>
    </row>
    <row r="1457" customFormat="false" ht="15" hidden="false" customHeight="true" outlineLevel="0" collapsed="false">
      <c r="A1457" s="27" t="s">
        <v>98</v>
      </c>
      <c r="B1457" s="41" t="n">
        <v>46303.3107638889</v>
      </c>
      <c r="C1457" s="27" t="s">
        <v>195</v>
      </c>
      <c r="D1457" s="27" t="n">
        <v>38.5</v>
      </c>
      <c r="E1457" s="27" t="n">
        <v>16.8</v>
      </c>
      <c r="F1457" s="27" t="n">
        <v>34</v>
      </c>
      <c r="G1457" s="27" t="n">
        <v>32</v>
      </c>
      <c r="H1457" s="27" t="s">
        <v>199</v>
      </c>
      <c r="I1457" s="42" t="n">
        <f aca="false">(D1457-INDEX('Cohort Summary'!$D$5:$D$14,MATCH($A1457,'Cohort Summary'!$A$5:$A$14,0)))/INDEX('Cohort Summary'!$E$5:$E$14,MATCH($A1457,'Cohort Summary'!$A$5:$A$14,0))</f>
        <v>0.17142857142857</v>
      </c>
      <c r="J1457" s="42" t="n">
        <f aca="false">(E1457-INDEX('Cohort Summary'!$F$5:$F$14,MATCH($A1457,'Cohort Summary'!$A$5:$A$14,0)))/INDEX('Cohort Summary'!$G$5:$G$14,MATCH($A1457,'Cohort Summary'!$A$5:$A$14,0))</f>
        <v>-0.380710659898477</v>
      </c>
      <c r="K1457" s="42" t="n">
        <f aca="false">(F1457-INDEX('Cohort Summary'!$H$5:$H$14,MATCH($A1457,'Cohort Summary'!$A$5:$A$14,0)))/INDEX('Cohort Summary'!$I$5:$I$14,MATCH($A1457,'Cohort Summary'!$A$5:$A$14,0))</f>
        <v>1.00680272108844</v>
      </c>
      <c r="L1457" s="42" t="n">
        <f aca="false">(G1457-INDEX('Cohort Summary'!$J$5:$J$14,MATCH($A1457,'Cohort Summary'!$A$5:$A$14,0)))/INDEX('Cohort Summary'!$K$5:$K$14,MATCH($A1457,'Cohort Summary'!$A$5:$A$14,0))</f>
        <v>-1.39655172413794</v>
      </c>
      <c r="M1457" s="42" t="n">
        <f aca="false">MAX(I1457:K1457)</f>
        <v>1.00680272108844</v>
      </c>
      <c r="N1457" s="27" t="s">
        <v>197</v>
      </c>
      <c r="O1457" s="27"/>
      <c r="P1457" s="27" t="str">
        <f aca="false">A1457&amp;"|"&amp;N1457</f>
        <v>NURSE-08|normal</v>
      </c>
    </row>
    <row r="1458" customFormat="false" ht="15" hidden="false" customHeight="true" outlineLevel="0" collapsed="false">
      <c r="A1458" s="27" t="s">
        <v>98</v>
      </c>
      <c r="B1458" s="41" t="n">
        <v>46303.3111111111</v>
      </c>
      <c r="C1458" s="27" t="s">
        <v>195</v>
      </c>
      <c r="D1458" s="27" t="n">
        <v>39.1</v>
      </c>
      <c r="E1458" s="27" t="n">
        <v>17.2</v>
      </c>
      <c r="F1458" s="27" t="n">
        <v>33.5</v>
      </c>
      <c r="G1458" s="27" t="n">
        <v>32</v>
      </c>
      <c r="H1458" s="27" t="s">
        <v>196</v>
      </c>
      <c r="I1458" s="42" t="n">
        <f aca="false">(D1458-INDEX('Cohort Summary'!$D$5:$D$14,MATCH($A1458,'Cohort Summary'!$A$5:$A$14,0)))/INDEX('Cohort Summary'!$E$5:$E$14,MATCH($A1458,'Cohort Summary'!$A$5:$A$14,0))</f>
        <v>0.385714285714285</v>
      </c>
      <c r="J1458" s="42" t="n">
        <f aca="false">(E1458-INDEX('Cohort Summary'!$F$5:$F$14,MATCH($A1458,'Cohort Summary'!$A$5:$A$14,0)))/INDEX('Cohort Summary'!$G$5:$G$14,MATCH($A1458,'Cohort Summary'!$A$5:$A$14,0))</f>
        <v>-0.17766497461929</v>
      </c>
      <c r="K1458" s="42" t="n">
        <f aca="false">(F1458-INDEX('Cohort Summary'!$H$5:$H$14,MATCH($A1458,'Cohort Summary'!$A$5:$A$14,0)))/INDEX('Cohort Summary'!$I$5:$I$14,MATCH($A1458,'Cohort Summary'!$A$5:$A$14,0))</f>
        <v>0.836734693877551</v>
      </c>
      <c r="L1458" s="42" t="n">
        <f aca="false">(G1458-INDEX('Cohort Summary'!$J$5:$J$14,MATCH($A1458,'Cohort Summary'!$A$5:$A$14,0)))/INDEX('Cohort Summary'!$K$5:$K$14,MATCH($A1458,'Cohort Summary'!$A$5:$A$14,0))</f>
        <v>-1.39655172413794</v>
      </c>
      <c r="M1458" s="42" t="n">
        <f aca="false">MAX(I1458:K1458)</f>
        <v>0.836734693877551</v>
      </c>
      <c r="N1458" s="27" t="s">
        <v>197</v>
      </c>
      <c r="O1458" s="27"/>
      <c r="P1458" s="27" t="str">
        <f aca="false">A1458&amp;"|"&amp;N1458</f>
        <v>NURSE-08|normal</v>
      </c>
    </row>
    <row r="1459" customFormat="false" ht="15" hidden="false" customHeight="true" outlineLevel="0" collapsed="false">
      <c r="A1459" s="27" t="s">
        <v>98</v>
      </c>
      <c r="B1459" s="41" t="n">
        <v>46303.3114583333</v>
      </c>
      <c r="C1459" s="27" t="s">
        <v>195</v>
      </c>
      <c r="D1459" s="27" t="n">
        <v>38.5</v>
      </c>
      <c r="E1459" s="27" t="n">
        <v>18.4</v>
      </c>
      <c r="F1459" s="27" t="n">
        <v>34.7</v>
      </c>
      <c r="G1459" s="27" t="n">
        <v>32.9</v>
      </c>
      <c r="H1459" s="27" t="s">
        <v>196</v>
      </c>
      <c r="I1459" s="42" t="n">
        <f aca="false">(D1459-INDEX('Cohort Summary'!$D$5:$D$14,MATCH($A1459,'Cohort Summary'!$A$5:$A$14,0)))/INDEX('Cohort Summary'!$E$5:$E$14,MATCH($A1459,'Cohort Summary'!$A$5:$A$14,0))</f>
        <v>0.17142857142857</v>
      </c>
      <c r="J1459" s="42" t="n">
        <f aca="false">(E1459-INDEX('Cohort Summary'!$F$5:$F$14,MATCH($A1459,'Cohort Summary'!$A$5:$A$14,0)))/INDEX('Cohort Summary'!$G$5:$G$14,MATCH($A1459,'Cohort Summary'!$A$5:$A$14,0))</f>
        <v>0.431472081218273</v>
      </c>
      <c r="K1459" s="42" t="n">
        <f aca="false">(F1459-INDEX('Cohort Summary'!$H$5:$H$14,MATCH($A1459,'Cohort Summary'!$A$5:$A$14,0)))/INDEX('Cohort Summary'!$I$5:$I$14,MATCH($A1459,'Cohort Summary'!$A$5:$A$14,0))</f>
        <v>1.24489795918367</v>
      </c>
      <c r="L1459" s="42" t="n">
        <f aca="false">(G1459-INDEX('Cohort Summary'!$J$5:$J$14,MATCH($A1459,'Cohort Summary'!$A$5:$A$14,0)))/INDEX('Cohort Summary'!$K$5:$K$14,MATCH($A1459,'Cohort Summary'!$A$5:$A$14,0))</f>
        <v>0.155172413793097</v>
      </c>
      <c r="M1459" s="42" t="n">
        <f aca="false">MAX(I1459:K1459)</f>
        <v>1.24489795918367</v>
      </c>
      <c r="N1459" s="27" t="s">
        <v>197</v>
      </c>
      <c r="O1459" s="27"/>
      <c r="P1459" s="27" t="str">
        <f aca="false">A1459&amp;"|"&amp;N1459</f>
        <v>NURSE-08|normal</v>
      </c>
    </row>
    <row r="1460" customFormat="false" ht="15" hidden="false" customHeight="true" outlineLevel="0" collapsed="false">
      <c r="A1460" s="27" t="s">
        <v>98</v>
      </c>
      <c r="B1460" s="41" t="n">
        <v>46303.3118055556</v>
      </c>
      <c r="C1460" s="27" t="s">
        <v>195</v>
      </c>
      <c r="D1460" s="27" t="n">
        <v>34</v>
      </c>
      <c r="E1460" s="27" t="n">
        <v>20.1</v>
      </c>
      <c r="F1460" s="27" t="n">
        <v>29.2</v>
      </c>
      <c r="G1460" s="27" t="n">
        <v>32.6</v>
      </c>
      <c r="H1460" s="27" t="s">
        <v>196</v>
      </c>
      <c r="I1460" s="42" t="n">
        <f aca="false">(D1460-INDEX('Cohort Summary'!$D$5:$D$14,MATCH($A1460,'Cohort Summary'!$A$5:$A$14,0)))/INDEX('Cohort Summary'!$E$5:$E$14,MATCH($A1460,'Cohort Summary'!$A$5:$A$14,0))</f>
        <v>-1.43571428571429</v>
      </c>
      <c r="J1460" s="42" t="n">
        <f aca="false">(E1460-INDEX('Cohort Summary'!$F$5:$F$14,MATCH($A1460,'Cohort Summary'!$A$5:$A$14,0)))/INDEX('Cohort Summary'!$G$5:$G$14,MATCH($A1460,'Cohort Summary'!$A$5:$A$14,0))</f>
        <v>1.29441624365482</v>
      </c>
      <c r="K1460" s="42" t="n">
        <f aca="false">(F1460-INDEX('Cohort Summary'!$H$5:$H$14,MATCH($A1460,'Cohort Summary'!$A$5:$A$14,0)))/INDEX('Cohort Summary'!$I$5:$I$14,MATCH($A1460,'Cohort Summary'!$A$5:$A$14,0))</f>
        <v>-0.625850340136054</v>
      </c>
      <c r="L1460" s="42" t="n">
        <f aca="false">(G1460-INDEX('Cohort Summary'!$J$5:$J$14,MATCH($A1460,'Cohort Summary'!$A$5:$A$14,0)))/INDEX('Cohort Summary'!$K$5:$K$14,MATCH($A1460,'Cohort Summary'!$A$5:$A$14,0))</f>
        <v>-0.362068965517243</v>
      </c>
      <c r="M1460" s="42" t="n">
        <f aca="false">MAX(I1460:K1460)</f>
        <v>1.29441624365482</v>
      </c>
      <c r="N1460" s="27" t="s">
        <v>197</v>
      </c>
      <c r="O1460" s="27"/>
      <c r="P1460" s="27" t="str">
        <f aca="false">A1460&amp;"|"&amp;N1460</f>
        <v>NURSE-08|normal</v>
      </c>
    </row>
    <row r="1461" customFormat="false" ht="15" hidden="false" customHeight="true" outlineLevel="0" collapsed="false">
      <c r="A1461" s="27" t="s">
        <v>98</v>
      </c>
      <c r="B1461" s="41" t="n">
        <v>46303.3121527778</v>
      </c>
      <c r="C1461" s="27" t="s">
        <v>195</v>
      </c>
      <c r="D1461" s="27" t="n">
        <v>34</v>
      </c>
      <c r="E1461" s="27" t="n">
        <v>15.3</v>
      </c>
      <c r="F1461" s="27" t="n">
        <v>35.4</v>
      </c>
      <c r="G1461" s="27" t="n">
        <v>32.6</v>
      </c>
      <c r="H1461" s="27" t="s">
        <v>199</v>
      </c>
      <c r="I1461" s="42" t="n">
        <f aca="false">(D1461-INDEX('Cohort Summary'!$D$5:$D$14,MATCH($A1461,'Cohort Summary'!$A$5:$A$14,0)))/INDEX('Cohort Summary'!$E$5:$E$14,MATCH($A1461,'Cohort Summary'!$A$5:$A$14,0))</f>
        <v>-1.43571428571429</v>
      </c>
      <c r="J1461" s="42" t="n">
        <f aca="false">(E1461-INDEX('Cohort Summary'!$F$5:$F$14,MATCH($A1461,'Cohort Summary'!$A$5:$A$14,0)))/INDEX('Cohort Summary'!$G$5:$G$14,MATCH($A1461,'Cohort Summary'!$A$5:$A$14,0))</f>
        <v>-1.14213197969543</v>
      </c>
      <c r="K1461" s="42" t="n">
        <f aca="false">(F1461-INDEX('Cohort Summary'!$H$5:$H$14,MATCH($A1461,'Cohort Summary'!$A$5:$A$14,0)))/INDEX('Cohort Summary'!$I$5:$I$14,MATCH($A1461,'Cohort Summary'!$A$5:$A$14,0))</f>
        <v>1.48299319727891</v>
      </c>
      <c r="L1461" s="42" t="n">
        <f aca="false">(G1461-INDEX('Cohort Summary'!$J$5:$J$14,MATCH($A1461,'Cohort Summary'!$A$5:$A$14,0)))/INDEX('Cohort Summary'!$K$5:$K$14,MATCH($A1461,'Cohort Summary'!$A$5:$A$14,0))</f>
        <v>-0.362068965517243</v>
      </c>
      <c r="M1461" s="42" t="n">
        <f aca="false">MAX(I1461:K1461)</f>
        <v>1.48299319727891</v>
      </c>
      <c r="N1461" s="27" t="s">
        <v>197</v>
      </c>
      <c r="O1461" s="27"/>
      <c r="P1461" s="27" t="str">
        <f aca="false">A1461&amp;"|"&amp;N1461</f>
        <v>NURSE-08|normal</v>
      </c>
    </row>
    <row r="1462" customFormat="false" ht="15" hidden="false" customHeight="true" outlineLevel="0" collapsed="false">
      <c r="A1462" s="27" t="s">
        <v>98</v>
      </c>
      <c r="B1462" s="41" t="n">
        <v>46303.3125</v>
      </c>
      <c r="C1462" s="27" t="s">
        <v>200</v>
      </c>
      <c r="D1462" s="27" t="n">
        <v>36.2</v>
      </c>
      <c r="E1462" s="27" t="n">
        <v>15</v>
      </c>
      <c r="F1462" s="27" t="n">
        <v>33.6</v>
      </c>
      <c r="G1462" s="27" t="n">
        <v>33.2</v>
      </c>
      <c r="H1462" s="27" t="s">
        <v>199</v>
      </c>
      <c r="I1462" s="42" t="n">
        <f aca="false">(D1462-INDEX('Cohort Summary'!$D$5:$D$14,MATCH($A1462,'Cohort Summary'!$A$5:$A$14,0)))/INDEX('Cohort Summary'!$E$5:$E$14,MATCH($A1462,'Cohort Summary'!$A$5:$A$14,0))</f>
        <v>-0.65</v>
      </c>
      <c r="J1462" s="42" t="n">
        <f aca="false">(E1462-INDEX('Cohort Summary'!$F$5:$F$14,MATCH($A1462,'Cohort Summary'!$A$5:$A$14,0)))/INDEX('Cohort Summary'!$G$5:$G$14,MATCH($A1462,'Cohort Summary'!$A$5:$A$14,0))</f>
        <v>-1.29441624365482</v>
      </c>
      <c r="K1462" s="42" t="n">
        <f aca="false">(F1462-INDEX('Cohort Summary'!$H$5:$H$14,MATCH($A1462,'Cohort Summary'!$A$5:$A$14,0)))/INDEX('Cohort Summary'!$I$5:$I$14,MATCH($A1462,'Cohort Summary'!$A$5:$A$14,0))</f>
        <v>0.870748299319729</v>
      </c>
      <c r="L1462" s="42" t="n">
        <f aca="false">(G1462-INDEX('Cohort Summary'!$J$5:$J$14,MATCH($A1462,'Cohort Summary'!$A$5:$A$14,0)))/INDEX('Cohort Summary'!$K$5:$K$14,MATCH($A1462,'Cohort Summary'!$A$5:$A$14,0))</f>
        <v>0.672413793103449</v>
      </c>
      <c r="M1462" s="42" t="n">
        <f aca="false">MAX(I1462:K1462)</f>
        <v>0.870748299319729</v>
      </c>
      <c r="N1462" s="27" t="s">
        <v>197</v>
      </c>
      <c r="O1462" s="27"/>
      <c r="P1462" s="27" t="str">
        <f aca="false">A1462&amp;"|"&amp;N1462</f>
        <v>NURSE-08|normal</v>
      </c>
    </row>
    <row r="1463" customFormat="false" ht="15" hidden="false" customHeight="true" outlineLevel="0" collapsed="false">
      <c r="A1463" s="27" t="s">
        <v>98</v>
      </c>
      <c r="B1463" s="41" t="n">
        <v>46303.3128472222</v>
      </c>
      <c r="C1463" s="27" t="s">
        <v>200</v>
      </c>
      <c r="D1463" s="27" t="n">
        <v>36.5</v>
      </c>
      <c r="E1463" s="27" t="n">
        <v>18.6</v>
      </c>
      <c r="F1463" s="27" t="n">
        <v>35.2</v>
      </c>
      <c r="G1463" s="27" t="n">
        <v>32.7</v>
      </c>
      <c r="H1463" s="27" t="s">
        <v>196</v>
      </c>
      <c r="I1463" s="42" t="n">
        <f aca="false">(D1463-INDEX('Cohort Summary'!$D$5:$D$14,MATCH($A1463,'Cohort Summary'!$A$5:$A$14,0)))/INDEX('Cohort Summary'!$E$5:$E$14,MATCH($A1463,'Cohort Summary'!$A$5:$A$14,0))</f>
        <v>-0.542857142857144</v>
      </c>
      <c r="J1463" s="42" t="n">
        <f aca="false">(E1463-INDEX('Cohort Summary'!$F$5:$F$14,MATCH($A1463,'Cohort Summary'!$A$5:$A$14,0)))/INDEX('Cohort Summary'!$G$5:$G$14,MATCH($A1463,'Cohort Summary'!$A$5:$A$14,0))</f>
        <v>0.532994923857868</v>
      </c>
      <c r="K1463" s="42" t="n">
        <f aca="false">(F1463-INDEX('Cohort Summary'!$H$5:$H$14,MATCH($A1463,'Cohort Summary'!$A$5:$A$14,0)))/INDEX('Cohort Summary'!$I$5:$I$14,MATCH($A1463,'Cohort Summary'!$A$5:$A$14,0))</f>
        <v>1.41496598639456</v>
      </c>
      <c r="L1463" s="42" t="n">
        <f aca="false">(G1463-INDEX('Cohort Summary'!$J$5:$J$14,MATCH($A1463,'Cohort Summary'!$A$5:$A$14,0)))/INDEX('Cohort Summary'!$K$5:$K$14,MATCH($A1463,'Cohort Summary'!$A$5:$A$14,0))</f>
        <v>-0.189655172413792</v>
      </c>
      <c r="M1463" s="42" t="n">
        <f aca="false">MAX(I1463:K1463)</f>
        <v>1.41496598639456</v>
      </c>
      <c r="N1463" s="27" t="s">
        <v>197</v>
      </c>
      <c r="O1463" s="27"/>
      <c r="P1463" s="27" t="str">
        <f aca="false">A1463&amp;"|"&amp;N1463</f>
        <v>NURSE-08|normal</v>
      </c>
    </row>
    <row r="1464" customFormat="false" ht="15" hidden="false" customHeight="true" outlineLevel="0" collapsed="false">
      <c r="A1464" s="27" t="s">
        <v>98</v>
      </c>
      <c r="B1464" s="41" t="n">
        <v>46303.3131944445</v>
      </c>
      <c r="C1464" s="27" t="s">
        <v>200</v>
      </c>
      <c r="D1464" s="27" t="n">
        <v>41.1</v>
      </c>
      <c r="E1464" s="27" t="n">
        <v>16.4</v>
      </c>
      <c r="F1464" s="27" t="n">
        <v>29.2</v>
      </c>
      <c r="G1464" s="27" t="n">
        <v>32.8</v>
      </c>
      <c r="H1464" s="27" t="s">
        <v>196</v>
      </c>
      <c r="I1464" s="42" t="n">
        <f aca="false">(D1464-INDEX('Cohort Summary'!$D$5:$D$14,MATCH($A1464,'Cohort Summary'!$A$5:$A$14,0)))/INDEX('Cohort Summary'!$E$5:$E$14,MATCH($A1464,'Cohort Summary'!$A$5:$A$14,0))</f>
        <v>1.1</v>
      </c>
      <c r="J1464" s="42" t="n">
        <f aca="false">(E1464-INDEX('Cohort Summary'!$F$5:$F$14,MATCH($A1464,'Cohort Summary'!$A$5:$A$14,0)))/INDEX('Cohort Summary'!$G$5:$G$14,MATCH($A1464,'Cohort Summary'!$A$5:$A$14,0))</f>
        <v>-0.583756345177666</v>
      </c>
      <c r="K1464" s="42" t="n">
        <f aca="false">(F1464-INDEX('Cohort Summary'!$H$5:$H$14,MATCH($A1464,'Cohort Summary'!$A$5:$A$14,0)))/INDEX('Cohort Summary'!$I$5:$I$14,MATCH($A1464,'Cohort Summary'!$A$5:$A$14,0))</f>
        <v>-0.625850340136054</v>
      </c>
      <c r="L1464" s="42" t="n">
        <f aca="false">(G1464-INDEX('Cohort Summary'!$J$5:$J$14,MATCH($A1464,'Cohort Summary'!$A$5:$A$14,0)))/INDEX('Cohort Summary'!$K$5:$K$14,MATCH($A1464,'Cohort Summary'!$A$5:$A$14,0))</f>
        <v>-0.0172413793103537</v>
      </c>
      <c r="M1464" s="42" t="n">
        <f aca="false">MAX(I1464:K1464)</f>
        <v>1.1</v>
      </c>
      <c r="N1464" s="27" t="s">
        <v>197</v>
      </c>
      <c r="O1464" s="27"/>
      <c r="P1464" s="27" t="str">
        <f aca="false">A1464&amp;"|"&amp;N1464</f>
        <v>NURSE-08|normal</v>
      </c>
    </row>
    <row r="1465" customFormat="false" ht="15" hidden="false" customHeight="true" outlineLevel="0" collapsed="false">
      <c r="A1465" s="27" t="s">
        <v>98</v>
      </c>
      <c r="B1465" s="41" t="n">
        <v>46303.3135416667</v>
      </c>
      <c r="C1465" s="27" t="s">
        <v>200</v>
      </c>
      <c r="D1465" s="27" t="n">
        <v>36.1</v>
      </c>
      <c r="E1465" s="27" t="n">
        <v>14.4</v>
      </c>
      <c r="F1465" s="27" t="n">
        <v>33.1</v>
      </c>
      <c r="G1465" s="27" t="n">
        <v>32.9</v>
      </c>
      <c r="H1465" s="27" t="s">
        <v>196</v>
      </c>
      <c r="I1465" s="42" t="n">
        <f aca="false">(D1465-INDEX('Cohort Summary'!$D$5:$D$14,MATCH($A1465,'Cohort Summary'!$A$5:$A$14,0)))/INDEX('Cohort Summary'!$E$5:$E$14,MATCH($A1465,'Cohort Summary'!$A$5:$A$14,0))</f>
        <v>-0.685714285714286</v>
      </c>
      <c r="J1465" s="42" t="n">
        <f aca="false">(E1465-INDEX('Cohort Summary'!$F$5:$F$14,MATCH($A1465,'Cohort Summary'!$A$5:$A$14,0)))/INDEX('Cohort Summary'!$G$5:$G$14,MATCH($A1465,'Cohort Summary'!$A$5:$A$14,0))</f>
        <v>-1.5989847715736</v>
      </c>
      <c r="K1465" s="42" t="n">
        <f aca="false">(F1465-INDEX('Cohort Summary'!$H$5:$H$14,MATCH($A1465,'Cohort Summary'!$A$5:$A$14,0)))/INDEX('Cohort Summary'!$I$5:$I$14,MATCH($A1465,'Cohort Summary'!$A$5:$A$14,0))</f>
        <v>0.700680272108844</v>
      </c>
      <c r="L1465" s="42" t="n">
        <f aca="false">(G1465-INDEX('Cohort Summary'!$J$5:$J$14,MATCH($A1465,'Cohort Summary'!$A$5:$A$14,0)))/INDEX('Cohort Summary'!$K$5:$K$14,MATCH($A1465,'Cohort Summary'!$A$5:$A$14,0))</f>
        <v>0.155172413793097</v>
      </c>
      <c r="M1465" s="42" t="n">
        <f aca="false">MAX(I1465:K1465)</f>
        <v>0.700680272108844</v>
      </c>
      <c r="N1465" s="27" t="s">
        <v>197</v>
      </c>
      <c r="O1465" s="27"/>
      <c r="P1465" s="27" t="str">
        <f aca="false">A1465&amp;"|"&amp;N1465</f>
        <v>NURSE-08|normal</v>
      </c>
    </row>
    <row r="1466" customFormat="false" ht="15" hidden="false" customHeight="true" outlineLevel="0" collapsed="false">
      <c r="A1466" s="27" t="s">
        <v>98</v>
      </c>
      <c r="B1466" s="41" t="n">
        <v>46303.3138888889</v>
      </c>
      <c r="C1466" s="27" t="s">
        <v>200</v>
      </c>
      <c r="D1466" s="27" t="n">
        <v>41.6</v>
      </c>
      <c r="E1466" s="27" t="n">
        <v>19.3</v>
      </c>
      <c r="F1466" s="27" t="n">
        <v>31.6</v>
      </c>
      <c r="G1466" s="27" t="n">
        <v>32.5</v>
      </c>
      <c r="H1466" s="27" t="s">
        <v>199</v>
      </c>
      <c r="I1466" s="42" t="n">
        <f aca="false">(D1466-INDEX('Cohort Summary'!$D$5:$D$14,MATCH($A1466,'Cohort Summary'!$A$5:$A$14,0)))/INDEX('Cohort Summary'!$E$5:$E$14,MATCH($A1466,'Cohort Summary'!$A$5:$A$14,0))</f>
        <v>1.27857142857143</v>
      </c>
      <c r="J1466" s="42" t="n">
        <f aca="false">(E1466-INDEX('Cohort Summary'!$F$5:$F$14,MATCH($A1466,'Cohort Summary'!$A$5:$A$14,0)))/INDEX('Cohort Summary'!$G$5:$G$14,MATCH($A1466,'Cohort Summary'!$A$5:$A$14,0))</f>
        <v>0.888324873096447</v>
      </c>
      <c r="K1466" s="42" t="n">
        <f aca="false">(F1466-INDEX('Cohort Summary'!$H$5:$H$14,MATCH($A1466,'Cohort Summary'!$A$5:$A$14,0)))/INDEX('Cohort Summary'!$I$5:$I$14,MATCH($A1466,'Cohort Summary'!$A$5:$A$14,0))</f>
        <v>0.190476190476191</v>
      </c>
      <c r="L1466" s="42" t="n">
        <f aca="false">(G1466-INDEX('Cohort Summary'!$J$5:$J$14,MATCH($A1466,'Cohort Summary'!$A$5:$A$14,0)))/INDEX('Cohort Summary'!$K$5:$K$14,MATCH($A1466,'Cohort Summary'!$A$5:$A$14,0))</f>
        <v>-0.534482758620694</v>
      </c>
      <c r="M1466" s="42" t="n">
        <f aca="false">MAX(I1466:K1466)</f>
        <v>1.27857142857143</v>
      </c>
      <c r="N1466" s="27" t="s">
        <v>197</v>
      </c>
      <c r="O1466" s="27"/>
      <c r="P1466" s="27" t="str">
        <f aca="false">A1466&amp;"|"&amp;N1466</f>
        <v>NURSE-08|normal</v>
      </c>
    </row>
    <row r="1467" customFormat="false" ht="15" hidden="false" customHeight="true" outlineLevel="0" collapsed="false">
      <c r="A1467" s="27" t="s">
        <v>98</v>
      </c>
      <c r="B1467" s="41" t="n">
        <v>46303.3142361111</v>
      </c>
      <c r="C1467" s="27" t="s">
        <v>200</v>
      </c>
      <c r="D1467" s="27" t="n">
        <v>34.4</v>
      </c>
      <c r="E1467" s="27" t="n">
        <v>14.5</v>
      </c>
      <c r="F1467" s="27" t="n">
        <v>34.7</v>
      </c>
      <c r="G1467" s="27" t="n">
        <v>33.1</v>
      </c>
      <c r="H1467" s="27" t="s">
        <v>196</v>
      </c>
      <c r="I1467" s="42" t="n">
        <f aca="false">(D1467-INDEX('Cohort Summary'!$D$5:$D$14,MATCH($A1467,'Cohort Summary'!$A$5:$A$14,0)))/INDEX('Cohort Summary'!$E$5:$E$14,MATCH($A1467,'Cohort Summary'!$A$5:$A$14,0))</f>
        <v>-1.29285714285714</v>
      </c>
      <c r="J1467" s="42" t="n">
        <f aca="false">(E1467-INDEX('Cohort Summary'!$F$5:$F$14,MATCH($A1467,'Cohort Summary'!$A$5:$A$14,0)))/INDEX('Cohort Summary'!$G$5:$G$14,MATCH($A1467,'Cohort Summary'!$A$5:$A$14,0))</f>
        <v>-1.54822335025381</v>
      </c>
      <c r="K1467" s="42" t="n">
        <f aca="false">(F1467-INDEX('Cohort Summary'!$H$5:$H$14,MATCH($A1467,'Cohort Summary'!$A$5:$A$14,0)))/INDEX('Cohort Summary'!$I$5:$I$14,MATCH($A1467,'Cohort Summary'!$A$5:$A$14,0))</f>
        <v>1.24489795918367</v>
      </c>
      <c r="L1467" s="42" t="n">
        <f aca="false">(G1467-INDEX('Cohort Summary'!$J$5:$J$14,MATCH($A1467,'Cohort Summary'!$A$5:$A$14,0)))/INDEX('Cohort Summary'!$K$5:$K$14,MATCH($A1467,'Cohort Summary'!$A$5:$A$14,0))</f>
        <v>0.499999999999999</v>
      </c>
      <c r="M1467" s="42" t="n">
        <f aca="false">MAX(I1467:K1467)</f>
        <v>1.24489795918367</v>
      </c>
      <c r="N1467" s="27" t="s">
        <v>197</v>
      </c>
      <c r="O1467" s="27"/>
      <c r="P1467" s="27" t="str">
        <f aca="false">A1467&amp;"|"&amp;N1467</f>
        <v>NURSE-08|normal</v>
      </c>
    </row>
    <row r="1468" customFormat="false" ht="15" hidden="false" customHeight="true" outlineLevel="0" collapsed="false">
      <c r="A1468" s="27" t="s">
        <v>98</v>
      </c>
      <c r="B1468" s="41" t="n">
        <v>46303.3145833333</v>
      </c>
      <c r="C1468" s="27" t="s">
        <v>200</v>
      </c>
      <c r="D1468" s="27" t="n">
        <v>35</v>
      </c>
      <c r="E1468" s="27" t="n">
        <v>20.7</v>
      </c>
      <c r="F1468" s="27" t="n">
        <v>26.4</v>
      </c>
      <c r="G1468" s="27" t="n">
        <v>33.4</v>
      </c>
      <c r="H1468" s="27" t="s">
        <v>196</v>
      </c>
      <c r="I1468" s="42" t="n">
        <f aca="false">(D1468-INDEX('Cohort Summary'!$D$5:$D$14,MATCH($A1468,'Cohort Summary'!$A$5:$A$14,0)))/INDEX('Cohort Summary'!$E$5:$E$14,MATCH($A1468,'Cohort Summary'!$A$5:$A$14,0))</f>
        <v>-1.07857142857143</v>
      </c>
      <c r="J1468" s="42" t="n">
        <f aca="false">(E1468-INDEX('Cohort Summary'!$F$5:$F$14,MATCH($A1468,'Cohort Summary'!$A$5:$A$14,0)))/INDEX('Cohort Summary'!$G$5:$G$14,MATCH($A1468,'Cohort Summary'!$A$5:$A$14,0))</f>
        <v>1.5989847715736</v>
      </c>
      <c r="K1468" s="42" t="n">
        <f aca="false">(F1468-INDEX('Cohort Summary'!$H$5:$H$14,MATCH($A1468,'Cohort Summary'!$A$5:$A$14,0)))/INDEX('Cohort Summary'!$I$5:$I$14,MATCH($A1468,'Cohort Summary'!$A$5:$A$14,0))</f>
        <v>-1.57823129251701</v>
      </c>
      <c r="L1468" s="42" t="n">
        <f aca="false">(G1468-INDEX('Cohort Summary'!$J$5:$J$14,MATCH($A1468,'Cohort Summary'!$A$5:$A$14,0)))/INDEX('Cohort Summary'!$K$5:$K$14,MATCH($A1468,'Cohort Summary'!$A$5:$A$14,0))</f>
        <v>1.01724137931034</v>
      </c>
      <c r="M1468" s="42" t="n">
        <f aca="false">MAX(I1468:K1468)</f>
        <v>1.5989847715736</v>
      </c>
      <c r="N1468" s="27" t="s">
        <v>197</v>
      </c>
      <c r="O1468" s="27"/>
      <c r="P1468" s="27" t="str">
        <f aca="false">A1468&amp;"|"&amp;N1468</f>
        <v>NURSE-08|normal</v>
      </c>
    </row>
    <row r="1469" customFormat="false" ht="15" hidden="false" customHeight="true" outlineLevel="0" collapsed="false">
      <c r="A1469" s="27" t="s">
        <v>98</v>
      </c>
      <c r="B1469" s="41" t="n">
        <v>46303.3149305556</v>
      </c>
      <c r="C1469" s="27" t="s">
        <v>200</v>
      </c>
      <c r="D1469" s="27" t="n">
        <v>35.8</v>
      </c>
      <c r="E1469" s="27" t="n">
        <v>20.4</v>
      </c>
      <c r="F1469" s="27" t="n">
        <v>27.8</v>
      </c>
      <c r="G1469" s="27" t="n">
        <v>33.6</v>
      </c>
      <c r="H1469" s="27" t="s">
        <v>196</v>
      </c>
      <c r="I1469" s="42" t="n">
        <f aca="false">(D1469-INDEX('Cohort Summary'!$D$5:$D$14,MATCH($A1469,'Cohort Summary'!$A$5:$A$14,0)))/INDEX('Cohort Summary'!$E$5:$E$14,MATCH($A1469,'Cohort Summary'!$A$5:$A$14,0))</f>
        <v>-0.792857142857145</v>
      </c>
      <c r="J1469" s="42" t="n">
        <f aca="false">(E1469-INDEX('Cohort Summary'!$F$5:$F$14,MATCH($A1469,'Cohort Summary'!$A$5:$A$14,0)))/INDEX('Cohort Summary'!$G$5:$G$14,MATCH($A1469,'Cohort Summary'!$A$5:$A$14,0))</f>
        <v>1.44670050761421</v>
      </c>
      <c r="K1469" s="42" t="n">
        <f aca="false">(F1469-INDEX('Cohort Summary'!$H$5:$H$14,MATCH($A1469,'Cohort Summary'!$A$5:$A$14,0)))/INDEX('Cohort Summary'!$I$5:$I$14,MATCH($A1469,'Cohort Summary'!$A$5:$A$14,0))</f>
        <v>-1.10204081632653</v>
      </c>
      <c r="L1469" s="42" t="n">
        <f aca="false">(G1469-INDEX('Cohort Summary'!$J$5:$J$14,MATCH($A1469,'Cohort Summary'!$A$5:$A$14,0)))/INDEX('Cohort Summary'!$K$5:$K$14,MATCH($A1469,'Cohort Summary'!$A$5:$A$14,0))</f>
        <v>1.36206896551724</v>
      </c>
      <c r="M1469" s="42" t="n">
        <f aca="false">MAX(I1469:K1469)</f>
        <v>1.44670050761421</v>
      </c>
      <c r="N1469" s="27" t="s">
        <v>197</v>
      </c>
      <c r="O1469" s="27"/>
      <c r="P1469" s="27" t="str">
        <f aca="false">A1469&amp;"|"&amp;N1469</f>
        <v>NURSE-08|normal</v>
      </c>
    </row>
    <row r="1470" customFormat="false" ht="15" hidden="false" customHeight="true" outlineLevel="0" collapsed="false">
      <c r="A1470" s="27" t="s">
        <v>98</v>
      </c>
      <c r="B1470" s="41" t="n">
        <v>46303.3152777778</v>
      </c>
      <c r="C1470" s="27" t="s">
        <v>200</v>
      </c>
      <c r="D1470" s="27" t="n">
        <v>33.9</v>
      </c>
      <c r="E1470" s="27" t="n">
        <v>20.4</v>
      </c>
      <c r="F1470" s="27" t="n">
        <v>27</v>
      </c>
      <c r="G1470" s="27" t="n">
        <v>32.1</v>
      </c>
      <c r="H1470" s="27" t="s">
        <v>196</v>
      </c>
      <c r="I1470" s="42" t="n">
        <f aca="false">(D1470-INDEX('Cohort Summary'!$D$5:$D$14,MATCH($A1470,'Cohort Summary'!$A$5:$A$14,0)))/INDEX('Cohort Summary'!$E$5:$E$14,MATCH($A1470,'Cohort Summary'!$A$5:$A$14,0))</f>
        <v>-1.47142857142857</v>
      </c>
      <c r="J1470" s="42" t="n">
        <f aca="false">(E1470-INDEX('Cohort Summary'!$F$5:$F$14,MATCH($A1470,'Cohort Summary'!$A$5:$A$14,0)))/INDEX('Cohort Summary'!$G$5:$G$14,MATCH($A1470,'Cohort Summary'!$A$5:$A$14,0))</f>
        <v>1.44670050761421</v>
      </c>
      <c r="K1470" s="42" t="n">
        <f aca="false">(F1470-INDEX('Cohort Summary'!$H$5:$H$14,MATCH($A1470,'Cohort Summary'!$A$5:$A$14,0)))/INDEX('Cohort Summary'!$I$5:$I$14,MATCH($A1470,'Cohort Summary'!$A$5:$A$14,0))</f>
        <v>-1.37414965986395</v>
      </c>
      <c r="L1470" s="42" t="n">
        <f aca="false">(G1470-INDEX('Cohort Summary'!$J$5:$J$14,MATCH($A1470,'Cohort Summary'!$A$5:$A$14,0)))/INDEX('Cohort Summary'!$K$5:$K$14,MATCH($A1470,'Cohort Summary'!$A$5:$A$14,0))</f>
        <v>-1.22413793103448</v>
      </c>
      <c r="M1470" s="42" t="n">
        <f aca="false">MAX(I1470:K1470)</f>
        <v>1.44670050761421</v>
      </c>
      <c r="N1470" s="27" t="s">
        <v>197</v>
      </c>
      <c r="O1470" s="27"/>
      <c r="P1470" s="27" t="str">
        <f aca="false">A1470&amp;"|"&amp;N1470</f>
        <v>NURSE-08|normal</v>
      </c>
    </row>
    <row r="1471" customFormat="false" ht="15" hidden="false" customHeight="true" outlineLevel="0" collapsed="false">
      <c r="A1471" s="27" t="s">
        <v>98</v>
      </c>
      <c r="B1471" s="41" t="n">
        <v>46303.315625</v>
      </c>
      <c r="C1471" s="27" t="s">
        <v>200</v>
      </c>
      <c r="D1471" s="27" t="n">
        <v>37.4</v>
      </c>
      <c r="E1471" s="27" t="n">
        <v>18.4</v>
      </c>
      <c r="F1471" s="27" t="n">
        <v>34.3</v>
      </c>
      <c r="G1471" s="27" t="n">
        <v>31.8</v>
      </c>
      <c r="H1471" s="27" t="s">
        <v>198</v>
      </c>
      <c r="I1471" s="42" t="n">
        <f aca="false">(D1471-INDEX('Cohort Summary'!$D$5:$D$14,MATCH($A1471,'Cohort Summary'!$A$5:$A$14,0)))/INDEX('Cohort Summary'!$E$5:$E$14,MATCH($A1471,'Cohort Summary'!$A$5:$A$14,0))</f>
        <v>-0.221428571428573</v>
      </c>
      <c r="J1471" s="42" t="n">
        <f aca="false">(E1471-INDEX('Cohort Summary'!$F$5:$F$14,MATCH($A1471,'Cohort Summary'!$A$5:$A$14,0)))/INDEX('Cohort Summary'!$G$5:$G$14,MATCH($A1471,'Cohort Summary'!$A$5:$A$14,0))</f>
        <v>0.431472081218273</v>
      </c>
      <c r="K1471" s="42" t="n">
        <f aca="false">(F1471-INDEX('Cohort Summary'!$H$5:$H$14,MATCH($A1471,'Cohort Summary'!$A$5:$A$14,0)))/INDEX('Cohort Summary'!$I$5:$I$14,MATCH($A1471,'Cohort Summary'!$A$5:$A$14,0))</f>
        <v>1.10884353741497</v>
      </c>
      <c r="L1471" s="42" t="n">
        <f aca="false">(G1471-INDEX('Cohort Summary'!$J$5:$J$14,MATCH($A1471,'Cohort Summary'!$A$5:$A$14,0)))/INDEX('Cohort Summary'!$K$5:$K$14,MATCH($A1471,'Cohort Summary'!$A$5:$A$14,0))</f>
        <v>-1.74137931034483</v>
      </c>
      <c r="M1471" s="42" t="n">
        <f aca="false">MAX(I1471:K1471)</f>
        <v>1.10884353741497</v>
      </c>
      <c r="N1471" s="27" t="s">
        <v>197</v>
      </c>
      <c r="O1471" s="27"/>
      <c r="P1471" s="27" t="str">
        <f aca="false">A1471&amp;"|"&amp;N1471</f>
        <v>NURSE-08|normal</v>
      </c>
    </row>
    <row r="1472" customFormat="false" ht="15" hidden="false" customHeight="true" outlineLevel="0" collapsed="false">
      <c r="A1472" s="27" t="s">
        <v>98</v>
      </c>
      <c r="B1472" s="41" t="n">
        <v>46303.3159722222</v>
      </c>
      <c r="C1472" s="27" t="s">
        <v>200</v>
      </c>
      <c r="D1472" s="27" t="n">
        <v>33.5</v>
      </c>
      <c r="E1472" s="27" t="n">
        <v>14.1</v>
      </c>
      <c r="F1472" s="27" t="n">
        <v>28.4</v>
      </c>
      <c r="G1472" s="27" t="n">
        <v>33.4</v>
      </c>
      <c r="H1472" s="27" t="s">
        <v>198</v>
      </c>
      <c r="I1472" s="42" t="n">
        <f aca="false">(D1472-INDEX('Cohort Summary'!$D$5:$D$14,MATCH($A1472,'Cohort Summary'!$A$5:$A$14,0)))/INDEX('Cohort Summary'!$E$5:$E$14,MATCH($A1472,'Cohort Summary'!$A$5:$A$14,0))</f>
        <v>-1.61428571428572</v>
      </c>
      <c r="J1472" s="42" t="n">
        <f aca="false">(E1472-INDEX('Cohort Summary'!$F$5:$F$14,MATCH($A1472,'Cohort Summary'!$A$5:$A$14,0)))/INDEX('Cohort Summary'!$G$5:$G$14,MATCH($A1472,'Cohort Summary'!$A$5:$A$14,0))</f>
        <v>-1.751269035533</v>
      </c>
      <c r="K1472" s="42" t="n">
        <f aca="false">(F1472-INDEX('Cohort Summary'!$H$5:$H$14,MATCH($A1472,'Cohort Summary'!$A$5:$A$14,0)))/INDEX('Cohort Summary'!$I$5:$I$14,MATCH($A1472,'Cohort Summary'!$A$5:$A$14,0))</f>
        <v>-0.89795918367347</v>
      </c>
      <c r="L1472" s="42" t="n">
        <f aca="false">(G1472-INDEX('Cohort Summary'!$J$5:$J$14,MATCH($A1472,'Cohort Summary'!$A$5:$A$14,0)))/INDEX('Cohort Summary'!$K$5:$K$14,MATCH($A1472,'Cohort Summary'!$A$5:$A$14,0))</f>
        <v>1.01724137931034</v>
      </c>
      <c r="M1472" s="42" t="n">
        <f aca="false">MAX(I1472:K1472)</f>
        <v>-0.89795918367347</v>
      </c>
      <c r="N1472" s="27" t="s">
        <v>197</v>
      </c>
      <c r="O1472" s="27"/>
      <c r="P1472" s="27" t="str">
        <f aca="false">A1472&amp;"|"&amp;N1472</f>
        <v>NURSE-08|normal</v>
      </c>
    </row>
    <row r="1473" customFormat="false" ht="15" hidden="false" customHeight="true" outlineLevel="0" collapsed="false">
      <c r="A1473" s="27" t="s">
        <v>98</v>
      </c>
      <c r="B1473" s="41" t="n">
        <v>46303.3163194444</v>
      </c>
      <c r="C1473" s="27" t="s">
        <v>200</v>
      </c>
      <c r="D1473" s="27" t="n">
        <v>36.8</v>
      </c>
      <c r="E1473" s="27" t="n">
        <v>20.2</v>
      </c>
      <c r="F1473" s="27" t="n">
        <v>27.5</v>
      </c>
      <c r="G1473" s="27" t="n">
        <v>33.5</v>
      </c>
      <c r="H1473" s="27" t="s">
        <v>196</v>
      </c>
      <c r="I1473" s="42" t="n">
        <f aca="false">(D1473-INDEX('Cohort Summary'!$D$5:$D$14,MATCH($A1473,'Cohort Summary'!$A$5:$A$14,0)))/INDEX('Cohort Summary'!$E$5:$E$14,MATCH($A1473,'Cohort Summary'!$A$5:$A$14,0))</f>
        <v>-0.435714285714288</v>
      </c>
      <c r="J1473" s="42" t="n">
        <f aca="false">(E1473-INDEX('Cohort Summary'!$F$5:$F$14,MATCH($A1473,'Cohort Summary'!$A$5:$A$14,0)))/INDEX('Cohort Summary'!$G$5:$G$14,MATCH($A1473,'Cohort Summary'!$A$5:$A$14,0))</f>
        <v>1.34517766497462</v>
      </c>
      <c r="K1473" s="42" t="n">
        <f aca="false">(F1473-INDEX('Cohort Summary'!$H$5:$H$14,MATCH($A1473,'Cohort Summary'!$A$5:$A$14,0)))/INDEX('Cohort Summary'!$I$5:$I$14,MATCH($A1473,'Cohort Summary'!$A$5:$A$14,0))</f>
        <v>-1.20408163265306</v>
      </c>
      <c r="L1473" s="42" t="n">
        <f aca="false">(G1473-INDEX('Cohort Summary'!$J$5:$J$14,MATCH($A1473,'Cohort Summary'!$A$5:$A$14,0)))/INDEX('Cohort Summary'!$K$5:$K$14,MATCH($A1473,'Cohort Summary'!$A$5:$A$14,0))</f>
        <v>1.18965517241379</v>
      </c>
      <c r="M1473" s="42" t="n">
        <f aca="false">MAX(I1473:K1473)</f>
        <v>1.34517766497462</v>
      </c>
      <c r="N1473" s="27" t="s">
        <v>197</v>
      </c>
      <c r="O1473" s="27"/>
      <c r="P1473" s="27" t="str">
        <f aca="false">A1473&amp;"|"&amp;N1473</f>
        <v>NURSE-08|normal</v>
      </c>
    </row>
    <row r="1474" customFormat="false" ht="15" hidden="false" customHeight="true" outlineLevel="0" collapsed="false">
      <c r="A1474" s="27" t="s">
        <v>98</v>
      </c>
      <c r="B1474" s="41" t="n">
        <v>46303.3166666667</v>
      </c>
      <c r="C1474" s="27" t="s">
        <v>200</v>
      </c>
      <c r="D1474" s="27" t="n">
        <v>38.8</v>
      </c>
      <c r="E1474" s="27" t="n">
        <v>20.8</v>
      </c>
      <c r="F1474" s="27" t="n">
        <v>34.1</v>
      </c>
      <c r="G1474" s="27" t="n">
        <v>31.8</v>
      </c>
      <c r="H1474" s="27" t="s">
        <v>198</v>
      </c>
      <c r="I1474" s="42" t="n">
        <f aca="false">(D1474-INDEX('Cohort Summary'!$D$5:$D$14,MATCH($A1474,'Cohort Summary'!$A$5:$A$14,0)))/INDEX('Cohort Summary'!$E$5:$E$14,MATCH($A1474,'Cohort Summary'!$A$5:$A$14,0))</f>
        <v>0.278571428571426</v>
      </c>
      <c r="J1474" s="42" t="n">
        <f aca="false">(E1474-INDEX('Cohort Summary'!$F$5:$F$14,MATCH($A1474,'Cohort Summary'!$A$5:$A$14,0)))/INDEX('Cohort Summary'!$G$5:$G$14,MATCH($A1474,'Cohort Summary'!$A$5:$A$14,0))</f>
        <v>1.6497461928934</v>
      </c>
      <c r="K1474" s="42" t="n">
        <f aca="false">(F1474-INDEX('Cohort Summary'!$H$5:$H$14,MATCH($A1474,'Cohort Summary'!$A$5:$A$14,0)))/INDEX('Cohort Summary'!$I$5:$I$14,MATCH($A1474,'Cohort Summary'!$A$5:$A$14,0))</f>
        <v>1.04081632653061</v>
      </c>
      <c r="L1474" s="42" t="n">
        <f aca="false">(G1474-INDEX('Cohort Summary'!$J$5:$J$14,MATCH($A1474,'Cohort Summary'!$A$5:$A$14,0)))/INDEX('Cohort Summary'!$K$5:$K$14,MATCH($A1474,'Cohort Summary'!$A$5:$A$14,0))</f>
        <v>-1.74137931034483</v>
      </c>
      <c r="M1474" s="42" t="n">
        <f aca="false">MAX(I1474:K1474)</f>
        <v>1.6497461928934</v>
      </c>
      <c r="N1474" s="27" t="s">
        <v>197</v>
      </c>
      <c r="O1474" s="27"/>
      <c r="P1474" s="27" t="str">
        <f aca="false">A1474&amp;"|"&amp;N1474</f>
        <v>NURSE-08|normal</v>
      </c>
    </row>
    <row r="1475" customFormat="false" ht="15" hidden="false" customHeight="true" outlineLevel="0" collapsed="false">
      <c r="A1475" s="27" t="s">
        <v>98</v>
      </c>
      <c r="B1475" s="41" t="n">
        <v>46303.3170138889</v>
      </c>
      <c r="C1475" s="27" t="s">
        <v>200</v>
      </c>
      <c r="D1475" s="27" t="n">
        <v>39.8</v>
      </c>
      <c r="E1475" s="27" t="n">
        <v>16.1</v>
      </c>
      <c r="F1475" s="27" t="n">
        <v>33.3</v>
      </c>
      <c r="G1475" s="27" t="n">
        <v>32.8</v>
      </c>
      <c r="H1475" s="27" t="s">
        <v>198</v>
      </c>
      <c r="I1475" s="42" t="n">
        <f aca="false">(D1475-INDEX('Cohort Summary'!$D$5:$D$14,MATCH($A1475,'Cohort Summary'!$A$5:$A$14,0)))/INDEX('Cohort Summary'!$E$5:$E$14,MATCH($A1475,'Cohort Summary'!$A$5:$A$14,0))</f>
        <v>0.635714285714284</v>
      </c>
      <c r="J1475" s="42" t="n">
        <f aca="false">(E1475-INDEX('Cohort Summary'!$F$5:$F$14,MATCH($A1475,'Cohort Summary'!$A$5:$A$14,0)))/INDEX('Cohort Summary'!$G$5:$G$14,MATCH($A1475,'Cohort Summary'!$A$5:$A$14,0))</f>
        <v>-0.736040609137056</v>
      </c>
      <c r="K1475" s="42" t="n">
        <f aca="false">(F1475-INDEX('Cohort Summary'!$H$5:$H$14,MATCH($A1475,'Cohort Summary'!$A$5:$A$14,0)))/INDEX('Cohort Summary'!$I$5:$I$14,MATCH($A1475,'Cohort Summary'!$A$5:$A$14,0))</f>
        <v>0.768707482993197</v>
      </c>
      <c r="L1475" s="42" t="n">
        <f aca="false">(G1475-INDEX('Cohort Summary'!$J$5:$J$14,MATCH($A1475,'Cohort Summary'!$A$5:$A$14,0)))/INDEX('Cohort Summary'!$K$5:$K$14,MATCH($A1475,'Cohort Summary'!$A$5:$A$14,0))</f>
        <v>-0.0172413793103537</v>
      </c>
      <c r="M1475" s="42" t="n">
        <f aca="false">MAX(I1475:K1475)</f>
        <v>0.768707482993197</v>
      </c>
      <c r="N1475" s="27" t="s">
        <v>197</v>
      </c>
      <c r="O1475" s="27"/>
      <c r="P1475" s="27" t="str">
        <f aca="false">A1475&amp;"|"&amp;N1475</f>
        <v>NURSE-08|normal</v>
      </c>
    </row>
    <row r="1476" customFormat="false" ht="15" hidden="false" customHeight="true" outlineLevel="0" collapsed="false">
      <c r="A1476" s="27" t="s">
        <v>98</v>
      </c>
      <c r="B1476" s="41" t="n">
        <v>46303.3173611111</v>
      </c>
      <c r="C1476" s="27" t="s">
        <v>200</v>
      </c>
      <c r="D1476" s="27" t="n">
        <v>36.6</v>
      </c>
      <c r="E1476" s="27" t="n">
        <v>20.2</v>
      </c>
      <c r="F1476" s="27" t="n">
        <v>32.8</v>
      </c>
      <c r="G1476" s="27" t="n">
        <v>32.7</v>
      </c>
      <c r="H1476" s="27" t="s">
        <v>196</v>
      </c>
      <c r="I1476" s="42" t="n">
        <f aca="false">(D1476-INDEX('Cohort Summary'!$D$5:$D$14,MATCH($A1476,'Cohort Summary'!$A$5:$A$14,0)))/INDEX('Cohort Summary'!$E$5:$E$14,MATCH($A1476,'Cohort Summary'!$A$5:$A$14,0))</f>
        <v>-0.507142857142858</v>
      </c>
      <c r="J1476" s="42" t="n">
        <f aca="false">(E1476-INDEX('Cohort Summary'!$F$5:$F$14,MATCH($A1476,'Cohort Summary'!$A$5:$A$14,0)))/INDEX('Cohort Summary'!$G$5:$G$14,MATCH($A1476,'Cohort Summary'!$A$5:$A$14,0))</f>
        <v>1.34517766497462</v>
      </c>
      <c r="K1476" s="42" t="n">
        <f aca="false">(F1476-INDEX('Cohort Summary'!$H$5:$H$14,MATCH($A1476,'Cohort Summary'!$A$5:$A$14,0)))/INDEX('Cohort Summary'!$I$5:$I$14,MATCH($A1476,'Cohort Summary'!$A$5:$A$14,0))</f>
        <v>0.598639455782312</v>
      </c>
      <c r="L1476" s="42" t="n">
        <f aca="false">(G1476-INDEX('Cohort Summary'!$J$5:$J$14,MATCH($A1476,'Cohort Summary'!$A$5:$A$14,0)))/INDEX('Cohort Summary'!$K$5:$K$14,MATCH($A1476,'Cohort Summary'!$A$5:$A$14,0))</f>
        <v>-0.189655172413792</v>
      </c>
      <c r="M1476" s="42" t="n">
        <f aca="false">MAX(I1476:K1476)</f>
        <v>1.34517766497462</v>
      </c>
      <c r="N1476" s="27" t="s">
        <v>197</v>
      </c>
      <c r="O1476" s="27"/>
      <c r="P1476" s="27" t="str">
        <f aca="false">A1476&amp;"|"&amp;N1476</f>
        <v>NURSE-08|normal</v>
      </c>
    </row>
    <row r="1477" customFormat="false" ht="15" hidden="false" customHeight="true" outlineLevel="0" collapsed="false">
      <c r="A1477" s="27" t="s">
        <v>98</v>
      </c>
      <c r="B1477" s="41" t="n">
        <v>46303.3177083333</v>
      </c>
      <c r="C1477" s="27" t="s">
        <v>200</v>
      </c>
      <c r="D1477" s="27" t="n">
        <v>39</v>
      </c>
      <c r="E1477" s="27" t="n">
        <v>18.6</v>
      </c>
      <c r="F1477" s="27" t="n">
        <v>29.3</v>
      </c>
      <c r="G1477" s="27" t="n">
        <v>33.1</v>
      </c>
      <c r="H1477" s="27" t="s">
        <v>196</v>
      </c>
      <c r="I1477" s="42" t="n">
        <f aca="false">(D1477-INDEX('Cohort Summary'!$D$5:$D$14,MATCH($A1477,'Cohort Summary'!$A$5:$A$14,0)))/INDEX('Cohort Summary'!$E$5:$E$14,MATCH($A1477,'Cohort Summary'!$A$5:$A$14,0))</f>
        <v>0.349999999999999</v>
      </c>
      <c r="J1477" s="42" t="n">
        <f aca="false">(E1477-INDEX('Cohort Summary'!$F$5:$F$14,MATCH($A1477,'Cohort Summary'!$A$5:$A$14,0)))/INDEX('Cohort Summary'!$G$5:$G$14,MATCH($A1477,'Cohort Summary'!$A$5:$A$14,0))</f>
        <v>0.532994923857868</v>
      </c>
      <c r="K1477" s="42" t="n">
        <f aca="false">(F1477-INDEX('Cohort Summary'!$H$5:$H$14,MATCH($A1477,'Cohort Summary'!$A$5:$A$14,0)))/INDEX('Cohort Summary'!$I$5:$I$14,MATCH($A1477,'Cohort Summary'!$A$5:$A$14,0))</f>
        <v>-0.591836734693877</v>
      </c>
      <c r="L1477" s="42" t="n">
        <f aca="false">(G1477-INDEX('Cohort Summary'!$J$5:$J$14,MATCH($A1477,'Cohort Summary'!$A$5:$A$14,0)))/INDEX('Cohort Summary'!$K$5:$K$14,MATCH($A1477,'Cohort Summary'!$A$5:$A$14,0))</f>
        <v>0.499999999999999</v>
      </c>
      <c r="M1477" s="42" t="n">
        <f aca="false">MAX(I1477:K1477)</f>
        <v>0.532994923857868</v>
      </c>
      <c r="N1477" s="27" t="s">
        <v>197</v>
      </c>
      <c r="O1477" s="27"/>
      <c r="P1477" s="27" t="str">
        <f aca="false">A1477&amp;"|"&amp;N1477</f>
        <v>NURSE-08|normal</v>
      </c>
    </row>
    <row r="1478" customFormat="false" ht="15" hidden="false" customHeight="true" outlineLevel="0" collapsed="false">
      <c r="A1478" s="27" t="s">
        <v>98</v>
      </c>
      <c r="B1478" s="41" t="n">
        <v>46303.3180555556</v>
      </c>
      <c r="C1478" s="27" t="s">
        <v>200</v>
      </c>
      <c r="D1478" s="27" t="n">
        <v>42</v>
      </c>
      <c r="E1478" s="27" t="n">
        <v>19</v>
      </c>
      <c r="F1478" s="27" t="n">
        <v>30.9</v>
      </c>
      <c r="G1478" s="27" t="n">
        <v>33.5</v>
      </c>
      <c r="H1478" s="27" t="s">
        <v>198</v>
      </c>
      <c r="I1478" s="42" t="n">
        <f aca="false">(D1478-INDEX('Cohort Summary'!$D$5:$D$14,MATCH($A1478,'Cohort Summary'!$A$5:$A$14,0)))/INDEX('Cohort Summary'!$E$5:$E$14,MATCH($A1478,'Cohort Summary'!$A$5:$A$14,0))</f>
        <v>1.42142857142857</v>
      </c>
      <c r="J1478" s="42" t="n">
        <f aca="false">(E1478-INDEX('Cohort Summary'!$F$5:$F$14,MATCH($A1478,'Cohort Summary'!$A$5:$A$14,0)))/INDEX('Cohort Summary'!$G$5:$G$14,MATCH($A1478,'Cohort Summary'!$A$5:$A$14,0))</f>
        <v>0.736040609137056</v>
      </c>
      <c r="K1478" s="42" t="n">
        <f aca="false">(F1478-INDEX('Cohort Summary'!$H$5:$H$14,MATCH($A1478,'Cohort Summary'!$A$5:$A$14,0)))/INDEX('Cohort Summary'!$I$5:$I$14,MATCH($A1478,'Cohort Summary'!$A$5:$A$14,0))</f>
        <v>-0.0476190476190478</v>
      </c>
      <c r="L1478" s="42" t="n">
        <f aca="false">(G1478-INDEX('Cohort Summary'!$J$5:$J$14,MATCH($A1478,'Cohort Summary'!$A$5:$A$14,0)))/INDEX('Cohort Summary'!$K$5:$K$14,MATCH($A1478,'Cohort Summary'!$A$5:$A$14,0))</f>
        <v>1.18965517241379</v>
      </c>
      <c r="M1478" s="42" t="n">
        <f aca="false">MAX(I1478:K1478)</f>
        <v>1.42142857142857</v>
      </c>
      <c r="N1478" s="27" t="s">
        <v>197</v>
      </c>
      <c r="O1478" s="27"/>
      <c r="P1478" s="27" t="str">
        <f aca="false">A1478&amp;"|"&amp;N1478</f>
        <v>NURSE-08|normal</v>
      </c>
    </row>
    <row r="1479" customFormat="false" ht="15" hidden="false" customHeight="true" outlineLevel="0" collapsed="false">
      <c r="A1479" s="27" t="s">
        <v>98</v>
      </c>
      <c r="B1479" s="41" t="n">
        <v>46303.3184027778</v>
      </c>
      <c r="C1479" s="27" t="s">
        <v>200</v>
      </c>
      <c r="D1479" s="27" t="n">
        <v>33.1</v>
      </c>
      <c r="E1479" s="27" t="n">
        <v>17.3</v>
      </c>
      <c r="F1479" s="27" t="n">
        <v>34.3</v>
      </c>
      <c r="G1479" s="27" t="n">
        <v>32.6</v>
      </c>
      <c r="H1479" s="27" t="s">
        <v>196</v>
      </c>
      <c r="I1479" s="42" t="n">
        <f aca="false">(D1479-INDEX('Cohort Summary'!$D$5:$D$14,MATCH($A1479,'Cohort Summary'!$A$5:$A$14,0)))/INDEX('Cohort Summary'!$E$5:$E$14,MATCH($A1479,'Cohort Summary'!$A$5:$A$14,0))</f>
        <v>-1.75714285714286</v>
      </c>
      <c r="J1479" s="42" t="n">
        <f aca="false">(E1479-INDEX('Cohort Summary'!$F$5:$F$14,MATCH($A1479,'Cohort Summary'!$A$5:$A$14,0)))/INDEX('Cohort Summary'!$G$5:$G$14,MATCH($A1479,'Cohort Summary'!$A$5:$A$14,0))</f>
        <v>-0.126903553299492</v>
      </c>
      <c r="K1479" s="42" t="n">
        <f aca="false">(F1479-INDEX('Cohort Summary'!$H$5:$H$14,MATCH($A1479,'Cohort Summary'!$A$5:$A$14,0)))/INDEX('Cohort Summary'!$I$5:$I$14,MATCH($A1479,'Cohort Summary'!$A$5:$A$14,0))</f>
        <v>1.10884353741497</v>
      </c>
      <c r="L1479" s="42" t="n">
        <f aca="false">(G1479-INDEX('Cohort Summary'!$J$5:$J$14,MATCH($A1479,'Cohort Summary'!$A$5:$A$14,0)))/INDEX('Cohort Summary'!$K$5:$K$14,MATCH($A1479,'Cohort Summary'!$A$5:$A$14,0))</f>
        <v>-0.362068965517243</v>
      </c>
      <c r="M1479" s="42" t="n">
        <f aca="false">MAX(I1479:K1479)</f>
        <v>1.10884353741497</v>
      </c>
      <c r="N1479" s="27" t="s">
        <v>197</v>
      </c>
      <c r="O1479" s="27"/>
      <c r="P1479" s="27" t="str">
        <f aca="false">A1479&amp;"|"&amp;N1479</f>
        <v>NURSE-08|normal</v>
      </c>
    </row>
    <row r="1480" customFormat="false" ht="15" hidden="false" customHeight="true" outlineLevel="0" collapsed="false">
      <c r="A1480" s="27" t="s">
        <v>98</v>
      </c>
      <c r="B1480" s="41" t="n">
        <v>46303.31875</v>
      </c>
      <c r="C1480" s="27" t="s">
        <v>200</v>
      </c>
      <c r="D1480" s="27" t="n">
        <v>42.9</v>
      </c>
      <c r="E1480" s="27" t="n">
        <v>18.5</v>
      </c>
      <c r="F1480" s="27" t="n">
        <v>26.5</v>
      </c>
      <c r="G1480" s="27" t="n">
        <v>32</v>
      </c>
      <c r="H1480" s="27" t="s">
        <v>198</v>
      </c>
      <c r="I1480" s="42" t="n">
        <f aca="false">(D1480-INDEX('Cohort Summary'!$D$5:$D$14,MATCH($A1480,'Cohort Summary'!$A$5:$A$14,0)))/INDEX('Cohort Summary'!$E$5:$E$14,MATCH($A1480,'Cohort Summary'!$A$5:$A$14,0))</f>
        <v>1.74285714285714</v>
      </c>
      <c r="J1480" s="42" t="n">
        <f aca="false">(E1480-INDEX('Cohort Summary'!$F$5:$F$14,MATCH($A1480,'Cohort Summary'!$A$5:$A$14,0)))/INDEX('Cohort Summary'!$G$5:$G$14,MATCH($A1480,'Cohort Summary'!$A$5:$A$14,0))</f>
        <v>0.482233502538071</v>
      </c>
      <c r="K1480" s="42" t="n">
        <f aca="false">(F1480-INDEX('Cohort Summary'!$H$5:$H$14,MATCH($A1480,'Cohort Summary'!$A$5:$A$14,0)))/INDEX('Cohort Summary'!$I$5:$I$14,MATCH($A1480,'Cohort Summary'!$A$5:$A$14,0))</f>
        <v>-1.54421768707483</v>
      </c>
      <c r="L1480" s="42" t="n">
        <f aca="false">(G1480-INDEX('Cohort Summary'!$J$5:$J$14,MATCH($A1480,'Cohort Summary'!$A$5:$A$14,0)))/INDEX('Cohort Summary'!$K$5:$K$14,MATCH($A1480,'Cohort Summary'!$A$5:$A$14,0))</f>
        <v>-1.39655172413794</v>
      </c>
      <c r="M1480" s="42" t="n">
        <f aca="false">MAX(I1480:K1480)</f>
        <v>1.74285714285714</v>
      </c>
      <c r="N1480" s="27" t="s">
        <v>197</v>
      </c>
      <c r="O1480" s="27"/>
      <c r="P1480" s="27" t="str">
        <f aca="false">A1480&amp;"|"&amp;N1480</f>
        <v>NURSE-08|normal</v>
      </c>
    </row>
    <row r="1481" customFormat="false" ht="15" hidden="false" customHeight="true" outlineLevel="0" collapsed="false">
      <c r="A1481" s="27" t="s">
        <v>98</v>
      </c>
      <c r="B1481" s="41" t="n">
        <v>46303.3190972222</v>
      </c>
      <c r="C1481" s="27" t="s">
        <v>200</v>
      </c>
      <c r="D1481" s="27" t="n">
        <v>33.9</v>
      </c>
      <c r="E1481" s="27" t="n">
        <v>16.8</v>
      </c>
      <c r="F1481" s="27" t="n">
        <v>28.3</v>
      </c>
      <c r="G1481" s="27" t="n">
        <v>33.1</v>
      </c>
      <c r="H1481" s="27" t="s">
        <v>196</v>
      </c>
      <c r="I1481" s="42" t="n">
        <f aca="false">(D1481-INDEX('Cohort Summary'!$D$5:$D$14,MATCH($A1481,'Cohort Summary'!$A$5:$A$14,0)))/INDEX('Cohort Summary'!$E$5:$E$14,MATCH($A1481,'Cohort Summary'!$A$5:$A$14,0))</f>
        <v>-1.47142857142857</v>
      </c>
      <c r="J1481" s="42" t="n">
        <f aca="false">(E1481-INDEX('Cohort Summary'!$F$5:$F$14,MATCH($A1481,'Cohort Summary'!$A$5:$A$14,0)))/INDEX('Cohort Summary'!$G$5:$G$14,MATCH($A1481,'Cohort Summary'!$A$5:$A$14,0))</f>
        <v>-0.380710659898477</v>
      </c>
      <c r="K1481" s="42" t="n">
        <f aca="false">(F1481-INDEX('Cohort Summary'!$H$5:$H$14,MATCH($A1481,'Cohort Summary'!$A$5:$A$14,0)))/INDEX('Cohort Summary'!$I$5:$I$14,MATCH($A1481,'Cohort Summary'!$A$5:$A$14,0))</f>
        <v>-0.931972789115646</v>
      </c>
      <c r="L1481" s="42" t="n">
        <f aca="false">(G1481-INDEX('Cohort Summary'!$J$5:$J$14,MATCH($A1481,'Cohort Summary'!$A$5:$A$14,0)))/INDEX('Cohort Summary'!$K$5:$K$14,MATCH($A1481,'Cohort Summary'!$A$5:$A$14,0))</f>
        <v>0.499999999999999</v>
      </c>
      <c r="M1481" s="42" t="n">
        <f aca="false">MAX(I1481:K1481)</f>
        <v>-0.380710659898477</v>
      </c>
      <c r="N1481" s="27" t="s">
        <v>197</v>
      </c>
      <c r="O1481" s="27"/>
      <c r="P1481" s="27" t="str">
        <f aca="false">A1481&amp;"|"&amp;N1481</f>
        <v>NURSE-08|normal</v>
      </c>
    </row>
    <row r="1482" customFormat="false" ht="15" hidden="false" customHeight="true" outlineLevel="0" collapsed="false">
      <c r="A1482" s="27" t="s">
        <v>98</v>
      </c>
      <c r="B1482" s="41" t="n">
        <v>46303.3194444445</v>
      </c>
      <c r="C1482" s="27" t="s">
        <v>200</v>
      </c>
      <c r="D1482" s="27" t="n">
        <v>33.8</v>
      </c>
      <c r="E1482" s="27" t="n">
        <v>20.4</v>
      </c>
      <c r="F1482" s="27" t="n">
        <v>34.4</v>
      </c>
      <c r="G1482" s="27" t="n">
        <v>32.9</v>
      </c>
      <c r="H1482" s="27" t="s">
        <v>199</v>
      </c>
      <c r="I1482" s="42" t="n">
        <f aca="false">(D1482-INDEX('Cohort Summary'!$D$5:$D$14,MATCH($A1482,'Cohort Summary'!$A$5:$A$14,0)))/INDEX('Cohort Summary'!$E$5:$E$14,MATCH($A1482,'Cohort Summary'!$A$5:$A$14,0))</f>
        <v>-1.50714285714286</v>
      </c>
      <c r="J1482" s="42" t="n">
        <f aca="false">(E1482-INDEX('Cohort Summary'!$F$5:$F$14,MATCH($A1482,'Cohort Summary'!$A$5:$A$14,0)))/INDEX('Cohort Summary'!$G$5:$G$14,MATCH($A1482,'Cohort Summary'!$A$5:$A$14,0))</f>
        <v>1.44670050761421</v>
      </c>
      <c r="K1482" s="42" t="n">
        <f aca="false">(F1482-INDEX('Cohort Summary'!$H$5:$H$14,MATCH($A1482,'Cohort Summary'!$A$5:$A$14,0)))/INDEX('Cohort Summary'!$I$5:$I$14,MATCH($A1482,'Cohort Summary'!$A$5:$A$14,0))</f>
        <v>1.14285714285714</v>
      </c>
      <c r="L1482" s="42" t="n">
        <f aca="false">(G1482-INDEX('Cohort Summary'!$J$5:$J$14,MATCH($A1482,'Cohort Summary'!$A$5:$A$14,0)))/INDEX('Cohort Summary'!$K$5:$K$14,MATCH($A1482,'Cohort Summary'!$A$5:$A$14,0))</f>
        <v>0.155172413793097</v>
      </c>
      <c r="M1482" s="42" t="n">
        <f aca="false">MAX(I1482:K1482)</f>
        <v>1.44670050761421</v>
      </c>
      <c r="N1482" s="27" t="s">
        <v>197</v>
      </c>
      <c r="O1482" s="27"/>
      <c r="P1482" s="27" t="str">
        <f aca="false">A1482&amp;"|"&amp;N1482</f>
        <v>NURSE-08|normal</v>
      </c>
    </row>
    <row r="1483" customFormat="false" ht="15" hidden="false" customHeight="true" outlineLevel="0" collapsed="false">
      <c r="A1483" s="27" t="s">
        <v>98</v>
      </c>
      <c r="B1483" s="41" t="n">
        <v>46303.3197916667</v>
      </c>
      <c r="C1483" s="27" t="s">
        <v>200</v>
      </c>
      <c r="D1483" s="27" t="n">
        <v>38.8</v>
      </c>
      <c r="E1483" s="27" t="n">
        <v>17.7</v>
      </c>
      <c r="F1483" s="27" t="n">
        <v>31.4</v>
      </c>
      <c r="G1483" s="27" t="n">
        <v>32.8</v>
      </c>
      <c r="H1483" s="27" t="s">
        <v>196</v>
      </c>
      <c r="I1483" s="42" t="n">
        <f aca="false">(D1483-INDEX('Cohort Summary'!$D$5:$D$14,MATCH($A1483,'Cohort Summary'!$A$5:$A$14,0)))/INDEX('Cohort Summary'!$E$5:$E$14,MATCH($A1483,'Cohort Summary'!$A$5:$A$14,0))</f>
        <v>0.278571428571426</v>
      </c>
      <c r="J1483" s="42" t="n">
        <f aca="false">(E1483-INDEX('Cohort Summary'!$F$5:$F$14,MATCH($A1483,'Cohort Summary'!$A$5:$A$14,0)))/INDEX('Cohort Summary'!$G$5:$G$14,MATCH($A1483,'Cohort Summary'!$A$5:$A$14,0))</f>
        <v>0.0761421319796947</v>
      </c>
      <c r="K1483" s="42" t="n">
        <f aca="false">(F1483-INDEX('Cohort Summary'!$H$5:$H$14,MATCH($A1483,'Cohort Summary'!$A$5:$A$14,0)))/INDEX('Cohort Summary'!$I$5:$I$14,MATCH($A1483,'Cohort Summary'!$A$5:$A$14,0))</f>
        <v>0.122448979591837</v>
      </c>
      <c r="L1483" s="42" t="n">
        <f aca="false">(G1483-INDEX('Cohort Summary'!$J$5:$J$14,MATCH($A1483,'Cohort Summary'!$A$5:$A$14,0)))/INDEX('Cohort Summary'!$K$5:$K$14,MATCH($A1483,'Cohort Summary'!$A$5:$A$14,0))</f>
        <v>-0.0172413793103537</v>
      </c>
      <c r="M1483" s="42" t="n">
        <f aca="false">MAX(I1483:K1483)</f>
        <v>0.278571428571426</v>
      </c>
      <c r="N1483" s="27" t="s">
        <v>197</v>
      </c>
      <c r="O1483" s="27"/>
      <c r="P1483" s="27" t="str">
        <f aca="false">A1483&amp;"|"&amp;N1483</f>
        <v>NURSE-08|normal</v>
      </c>
    </row>
    <row r="1484" customFormat="false" ht="15" hidden="false" customHeight="true" outlineLevel="0" collapsed="false">
      <c r="A1484" s="27" t="s">
        <v>98</v>
      </c>
      <c r="B1484" s="41" t="n">
        <v>46303.3201388889</v>
      </c>
      <c r="C1484" s="27" t="s">
        <v>200</v>
      </c>
      <c r="D1484" s="27" t="n">
        <v>35.2</v>
      </c>
      <c r="E1484" s="27" t="n">
        <v>17</v>
      </c>
      <c r="F1484" s="27" t="n">
        <v>30.1</v>
      </c>
      <c r="G1484" s="27" t="n">
        <v>32.8</v>
      </c>
      <c r="H1484" s="27" t="s">
        <v>196</v>
      </c>
      <c r="I1484" s="42" t="n">
        <f aca="false">(D1484-INDEX('Cohort Summary'!$D$5:$D$14,MATCH($A1484,'Cohort Summary'!$A$5:$A$14,0)))/INDEX('Cohort Summary'!$E$5:$E$14,MATCH($A1484,'Cohort Summary'!$A$5:$A$14,0))</f>
        <v>-1.00714285714286</v>
      </c>
      <c r="J1484" s="42" t="n">
        <f aca="false">(E1484-INDEX('Cohort Summary'!$F$5:$F$14,MATCH($A1484,'Cohort Summary'!$A$5:$A$14,0)))/INDEX('Cohort Summary'!$G$5:$G$14,MATCH($A1484,'Cohort Summary'!$A$5:$A$14,0))</f>
        <v>-0.279187817258884</v>
      </c>
      <c r="K1484" s="42" t="n">
        <f aca="false">(F1484-INDEX('Cohort Summary'!$H$5:$H$14,MATCH($A1484,'Cohort Summary'!$A$5:$A$14,0)))/INDEX('Cohort Summary'!$I$5:$I$14,MATCH($A1484,'Cohort Summary'!$A$5:$A$14,0))</f>
        <v>-0.319727891156462</v>
      </c>
      <c r="L1484" s="42" t="n">
        <f aca="false">(G1484-INDEX('Cohort Summary'!$J$5:$J$14,MATCH($A1484,'Cohort Summary'!$A$5:$A$14,0)))/INDEX('Cohort Summary'!$K$5:$K$14,MATCH($A1484,'Cohort Summary'!$A$5:$A$14,0))</f>
        <v>-0.0172413793103537</v>
      </c>
      <c r="M1484" s="42" t="n">
        <f aca="false">MAX(I1484:K1484)</f>
        <v>-0.279187817258884</v>
      </c>
      <c r="N1484" s="27" t="s">
        <v>197</v>
      </c>
      <c r="O1484" s="27"/>
      <c r="P1484" s="27" t="str">
        <f aca="false">A1484&amp;"|"&amp;N1484</f>
        <v>NURSE-08|normal</v>
      </c>
    </row>
    <row r="1485" customFormat="false" ht="15" hidden="false" customHeight="true" outlineLevel="0" collapsed="false">
      <c r="A1485" s="27" t="s">
        <v>98</v>
      </c>
      <c r="B1485" s="41" t="n">
        <v>46303.3204861111</v>
      </c>
      <c r="C1485" s="27" t="s">
        <v>200</v>
      </c>
      <c r="D1485" s="27" t="n">
        <v>34.3</v>
      </c>
      <c r="E1485" s="27" t="n">
        <v>17</v>
      </c>
      <c r="F1485" s="27" t="n">
        <v>35.9</v>
      </c>
      <c r="G1485" s="27" t="n">
        <v>33.5</v>
      </c>
      <c r="H1485" s="27" t="s">
        <v>198</v>
      </c>
      <c r="I1485" s="42" t="n">
        <f aca="false">(D1485-INDEX('Cohort Summary'!$D$5:$D$14,MATCH($A1485,'Cohort Summary'!$A$5:$A$14,0)))/INDEX('Cohort Summary'!$E$5:$E$14,MATCH($A1485,'Cohort Summary'!$A$5:$A$14,0))</f>
        <v>-1.32857142857143</v>
      </c>
      <c r="J1485" s="42" t="n">
        <f aca="false">(E1485-INDEX('Cohort Summary'!$F$5:$F$14,MATCH($A1485,'Cohort Summary'!$A$5:$A$14,0)))/INDEX('Cohort Summary'!$G$5:$G$14,MATCH($A1485,'Cohort Summary'!$A$5:$A$14,0))</f>
        <v>-0.279187817258884</v>
      </c>
      <c r="K1485" s="42" t="n">
        <f aca="false">(F1485-INDEX('Cohort Summary'!$H$5:$H$14,MATCH($A1485,'Cohort Summary'!$A$5:$A$14,0)))/INDEX('Cohort Summary'!$I$5:$I$14,MATCH($A1485,'Cohort Summary'!$A$5:$A$14,0))</f>
        <v>1.6530612244898</v>
      </c>
      <c r="L1485" s="42" t="n">
        <f aca="false">(G1485-INDEX('Cohort Summary'!$J$5:$J$14,MATCH($A1485,'Cohort Summary'!$A$5:$A$14,0)))/INDEX('Cohort Summary'!$K$5:$K$14,MATCH($A1485,'Cohort Summary'!$A$5:$A$14,0))</f>
        <v>1.18965517241379</v>
      </c>
      <c r="M1485" s="42" t="n">
        <f aca="false">MAX(I1485:K1485)</f>
        <v>1.6530612244898</v>
      </c>
      <c r="N1485" s="27" t="s">
        <v>197</v>
      </c>
      <c r="O1485" s="27"/>
      <c r="P1485" s="27" t="str">
        <f aca="false">A1485&amp;"|"&amp;N1485</f>
        <v>NURSE-08|normal</v>
      </c>
    </row>
    <row r="1486" customFormat="false" ht="15" hidden="false" customHeight="true" outlineLevel="0" collapsed="false">
      <c r="A1486" s="27" t="s">
        <v>98</v>
      </c>
      <c r="B1486" s="41" t="n">
        <v>46303.3208333333</v>
      </c>
      <c r="C1486" s="27" t="s">
        <v>200</v>
      </c>
      <c r="D1486" s="27" t="n">
        <v>35.2</v>
      </c>
      <c r="E1486" s="27" t="n">
        <v>15.6</v>
      </c>
      <c r="F1486" s="27" t="n">
        <v>26.2</v>
      </c>
      <c r="G1486" s="27" t="n">
        <v>32.3</v>
      </c>
      <c r="H1486" s="27" t="s">
        <v>198</v>
      </c>
      <c r="I1486" s="42" t="n">
        <f aca="false">(D1486-INDEX('Cohort Summary'!$D$5:$D$14,MATCH($A1486,'Cohort Summary'!$A$5:$A$14,0)))/INDEX('Cohort Summary'!$E$5:$E$14,MATCH($A1486,'Cohort Summary'!$A$5:$A$14,0))</f>
        <v>-1.00714285714286</v>
      </c>
      <c r="J1486" s="42" t="n">
        <f aca="false">(E1486-INDEX('Cohort Summary'!$F$5:$F$14,MATCH($A1486,'Cohort Summary'!$A$5:$A$14,0)))/INDEX('Cohort Summary'!$G$5:$G$14,MATCH($A1486,'Cohort Summary'!$A$5:$A$14,0))</f>
        <v>-0.989847715736041</v>
      </c>
      <c r="K1486" s="42" t="n">
        <f aca="false">(F1486-INDEX('Cohort Summary'!$H$5:$H$14,MATCH($A1486,'Cohort Summary'!$A$5:$A$14,0)))/INDEX('Cohort Summary'!$I$5:$I$14,MATCH($A1486,'Cohort Summary'!$A$5:$A$14,0))</f>
        <v>-1.64625850340136</v>
      </c>
      <c r="L1486" s="42" t="n">
        <f aca="false">(G1486-INDEX('Cohort Summary'!$J$5:$J$14,MATCH($A1486,'Cohort Summary'!$A$5:$A$14,0)))/INDEX('Cohort Summary'!$K$5:$K$14,MATCH($A1486,'Cohort Summary'!$A$5:$A$14,0))</f>
        <v>-0.879310344827595</v>
      </c>
      <c r="M1486" s="42" t="n">
        <f aca="false">MAX(I1486:K1486)</f>
        <v>-0.989847715736041</v>
      </c>
      <c r="N1486" s="27" t="s">
        <v>197</v>
      </c>
      <c r="O1486" s="27"/>
      <c r="P1486" s="27" t="str">
        <f aca="false">A1486&amp;"|"&amp;N1486</f>
        <v>NURSE-08|normal</v>
      </c>
    </row>
    <row r="1487" customFormat="false" ht="15" hidden="false" customHeight="true" outlineLevel="0" collapsed="false">
      <c r="A1487" s="27" t="s">
        <v>98</v>
      </c>
      <c r="B1487" s="41" t="n">
        <v>46303.3211805556</v>
      </c>
      <c r="C1487" s="27" t="s">
        <v>200</v>
      </c>
      <c r="D1487" s="27" t="n">
        <v>33.2</v>
      </c>
      <c r="E1487" s="27" t="n">
        <v>16.9</v>
      </c>
      <c r="F1487" s="27" t="n">
        <v>35.2</v>
      </c>
      <c r="G1487" s="27" t="n">
        <v>33.4</v>
      </c>
      <c r="H1487" s="27" t="s">
        <v>199</v>
      </c>
      <c r="I1487" s="42" t="n">
        <f aca="false">(D1487-INDEX('Cohort Summary'!$D$5:$D$14,MATCH($A1487,'Cohort Summary'!$A$5:$A$14,0)))/INDEX('Cohort Summary'!$E$5:$E$14,MATCH($A1487,'Cohort Summary'!$A$5:$A$14,0))</f>
        <v>-1.72142857142857</v>
      </c>
      <c r="J1487" s="42" t="n">
        <f aca="false">(E1487-INDEX('Cohort Summary'!$F$5:$F$14,MATCH($A1487,'Cohort Summary'!$A$5:$A$14,0)))/INDEX('Cohort Summary'!$G$5:$G$14,MATCH($A1487,'Cohort Summary'!$A$5:$A$14,0))</f>
        <v>-0.329949238578681</v>
      </c>
      <c r="K1487" s="42" t="n">
        <f aca="false">(F1487-INDEX('Cohort Summary'!$H$5:$H$14,MATCH($A1487,'Cohort Summary'!$A$5:$A$14,0)))/INDEX('Cohort Summary'!$I$5:$I$14,MATCH($A1487,'Cohort Summary'!$A$5:$A$14,0))</f>
        <v>1.41496598639456</v>
      </c>
      <c r="L1487" s="42" t="n">
        <f aca="false">(G1487-INDEX('Cohort Summary'!$J$5:$J$14,MATCH($A1487,'Cohort Summary'!$A$5:$A$14,0)))/INDEX('Cohort Summary'!$K$5:$K$14,MATCH($A1487,'Cohort Summary'!$A$5:$A$14,0))</f>
        <v>1.01724137931034</v>
      </c>
      <c r="M1487" s="42" t="n">
        <f aca="false">MAX(I1487:K1487)</f>
        <v>1.41496598639456</v>
      </c>
      <c r="N1487" s="27" t="s">
        <v>197</v>
      </c>
      <c r="O1487" s="27"/>
      <c r="P1487" s="27" t="str">
        <f aca="false">A1487&amp;"|"&amp;N1487</f>
        <v>NURSE-08|normal</v>
      </c>
    </row>
    <row r="1488" customFormat="false" ht="15" hidden="false" customHeight="true" outlineLevel="0" collapsed="false">
      <c r="A1488" s="27" t="s">
        <v>98</v>
      </c>
      <c r="B1488" s="41" t="n">
        <v>46303.3215277778</v>
      </c>
      <c r="C1488" s="27" t="s">
        <v>200</v>
      </c>
      <c r="D1488" s="27" t="n">
        <v>39</v>
      </c>
      <c r="E1488" s="27" t="n">
        <v>16.1</v>
      </c>
      <c r="F1488" s="27" t="n">
        <v>33.3</v>
      </c>
      <c r="G1488" s="27" t="n">
        <v>33.2</v>
      </c>
      <c r="H1488" s="27" t="s">
        <v>196</v>
      </c>
      <c r="I1488" s="42" t="n">
        <f aca="false">(D1488-INDEX('Cohort Summary'!$D$5:$D$14,MATCH($A1488,'Cohort Summary'!$A$5:$A$14,0)))/INDEX('Cohort Summary'!$E$5:$E$14,MATCH($A1488,'Cohort Summary'!$A$5:$A$14,0))</f>
        <v>0.349999999999999</v>
      </c>
      <c r="J1488" s="42" t="n">
        <f aca="false">(E1488-INDEX('Cohort Summary'!$F$5:$F$14,MATCH($A1488,'Cohort Summary'!$A$5:$A$14,0)))/INDEX('Cohort Summary'!$G$5:$G$14,MATCH($A1488,'Cohort Summary'!$A$5:$A$14,0))</f>
        <v>-0.736040609137056</v>
      </c>
      <c r="K1488" s="42" t="n">
        <f aca="false">(F1488-INDEX('Cohort Summary'!$H$5:$H$14,MATCH($A1488,'Cohort Summary'!$A$5:$A$14,0)))/INDEX('Cohort Summary'!$I$5:$I$14,MATCH($A1488,'Cohort Summary'!$A$5:$A$14,0))</f>
        <v>0.768707482993197</v>
      </c>
      <c r="L1488" s="42" t="n">
        <f aca="false">(G1488-INDEX('Cohort Summary'!$J$5:$J$14,MATCH($A1488,'Cohort Summary'!$A$5:$A$14,0)))/INDEX('Cohort Summary'!$K$5:$K$14,MATCH($A1488,'Cohort Summary'!$A$5:$A$14,0))</f>
        <v>0.672413793103449</v>
      </c>
      <c r="M1488" s="42" t="n">
        <f aca="false">MAX(I1488:K1488)</f>
        <v>0.768707482993197</v>
      </c>
      <c r="N1488" s="27" t="s">
        <v>197</v>
      </c>
      <c r="O1488" s="27"/>
      <c r="P1488" s="27" t="str">
        <f aca="false">A1488&amp;"|"&amp;N1488</f>
        <v>NURSE-08|normal</v>
      </c>
    </row>
    <row r="1489" customFormat="false" ht="15" hidden="false" customHeight="true" outlineLevel="0" collapsed="false">
      <c r="A1489" s="27" t="s">
        <v>98</v>
      </c>
      <c r="B1489" s="41" t="n">
        <v>46303.321875</v>
      </c>
      <c r="C1489" s="27" t="s">
        <v>200</v>
      </c>
      <c r="D1489" s="27" t="n">
        <v>34.7</v>
      </c>
      <c r="E1489" s="27" t="n">
        <v>17.2</v>
      </c>
      <c r="F1489" s="27" t="n">
        <v>34.6</v>
      </c>
      <c r="G1489" s="27" t="n">
        <v>32.6</v>
      </c>
      <c r="H1489" s="27" t="s">
        <v>198</v>
      </c>
      <c r="I1489" s="42" t="n">
        <f aca="false">(D1489-INDEX('Cohort Summary'!$D$5:$D$14,MATCH($A1489,'Cohort Summary'!$A$5:$A$14,0)))/INDEX('Cohort Summary'!$E$5:$E$14,MATCH($A1489,'Cohort Summary'!$A$5:$A$14,0))</f>
        <v>-1.18571428571429</v>
      </c>
      <c r="J1489" s="42" t="n">
        <f aca="false">(E1489-INDEX('Cohort Summary'!$F$5:$F$14,MATCH($A1489,'Cohort Summary'!$A$5:$A$14,0)))/INDEX('Cohort Summary'!$G$5:$G$14,MATCH($A1489,'Cohort Summary'!$A$5:$A$14,0))</f>
        <v>-0.17766497461929</v>
      </c>
      <c r="K1489" s="42" t="n">
        <f aca="false">(F1489-INDEX('Cohort Summary'!$H$5:$H$14,MATCH($A1489,'Cohort Summary'!$A$5:$A$14,0)))/INDEX('Cohort Summary'!$I$5:$I$14,MATCH($A1489,'Cohort Summary'!$A$5:$A$14,0))</f>
        <v>1.2108843537415</v>
      </c>
      <c r="L1489" s="42" t="n">
        <f aca="false">(G1489-INDEX('Cohort Summary'!$J$5:$J$14,MATCH($A1489,'Cohort Summary'!$A$5:$A$14,0)))/INDEX('Cohort Summary'!$K$5:$K$14,MATCH($A1489,'Cohort Summary'!$A$5:$A$14,0))</f>
        <v>-0.362068965517243</v>
      </c>
      <c r="M1489" s="42" t="n">
        <f aca="false">MAX(I1489:K1489)</f>
        <v>1.2108843537415</v>
      </c>
      <c r="N1489" s="27" t="s">
        <v>197</v>
      </c>
      <c r="O1489" s="27"/>
      <c r="P1489" s="27" t="str">
        <f aca="false">A1489&amp;"|"&amp;N1489</f>
        <v>NURSE-08|normal</v>
      </c>
    </row>
    <row r="1490" customFormat="false" ht="15" hidden="false" customHeight="true" outlineLevel="0" collapsed="false">
      <c r="A1490" s="27" t="s">
        <v>98</v>
      </c>
      <c r="B1490" s="41" t="n">
        <v>46303.3222222222</v>
      </c>
      <c r="C1490" s="27" t="s">
        <v>200</v>
      </c>
      <c r="D1490" s="27" t="n">
        <v>37.7</v>
      </c>
      <c r="E1490" s="27" t="n">
        <v>18.3</v>
      </c>
      <c r="F1490" s="27" t="n">
        <v>27.9</v>
      </c>
      <c r="G1490" s="27" t="n">
        <v>33.5</v>
      </c>
      <c r="H1490" s="27" t="s">
        <v>198</v>
      </c>
      <c r="I1490" s="42" t="n">
        <f aca="false">(D1490-INDEX('Cohort Summary'!$D$5:$D$14,MATCH($A1490,'Cohort Summary'!$A$5:$A$14,0)))/INDEX('Cohort Summary'!$E$5:$E$14,MATCH($A1490,'Cohort Summary'!$A$5:$A$14,0))</f>
        <v>-0.114285714285714</v>
      </c>
      <c r="J1490" s="42" t="n">
        <f aca="false">(E1490-INDEX('Cohort Summary'!$F$5:$F$14,MATCH($A1490,'Cohort Summary'!$A$5:$A$14,0)))/INDEX('Cohort Summary'!$G$5:$G$14,MATCH($A1490,'Cohort Summary'!$A$5:$A$14,0))</f>
        <v>0.380710659898477</v>
      </c>
      <c r="K1490" s="42" t="n">
        <f aca="false">(F1490-INDEX('Cohort Summary'!$H$5:$H$14,MATCH($A1490,'Cohort Summary'!$A$5:$A$14,0)))/INDEX('Cohort Summary'!$I$5:$I$14,MATCH($A1490,'Cohort Summary'!$A$5:$A$14,0))</f>
        <v>-1.06802721088435</v>
      </c>
      <c r="L1490" s="42" t="n">
        <f aca="false">(G1490-INDEX('Cohort Summary'!$J$5:$J$14,MATCH($A1490,'Cohort Summary'!$A$5:$A$14,0)))/INDEX('Cohort Summary'!$K$5:$K$14,MATCH($A1490,'Cohort Summary'!$A$5:$A$14,0))</f>
        <v>1.18965517241379</v>
      </c>
      <c r="M1490" s="42" t="n">
        <f aca="false">MAX(I1490:K1490)</f>
        <v>0.380710659898477</v>
      </c>
      <c r="N1490" s="27" t="s">
        <v>197</v>
      </c>
      <c r="O1490" s="27"/>
      <c r="P1490" s="27" t="str">
        <f aca="false">A1490&amp;"|"&amp;N1490</f>
        <v>NURSE-08|normal</v>
      </c>
    </row>
    <row r="1491" customFormat="false" ht="15" hidden="false" customHeight="true" outlineLevel="0" collapsed="false">
      <c r="A1491" s="27" t="s">
        <v>98</v>
      </c>
      <c r="B1491" s="41" t="n">
        <v>46303.3225694444</v>
      </c>
      <c r="C1491" s="27" t="s">
        <v>200</v>
      </c>
      <c r="D1491" s="27" t="n">
        <v>41.5</v>
      </c>
      <c r="E1491" s="27" t="n">
        <v>19.7</v>
      </c>
      <c r="F1491" s="27" t="n">
        <v>30.9</v>
      </c>
      <c r="G1491" s="27" t="n">
        <v>32.2</v>
      </c>
      <c r="H1491" s="27" t="s">
        <v>199</v>
      </c>
      <c r="I1491" s="42" t="n">
        <f aca="false">(D1491-INDEX('Cohort Summary'!$D$5:$D$14,MATCH($A1491,'Cohort Summary'!$A$5:$A$14,0)))/INDEX('Cohort Summary'!$E$5:$E$14,MATCH($A1491,'Cohort Summary'!$A$5:$A$14,0))</f>
        <v>1.24285714285714</v>
      </c>
      <c r="J1491" s="42" t="n">
        <f aca="false">(E1491-INDEX('Cohort Summary'!$F$5:$F$14,MATCH($A1491,'Cohort Summary'!$A$5:$A$14,0)))/INDEX('Cohort Summary'!$G$5:$G$14,MATCH($A1491,'Cohort Summary'!$A$5:$A$14,0))</f>
        <v>1.09137055837563</v>
      </c>
      <c r="K1491" s="42" t="n">
        <f aca="false">(F1491-INDEX('Cohort Summary'!$H$5:$H$14,MATCH($A1491,'Cohort Summary'!$A$5:$A$14,0)))/INDEX('Cohort Summary'!$I$5:$I$14,MATCH($A1491,'Cohort Summary'!$A$5:$A$14,0))</f>
        <v>-0.0476190476190478</v>
      </c>
      <c r="L1491" s="42" t="n">
        <f aca="false">(G1491-INDEX('Cohort Summary'!$J$5:$J$14,MATCH($A1491,'Cohort Summary'!$A$5:$A$14,0)))/INDEX('Cohort Summary'!$K$5:$K$14,MATCH($A1491,'Cohort Summary'!$A$5:$A$14,0))</f>
        <v>-1.05172413793103</v>
      </c>
      <c r="M1491" s="42" t="n">
        <f aca="false">MAX(I1491:K1491)</f>
        <v>1.24285714285714</v>
      </c>
      <c r="N1491" s="27" t="s">
        <v>197</v>
      </c>
      <c r="O1491" s="27"/>
      <c r="P1491" s="27" t="str">
        <f aca="false">A1491&amp;"|"&amp;N1491</f>
        <v>NURSE-08|normal</v>
      </c>
    </row>
    <row r="1492" customFormat="false" ht="15" hidden="false" customHeight="true" outlineLevel="0" collapsed="false">
      <c r="A1492" s="27" t="s">
        <v>98</v>
      </c>
      <c r="B1492" s="41" t="n">
        <v>46303.3229166667</v>
      </c>
      <c r="C1492" s="27" t="s">
        <v>200</v>
      </c>
      <c r="D1492" s="27" t="n">
        <v>36.7</v>
      </c>
      <c r="E1492" s="27" t="n">
        <v>18.3</v>
      </c>
      <c r="F1492" s="27" t="n">
        <v>32</v>
      </c>
      <c r="G1492" s="27" t="n">
        <v>32.5</v>
      </c>
      <c r="H1492" s="27" t="s">
        <v>196</v>
      </c>
      <c r="I1492" s="42" t="n">
        <f aca="false">(D1492-INDEX('Cohort Summary'!$D$5:$D$14,MATCH($A1492,'Cohort Summary'!$A$5:$A$14,0)))/INDEX('Cohort Summary'!$E$5:$E$14,MATCH($A1492,'Cohort Summary'!$A$5:$A$14,0))</f>
        <v>-0.471428571428572</v>
      </c>
      <c r="J1492" s="42" t="n">
        <f aca="false">(E1492-INDEX('Cohort Summary'!$F$5:$F$14,MATCH($A1492,'Cohort Summary'!$A$5:$A$14,0)))/INDEX('Cohort Summary'!$G$5:$G$14,MATCH($A1492,'Cohort Summary'!$A$5:$A$14,0))</f>
        <v>0.380710659898477</v>
      </c>
      <c r="K1492" s="42" t="n">
        <f aca="false">(F1492-INDEX('Cohort Summary'!$H$5:$H$14,MATCH($A1492,'Cohort Summary'!$A$5:$A$14,0)))/INDEX('Cohort Summary'!$I$5:$I$14,MATCH($A1492,'Cohort Summary'!$A$5:$A$14,0))</f>
        <v>0.326530612244898</v>
      </c>
      <c r="L1492" s="42" t="n">
        <f aca="false">(G1492-INDEX('Cohort Summary'!$J$5:$J$14,MATCH($A1492,'Cohort Summary'!$A$5:$A$14,0)))/INDEX('Cohort Summary'!$K$5:$K$14,MATCH($A1492,'Cohort Summary'!$A$5:$A$14,0))</f>
        <v>-0.534482758620694</v>
      </c>
      <c r="M1492" s="42" t="n">
        <f aca="false">MAX(I1492:K1492)</f>
        <v>0.380710659898477</v>
      </c>
      <c r="N1492" s="27" t="s">
        <v>197</v>
      </c>
      <c r="O1492" s="27"/>
      <c r="P1492" s="27" t="str">
        <f aca="false">A1492&amp;"|"&amp;N1492</f>
        <v>NURSE-08|normal</v>
      </c>
    </row>
    <row r="1493" customFormat="false" ht="15" hidden="false" customHeight="true" outlineLevel="0" collapsed="false">
      <c r="A1493" s="27" t="s">
        <v>98</v>
      </c>
      <c r="B1493" s="41" t="n">
        <v>46303.3232638889</v>
      </c>
      <c r="C1493" s="27" t="s">
        <v>200</v>
      </c>
      <c r="D1493" s="27" t="n">
        <v>36.5</v>
      </c>
      <c r="E1493" s="27" t="n">
        <v>16.4</v>
      </c>
      <c r="F1493" s="27" t="n">
        <v>32</v>
      </c>
      <c r="G1493" s="27" t="n">
        <v>32</v>
      </c>
      <c r="H1493" s="27" t="s">
        <v>199</v>
      </c>
      <c r="I1493" s="42" t="n">
        <f aca="false">(D1493-INDEX('Cohort Summary'!$D$5:$D$14,MATCH($A1493,'Cohort Summary'!$A$5:$A$14,0)))/INDEX('Cohort Summary'!$E$5:$E$14,MATCH($A1493,'Cohort Summary'!$A$5:$A$14,0))</f>
        <v>-0.542857142857144</v>
      </c>
      <c r="J1493" s="42" t="n">
        <f aca="false">(E1493-INDEX('Cohort Summary'!$F$5:$F$14,MATCH($A1493,'Cohort Summary'!$A$5:$A$14,0)))/INDEX('Cohort Summary'!$G$5:$G$14,MATCH($A1493,'Cohort Summary'!$A$5:$A$14,0))</f>
        <v>-0.583756345177666</v>
      </c>
      <c r="K1493" s="42" t="n">
        <f aca="false">(F1493-INDEX('Cohort Summary'!$H$5:$H$14,MATCH($A1493,'Cohort Summary'!$A$5:$A$14,0)))/INDEX('Cohort Summary'!$I$5:$I$14,MATCH($A1493,'Cohort Summary'!$A$5:$A$14,0))</f>
        <v>0.326530612244898</v>
      </c>
      <c r="L1493" s="42" t="n">
        <f aca="false">(G1493-INDEX('Cohort Summary'!$J$5:$J$14,MATCH($A1493,'Cohort Summary'!$A$5:$A$14,0)))/INDEX('Cohort Summary'!$K$5:$K$14,MATCH($A1493,'Cohort Summary'!$A$5:$A$14,0))</f>
        <v>-1.39655172413794</v>
      </c>
      <c r="M1493" s="42" t="n">
        <f aca="false">MAX(I1493:K1493)</f>
        <v>0.326530612244898</v>
      </c>
      <c r="N1493" s="27" t="s">
        <v>197</v>
      </c>
      <c r="O1493" s="27"/>
      <c r="P1493" s="27" t="str">
        <f aca="false">A1493&amp;"|"&amp;N1493</f>
        <v>NURSE-08|normal</v>
      </c>
    </row>
    <row r="1494" customFormat="false" ht="15" hidden="false" customHeight="true" outlineLevel="0" collapsed="false">
      <c r="A1494" s="27" t="s">
        <v>98</v>
      </c>
      <c r="B1494" s="41" t="n">
        <v>46303.3236111111</v>
      </c>
      <c r="C1494" s="27" t="s">
        <v>200</v>
      </c>
      <c r="D1494" s="27" t="n">
        <v>36.3</v>
      </c>
      <c r="E1494" s="27" t="n">
        <v>19</v>
      </c>
      <c r="F1494" s="27" t="n">
        <v>34.2</v>
      </c>
      <c r="G1494" s="27" t="n">
        <v>32.1</v>
      </c>
      <c r="H1494" s="27" t="s">
        <v>198</v>
      </c>
      <c r="I1494" s="42" t="n">
        <f aca="false">(D1494-INDEX('Cohort Summary'!$D$5:$D$14,MATCH($A1494,'Cohort Summary'!$A$5:$A$14,0)))/INDEX('Cohort Summary'!$E$5:$E$14,MATCH($A1494,'Cohort Summary'!$A$5:$A$14,0))</f>
        <v>-0.614285714285716</v>
      </c>
      <c r="J1494" s="42" t="n">
        <f aca="false">(E1494-INDEX('Cohort Summary'!$F$5:$F$14,MATCH($A1494,'Cohort Summary'!$A$5:$A$14,0)))/INDEX('Cohort Summary'!$G$5:$G$14,MATCH($A1494,'Cohort Summary'!$A$5:$A$14,0))</f>
        <v>0.736040609137056</v>
      </c>
      <c r="K1494" s="42" t="n">
        <f aca="false">(F1494-INDEX('Cohort Summary'!$H$5:$H$14,MATCH($A1494,'Cohort Summary'!$A$5:$A$14,0)))/INDEX('Cohort Summary'!$I$5:$I$14,MATCH($A1494,'Cohort Summary'!$A$5:$A$14,0))</f>
        <v>1.07482993197279</v>
      </c>
      <c r="L1494" s="42" t="n">
        <f aca="false">(G1494-INDEX('Cohort Summary'!$J$5:$J$14,MATCH($A1494,'Cohort Summary'!$A$5:$A$14,0)))/INDEX('Cohort Summary'!$K$5:$K$14,MATCH($A1494,'Cohort Summary'!$A$5:$A$14,0))</f>
        <v>-1.22413793103448</v>
      </c>
      <c r="M1494" s="42" t="n">
        <f aca="false">MAX(I1494:K1494)</f>
        <v>1.07482993197279</v>
      </c>
      <c r="N1494" s="27" t="s">
        <v>197</v>
      </c>
      <c r="O1494" s="27"/>
      <c r="P1494" s="27" t="str">
        <f aca="false">A1494&amp;"|"&amp;N1494</f>
        <v>NURSE-08|normal</v>
      </c>
    </row>
    <row r="1495" customFormat="false" ht="15" hidden="false" customHeight="true" outlineLevel="0" collapsed="false">
      <c r="A1495" s="27" t="s">
        <v>98</v>
      </c>
      <c r="B1495" s="41" t="n">
        <v>46303.3239583333</v>
      </c>
      <c r="C1495" s="27" t="s">
        <v>200</v>
      </c>
      <c r="D1495" s="27" t="n">
        <v>38.9</v>
      </c>
      <c r="E1495" s="27" t="n">
        <v>19.8</v>
      </c>
      <c r="F1495" s="27" t="n">
        <v>26.6</v>
      </c>
      <c r="G1495" s="27" t="n">
        <v>32.9</v>
      </c>
      <c r="H1495" s="27" t="s">
        <v>196</v>
      </c>
      <c r="I1495" s="42" t="n">
        <f aca="false">(D1495-INDEX('Cohort Summary'!$D$5:$D$14,MATCH($A1495,'Cohort Summary'!$A$5:$A$14,0)))/INDEX('Cohort Summary'!$E$5:$E$14,MATCH($A1495,'Cohort Summary'!$A$5:$A$14,0))</f>
        <v>0.314285714285713</v>
      </c>
      <c r="J1495" s="42" t="n">
        <f aca="false">(E1495-INDEX('Cohort Summary'!$F$5:$F$14,MATCH($A1495,'Cohort Summary'!$A$5:$A$14,0)))/INDEX('Cohort Summary'!$G$5:$G$14,MATCH($A1495,'Cohort Summary'!$A$5:$A$14,0))</f>
        <v>1.14213197969543</v>
      </c>
      <c r="K1495" s="42" t="n">
        <f aca="false">(F1495-INDEX('Cohort Summary'!$H$5:$H$14,MATCH($A1495,'Cohort Summary'!$A$5:$A$14,0)))/INDEX('Cohort Summary'!$I$5:$I$14,MATCH($A1495,'Cohort Summary'!$A$5:$A$14,0))</f>
        <v>-1.51020408163265</v>
      </c>
      <c r="L1495" s="42" t="n">
        <f aca="false">(G1495-INDEX('Cohort Summary'!$J$5:$J$14,MATCH($A1495,'Cohort Summary'!$A$5:$A$14,0)))/INDEX('Cohort Summary'!$K$5:$K$14,MATCH($A1495,'Cohort Summary'!$A$5:$A$14,0))</f>
        <v>0.155172413793097</v>
      </c>
      <c r="M1495" s="42" t="n">
        <f aca="false">MAX(I1495:K1495)</f>
        <v>1.14213197969543</v>
      </c>
      <c r="N1495" s="27" t="s">
        <v>197</v>
      </c>
      <c r="O1495" s="27"/>
      <c r="P1495" s="27" t="str">
        <f aca="false">A1495&amp;"|"&amp;N1495</f>
        <v>NURSE-08|normal</v>
      </c>
    </row>
    <row r="1496" customFormat="false" ht="15" hidden="false" customHeight="true" outlineLevel="0" collapsed="false">
      <c r="A1496" s="27" t="s">
        <v>98</v>
      </c>
      <c r="B1496" s="41" t="n">
        <v>46303.3243055556</v>
      </c>
      <c r="C1496" s="27" t="s">
        <v>200</v>
      </c>
      <c r="D1496" s="27" t="n">
        <v>36.1</v>
      </c>
      <c r="E1496" s="27" t="n">
        <v>15.5</v>
      </c>
      <c r="F1496" s="27" t="n">
        <v>31</v>
      </c>
      <c r="G1496" s="27" t="n">
        <v>31.8</v>
      </c>
      <c r="H1496" s="27" t="s">
        <v>198</v>
      </c>
      <c r="I1496" s="42" t="n">
        <f aca="false">(D1496-INDEX('Cohort Summary'!$D$5:$D$14,MATCH($A1496,'Cohort Summary'!$A$5:$A$14,0)))/INDEX('Cohort Summary'!$E$5:$E$14,MATCH($A1496,'Cohort Summary'!$A$5:$A$14,0))</f>
        <v>-0.685714285714286</v>
      </c>
      <c r="J1496" s="42" t="n">
        <f aca="false">(E1496-INDEX('Cohort Summary'!$F$5:$F$14,MATCH($A1496,'Cohort Summary'!$A$5:$A$14,0)))/INDEX('Cohort Summary'!$G$5:$G$14,MATCH($A1496,'Cohort Summary'!$A$5:$A$14,0))</f>
        <v>-1.04060913705584</v>
      </c>
      <c r="K1496" s="42" t="n">
        <f aca="false">(F1496-INDEX('Cohort Summary'!$H$5:$H$14,MATCH($A1496,'Cohort Summary'!$A$5:$A$14,0)))/INDEX('Cohort Summary'!$I$5:$I$14,MATCH($A1496,'Cohort Summary'!$A$5:$A$14,0))</f>
        <v>-0.0136054421768705</v>
      </c>
      <c r="L1496" s="42" t="n">
        <f aca="false">(G1496-INDEX('Cohort Summary'!$J$5:$J$14,MATCH($A1496,'Cohort Summary'!$A$5:$A$14,0)))/INDEX('Cohort Summary'!$K$5:$K$14,MATCH($A1496,'Cohort Summary'!$A$5:$A$14,0))</f>
        <v>-1.74137931034483</v>
      </c>
      <c r="M1496" s="42" t="n">
        <f aca="false">MAX(I1496:K1496)</f>
        <v>-0.0136054421768705</v>
      </c>
      <c r="N1496" s="27" t="s">
        <v>197</v>
      </c>
      <c r="O1496" s="27"/>
      <c r="P1496" s="27" t="str">
        <f aca="false">A1496&amp;"|"&amp;N1496</f>
        <v>NURSE-08|normal</v>
      </c>
    </row>
    <row r="1497" customFormat="false" ht="15" hidden="false" customHeight="true" outlineLevel="0" collapsed="false">
      <c r="A1497" s="27" t="s">
        <v>98</v>
      </c>
      <c r="B1497" s="41" t="n">
        <v>46303.3246527778</v>
      </c>
      <c r="C1497" s="27" t="s">
        <v>200</v>
      </c>
      <c r="D1497" s="27" t="n">
        <v>43</v>
      </c>
      <c r="E1497" s="27" t="n">
        <v>17.7</v>
      </c>
      <c r="F1497" s="27" t="n">
        <v>35.6</v>
      </c>
      <c r="G1497" s="27" t="n">
        <v>32.3</v>
      </c>
      <c r="H1497" s="27" t="s">
        <v>198</v>
      </c>
      <c r="I1497" s="42" t="n">
        <f aca="false">(D1497-INDEX('Cohort Summary'!$D$5:$D$14,MATCH($A1497,'Cohort Summary'!$A$5:$A$14,0)))/INDEX('Cohort Summary'!$E$5:$E$14,MATCH($A1497,'Cohort Summary'!$A$5:$A$14,0))</f>
        <v>1.77857142857143</v>
      </c>
      <c r="J1497" s="42" t="n">
        <f aca="false">(E1497-INDEX('Cohort Summary'!$F$5:$F$14,MATCH($A1497,'Cohort Summary'!$A$5:$A$14,0)))/INDEX('Cohort Summary'!$G$5:$G$14,MATCH($A1497,'Cohort Summary'!$A$5:$A$14,0))</f>
        <v>0.0761421319796947</v>
      </c>
      <c r="K1497" s="42" t="n">
        <f aca="false">(F1497-INDEX('Cohort Summary'!$H$5:$H$14,MATCH($A1497,'Cohort Summary'!$A$5:$A$14,0)))/INDEX('Cohort Summary'!$I$5:$I$14,MATCH($A1497,'Cohort Summary'!$A$5:$A$14,0))</f>
        <v>1.55102040816327</v>
      </c>
      <c r="L1497" s="42" t="n">
        <f aca="false">(G1497-INDEX('Cohort Summary'!$J$5:$J$14,MATCH($A1497,'Cohort Summary'!$A$5:$A$14,0)))/INDEX('Cohort Summary'!$K$5:$K$14,MATCH($A1497,'Cohort Summary'!$A$5:$A$14,0))</f>
        <v>-0.879310344827595</v>
      </c>
      <c r="M1497" s="42" t="n">
        <f aca="false">MAX(I1497:K1497)</f>
        <v>1.77857142857143</v>
      </c>
      <c r="N1497" s="27" t="s">
        <v>197</v>
      </c>
      <c r="O1497" s="27"/>
      <c r="P1497" s="27" t="str">
        <f aca="false">A1497&amp;"|"&amp;N1497</f>
        <v>NURSE-08|normal</v>
      </c>
    </row>
    <row r="1498" customFormat="false" ht="15" hidden="false" customHeight="true" outlineLevel="0" collapsed="false">
      <c r="A1498" s="27" t="s">
        <v>98</v>
      </c>
      <c r="B1498" s="41" t="n">
        <v>46303.325</v>
      </c>
      <c r="C1498" s="27" t="s">
        <v>200</v>
      </c>
      <c r="D1498" s="27" t="n">
        <v>33.8</v>
      </c>
      <c r="E1498" s="27" t="n">
        <v>17.7</v>
      </c>
      <c r="F1498" s="27" t="n">
        <v>33</v>
      </c>
      <c r="G1498" s="27" t="n">
        <v>33.1</v>
      </c>
      <c r="H1498" s="27" t="s">
        <v>198</v>
      </c>
      <c r="I1498" s="42" t="n">
        <f aca="false">(D1498-INDEX('Cohort Summary'!$D$5:$D$14,MATCH($A1498,'Cohort Summary'!$A$5:$A$14,0)))/INDEX('Cohort Summary'!$E$5:$E$14,MATCH($A1498,'Cohort Summary'!$A$5:$A$14,0))</f>
        <v>-1.50714285714286</v>
      </c>
      <c r="J1498" s="42" t="n">
        <f aca="false">(E1498-INDEX('Cohort Summary'!$F$5:$F$14,MATCH($A1498,'Cohort Summary'!$A$5:$A$14,0)))/INDEX('Cohort Summary'!$G$5:$G$14,MATCH($A1498,'Cohort Summary'!$A$5:$A$14,0))</f>
        <v>0.0761421319796947</v>
      </c>
      <c r="K1498" s="42" t="n">
        <f aca="false">(F1498-INDEX('Cohort Summary'!$H$5:$H$14,MATCH($A1498,'Cohort Summary'!$A$5:$A$14,0)))/INDEX('Cohort Summary'!$I$5:$I$14,MATCH($A1498,'Cohort Summary'!$A$5:$A$14,0))</f>
        <v>0.666666666666667</v>
      </c>
      <c r="L1498" s="42" t="n">
        <f aca="false">(G1498-INDEX('Cohort Summary'!$J$5:$J$14,MATCH($A1498,'Cohort Summary'!$A$5:$A$14,0)))/INDEX('Cohort Summary'!$K$5:$K$14,MATCH($A1498,'Cohort Summary'!$A$5:$A$14,0))</f>
        <v>0.499999999999999</v>
      </c>
      <c r="M1498" s="42" t="n">
        <f aca="false">MAX(I1498:K1498)</f>
        <v>0.666666666666667</v>
      </c>
      <c r="N1498" s="27" t="s">
        <v>197</v>
      </c>
      <c r="O1498" s="27"/>
      <c r="P1498" s="27" t="str">
        <f aca="false">A1498&amp;"|"&amp;N1498</f>
        <v>NURSE-08|normal</v>
      </c>
    </row>
    <row r="1499" customFormat="false" ht="15" hidden="false" customHeight="true" outlineLevel="0" collapsed="false">
      <c r="A1499" s="27" t="s">
        <v>98</v>
      </c>
      <c r="B1499" s="41" t="n">
        <v>46303.3253472222</v>
      </c>
      <c r="C1499" s="27" t="s">
        <v>200</v>
      </c>
      <c r="D1499" s="27" t="n">
        <v>38.8</v>
      </c>
      <c r="E1499" s="27" t="n">
        <v>20.5</v>
      </c>
      <c r="F1499" s="27" t="n">
        <v>35.5</v>
      </c>
      <c r="G1499" s="27" t="n">
        <v>33.6</v>
      </c>
      <c r="H1499" s="27" t="s">
        <v>199</v>
      </c>
      <c r="I1499" s="42" t="n">
        <f aca="false">(D1499-INDEX('Cohort Summary'!$D$5:$D$14,MATCH($A1499,'Cohort Summary'!$A$5:$A$14,0)))/INDEX('Cohort Summary'!$E$5:$E$14,MATCH($A1499,'Cohort Summary'!$A$5:$A$14,0))</f>
        <v>0.278571428571426</v>
      </c>
      <c r="J1499" s="42" t="n">
        <f aca="false">(E1499-INDEX('Cohort Summary'!$F$5:$F$14,MATCH($A1499,'Cohort Summary'!$A$5:$A$14,0)))/INDEX('Cohort Summary'!$G$5:$G$14,MATCH($A1499,'Cohort Summary'!$A$5:$A$14,0))</f>
        <v>1.49746192893401</v>
      </c>
      <c r="K1499" s="42" t="n">
        <f aca="false">(F1499-INDEX('Cohort Summary'!$H$5:$H$14,MATCH($A1499,'Cohort Summary'!$A$5:$A$14,0)))/INDEX('Cohort Summary'!$I$5:$I$14,MATCH($A1499,'Cohort Summary'!$A$5:$A$14,0))</f>
        <v>1.51700680272109</v>
      </c>
      <c r="L1499" s="42" t="n">
        <f aca="false">(G1499-INDEX('Cohort Summary'!$J$5:$J$14,MATCH($A1499,'Cohort Summary'!$A$5:$A$14,0)))/INDEX('Cohort Summary'!$K$5:$K$14,MATCH($A1499,'Cohort Summary'!$A$5:$A$14,0))</f>
        <v>1.36206896551724</v>
      </c>
      <c r="M1499" s="42" t="n">
        <f aca="false">MAX(I1499:K1499)</f>
        <v>1.51700680272109</v>
      </c>
      <c r="N1499" s="27" t="s">
        <v>197</v>
      </c>
      <c r="O1499" s="27"/>
      <c r="P1499" s="27" t="str">
        <f aca="false">A1499&amp;"|"&amp;N1499</f>
        <v>NURSE-08|normal</v>
      </c>
    </row>
    <row r="1500" customFormat="false" ht="15" hidden="false" customHeight="true" outlineLevel="0" collapsed="false">
      <c r="A1500" s="27" t="s">
        <v>98</v>
      </c>
      <c r="B1500" s="41" t="n">
        <v>46303.3256944444</v>
      </c>
      <c r="C1500" s="27" t="s">
        <v>200</v>
      </c>
      <c r="D1500" s="27" t="n">
        <v>42.1</v>
      </c>
      <c r="E1500" s="27" t="n">
        <v>19.3</v>
      </c>
      <c r="F1500" s="27" t="n">
        <v>29.5</v>
      </c>
      <c r="G1500" s="27" t="n">
        <v>31.8</v>
      </c>
      <c r="H1500" s="27" t="s">
        <v>199</v>
      </c>
      <c r="I1500" s="42" t="n">
        <f aca="false">(D1500-INDEX('Cohort Summary'!$D$5:$D$14,MATCH($A1500,'Cohort Summary'!$A$5:$A$14,0)))/INDEX('Cohort Summary'!$E$5:$E$14,MATCH($A1500,'Cohort Summary'!$A$5:$A$14,0))</f>
        <v>1.45714285714286</v>
      </c>
      <c r="J1500" s="42" t="n">
        <f aca="false">(E1500-INDEX('Cohort Summary'!$F$5:$F$14,MATCH($A1500,'Cohort Summary'!$A$5:$A$14,0)))/INDEX('Cohort Summary'!$G$5:$G$14,MATCH($A1500,'Cohort Summary'!$A$5:$A$14,0))</f>
        <v>0.888324873096447</v>
      </c>
      <c r="K1500" s="42" t="n">
        <f aca="false">(F1500-INDEX('Cohort Summary'!$H$5:$H$14,MATCH($A1500,'Cohort Summary'!$A$5:$A$14,0)))/INDEX('Cohort Summary'!$I$5:$I$14,MATCH($A1500,'Cohort Summary'!$A$5:$A$14,0))</f>
        <v>-0.523809523809524</v>
      </c>
      <c r="L1500" s="42" t="n">
        <f aca="false">(G1500-INDEX('Cohort Summary'!$J$5:$J$14,MATCH($A1500,'Cohort Summary'!$A$5:$A$14,0)))/INDEX('Cohort Summary'!$K$5:$K$14,MATCH($A1500,'Cohort Summary'!$A$5:$A$14,0))</f>
        <v>-1.74137931034483</v>
      </c>
      <c r="M1500" s="42" t="n">
        <f aca="false">MAX(I1500:K1500)</f>
        <v>1.45714285714286</v>
      </c>
      <c r="N1500" s="27" t="s">
        <v>197</v>
      </c>
      <c r="O1500" s="27"/>
      <c r="P1500" s="27" t="str">
        <f aca="false">A1500&amp;"|"&amp;N1500</f>
        <v>NURSE-08|normal</v>
      </c>
    </row>
    <row r="1501" customFormat="false" ht="15" hidden="false" customHeight="true" outlineLevel="0" collapsed="false">
      <c r="A1501" s="27" t="s">
        <v>98</v>
      </c>
      <c r="B1501" s="41" t="n">
        <v>46303.3260416667</v>
      </c>
      <c r="C1501" s="27" t="s">
        <v>200</v>
      </c>
      <c r="D1501" s="27" t="n">
        <v>35.5</v>
      </c>
      <c r="E1501" s="27" t="n">
        <v>16.6</v>
      </c>
      <c r="F1501" s="27" t="n">
        <v>31.8</v>
      </c>
      <c r="G1501" s="27" t="n">
        <v>32.3</v>
      </c>
      <c r="H1501" s="27" t="s">
        <v>196</v>
      </c>
      <c r="I1501" s="42" t="n">
        <f aca="false">(D1501-INDEX('Cohort Summary'!$D$5:$D$14,MATCH($A1501,'Cohort Summary'!$A$5:$A$14,0)))/INDEX('Cohort Summary'!$E$5:$E$14,MATCH($A1501,'Cohort Summary'!$A$5:$A$14,0))</f>
        <v>-0.900000000000001</v>
      </c>
      <c r="J1501" s="42" t="n">
        <f aca="false">(E1501-INDEX('Cohort Summary'!$F$5:$F$14,MATCH($A1501,'Cohort Summary'!$A$5:$A$14,0)))/INDEX('Cohort Summary'!$G$5:$G$14,MATCH($A1501,'Cohort Summary'!$A$5:$A$14,0))</f>
        <v>-0.482233502538071</v>
      </c>
      <c r="K1501" s="42" t="n">
        <f aca="false">(F1501-INDEX('Cohort Summary'!$H$5:$H$14,MATCH($A1501,'Cohort Summary'!$A$5:$A$14,0)))/INDEX('Cohort Summary'!$I$5:$I$14,MATCH($A1501,'Cohort Summary'!$A$5:$A$14,0))</f>
        <v>0.258503401360545</v>
      </c>
      <c r="L1501" s="42" t="n">
        <f aca="false">(G1501-INDEX('Cohort Summary'!$J$5:$J$14,MATCH($A1501,'Cohort Summary'!$A$5:$A$14,0)))/INDEX('Cohort Summary'!$K$5:$K$14,MATCH($A1501,'Cohort Summary'!$A$5:$A$14,0))</f>
        <v>-0.879310344827595</v>
      </c>
      <c r="M1501" s="42" t="n">
        <f aca="false">MAX(I1501:K1501)</f>
        <v>0.258503401360545</v>
      </c>
      <c r="N1501" s="27" t="s">
        <v>197</v>
      </c>
      <c r="O1501" s="27"/>
      <c r="P1501" s="27" t="str">
        <f aca="false">A1501&amp;"|"&amp;N1501</f>
        <v>NURSE-08|normal</v>
      </c>
    </row>
    <row r="1502" customFormat="false" ht="15" hidden="false" customHeight="true" outlineLevel="0" collapsed="false">
      <c r="A1502" s="27" t="s">
        <v>98</v>
      </c>
      <c r="B1502" s="41" t="n">
        <v>46303.3263888889</v>
      </c>
      <c r="C1502" s="27" t="s">
        <v>200</v>
      </c>
      <c r="D1502" s="27" t="n">
        <v>38.3</v>
      </c>
      <c r="E1502" s="27" t="n">
        <v>17.2</v>
      </c>
      <c r="F1502" s="27" t="n">
        <v>31.9</v>
      </c>
      <c r="G1502" s="27" t="n">
        <v>32.5</v>
      </c>
      <c r="H1502" s="27" t="s">
        <v>196</v>
      </c>
      <c r="I1502" s="42" t="n">
        <f aca="false">(D1502-INDEX('Cohort Summary'!$D$5:$D$14,MATCH($A1502,'Cohort Summary'!$A$5:$A$14,0)))/INDEX('Cohort Summary'!$E$5:$E$14,MATCH($A1502,'Cohort Summary'!$A$5:$A$14,0))</f>
        <v>0.0999999999999979</v>
      </c>
      <c r="J1502" s="42" t="n">
        <f aca="false">(E1502-INDEX('Cohort Summary'!$F$5:$F$14,MATCH($A1502,'Cohort Summary'!$A$5:$A$14,0)))/INDEX('Cohort Summary'!$G$5:$G$14,MATCH($A1502,'Cohort Summary'!$A$5:$A$14,0))</f>
        <v>-0.17766497461929</v>
      </c>
      <c r="K1502" s="42" t="n">
        <f aca="false">(F1502-INDEX('Cohort Summary'!$H$5:$H$14,MATCH($A1502,'Cohort Summary'!$A$5:$A$14,0)))/INDEX('Cohort Summary'!$I$5:$I$14,MATCH($A1502,'Cohort Summary'!$A$5:$A$14,0))</f>
        <v>0.292517006802721</v>
      </c>
      <c r="L1502" s="42" t="n">
        <f aca="false">(G1502-INDEX('Cohort Summary'!$J$5:$J$14,MATCH($A1502,'Cohort Summary'!$A$5:$A$14,0)))/INDEX('Cohort Summary'!$K$5:$K$14,MATCH($A1502,'Cohort Summary'!$A$5:$A$14,0))</f>
        <v>-0.534482758620694</v>
      </c>
      <c r="M1502" s="42" t="n">
        <f aca="false">MAX(I1502:K1502)</f>
        <v>0.292517006802721</v>
      </c>
      <c r="N1502" s="27" t="s">
        <v>197</v>
      </c>
      <c r="O1502" s="27"/>
      <c r="P1502" s="27" t="str">
        <f aca="false">A1502&amp;"|"&amp;N1502</f>
        <v>NURSE-08|normal</v>
      </c>
    </row>
    <row r="1503" customFormat="false" ht="15" hidden="false" customHeight="true" outlineLevel="0" collapsed="false">
      <c r="A1503" s="27" t="s">
        <v>98</v>
      </c>
      <c r="B1503" s="41" t="n">
        <v>46303.3267361111</v>
      </c>
      <c r="C1503" s="27" t="s">
        <v>200</v>
      </c>
      <c r="D1503" s="27" t="n">
        <v>40</v>
      </c>
      <c r="E1503" s="27" t="n">
        <v>16.4</v>
      </c>
      <c r="F1503" s="27" t="n">
        <v>27.4</v>
      </c>
      <c r="G1503" s="27" t="n">
        <v>32</v>
      </c>
      <c r="H1503" s="27" t="s">
        <v>199</v>
      </c>
      <c r="I1503" s="42" t="n">
        <f aca="false">(D1503-INDEX('Cohort Summary'!$D$5:$D$14,MATCH($A1503,'Cohort Summary'!$A$5:$A$14,0)))/INDEX('Cohort Summary'!$E$5:$E$14,MATCH($A1503,'Cohort Summary'!$A$5:$A$14,0))</f>
        <v>0.707142857142856</v>
      </c>
      <c r="J1503" s="42" t="n">
        <f aca="false">(E1503-INDEX('Cohort Summary'!$F$5:$F$14,MATCH($A1503,'Cohort Summary'!$A$5:$A$14,0)))/INDEX('Cohort Summary'!$G$5:$G$14,MATCH($A1503,'Cohort Summary'!$A$5:$A$14,0))</f>
        <v>-0.583756345177666</v>
      </c>
      <c r="K1503" s="42" t="n">
        <f aca="false">(F1503-INDEX('Cohort Summary'!$H$5:$H$14,MATCH($A1503,'Cohort Summary'!$A$5:$A$14,0)))/INDEX('Cohort Summary'!$I$5:$I$14,MATCH($A1503,'Cohort Summary'!$A$5:$A$14,0))</f>
        <v>-1.23809523809524</v>
      </c>
      <c r="L1503" s="42" t="n">
        <f aca="false">(G1503-INDEX('Cohort Summary'!$J$5:$J$14,MATCH($A1503,'Cohort Summary'!$A$5:$A$14,0)))/INDEX('Cohort Summary'!$K$5:$K$14,MATCH($A1503,'Cohort Summary'!$A$5:$A$14,0))</f>
        <v>-1.39655172413794</v>
      </c>
      <c r="M1503" s="42" t="n">
        <f aca="false">MAX(I1503:K1503)</f>
        <v>0.707142857142856</v>
      </c>
      <c r="N1503" s="27" t="s">
        <v>197</v>
      </c>
      <c r="O1503" s="27"/>
      <c r="P1503" s="27" t="str">
        <f aca="false">A1503&amp;"|"&amp;N1503</f>
        <v>NURSE-08|normal</v>
      </c>
    </row>
    <row r="1504" customFormat="false" ht="15" hidden="false" customHeight="true" outlineLevel="0" collapsed="false">
      <c r="A1504" s="27" t="s">
        <v>98</v>
      </c>
      <c r="B1504" s="41" t="n">
        <v>46303.3270833333</v>
      </c>
      <c r="C1504" s="27" t="s">
        <v>200</v>
      </c>
      <c r="D1504" s="27" t="n">
        <v>37.5</v>
      </c>
      <c r="E1504" s="27" t="n">
        <v>15.7</v>
      </c>
      <c r="F1504" s="27" t="n">
        <v>27.8</v>
      </c>
      <c r="G1504" s="27" t="n">
        <v>33.2</v>
      </c>
      <c r="H1504" s="27" t="s">
        <v>199</v>
      </c>
      <c r="I1504" s="42" t="n">
        <f aca="false">(D1504-INDEX('Cohort Summary'!$D$5:$D$14,MATCH($A1504,'Cohort Summary'!$A$5:$A$14,0)))/INDEX('Cohort Summary'!$E$5:$E$14,MATCH($A1504,'Cohort Summary'!$A$5:$A$14,0))</f>
        <v>-0.185714285714287</v>
      </c>
      <c r="J1504" s="42" t="n">
        <f aca="false">(E1504-INDEX('Cohort Summary'!$F$5:$F$14,MATCH($A1504,'Cohort Summary'!$A$5:$A$14,0)))/INDEX('Cohort Summary'!$G$5:$G$14,MATCH($A1504,'Cohort Summary'!$A$5:$A$14,0))</f>
        <v>-0.939086294416244</v>
      </c>
      <c r="K1504" s="42" t="n">
        <f aca="false">(F1504-INDEX('Cohort Summary'!$H$5:$H$14,MATCH($A1504,'Cohort Summary'!$A$5:$A$14,0)))/INDEX('Cohort Summary'!$I$5:$I$14,MATCH($A1504,'Cohort Summary'!$A$5:$A$14,0))</f>
        <v>-1.10204081632653</v>
      </c>
      <c r="L1504" s="42" t="n">
        <f aca="false">(G1504-INDEX('Cohort Summary'!$J$5:$J$14,MATCH($A1504,'Cohort Summary'!$A$5:$A$14,0)))/INDEX('Cohort Summary'!$K$5:$K$14,MATCH($A1504,'Cohort Summary'!$A$5:$A$14,0))</f>
        <v>0.672413793103449</v>
      </c>
      <c r="M1504" s="42" t="n">
        <f aca="false">MAX(I1504:K1504)</f>
        <v>-0.185714285714287</v>
      </c>
      <c r="N1504" s="27" t="s">
        <v>197</v>
      </c>
      <c r="O1504" s="27"/>
      <c r="P1504" s="27" t="str">
        <f aca="false">A1504&amp;"|"&amp;N1504</f>
        <v>NURSE-08|normal</v>
      </c>
    </row>
    <row r="1505" customFormat="false" ht="15" hidden="false" customHeight="true" outlineLevel="0" collapsed="false">
      <c r="A1505" s="27" t="s">
        <v>98</v>
      </c>
      <c r="B1505" s="41" t="n">
        <v>46303.3274305556</v>
      </c>
      <c r="C1505" s="27" t="s">
        <v>200</v>
      </c>
      <c r="D1505" s="27" t="n">
        <v>42.4</v>
      </c>
      <c r="E1505" s="27" t="n">
        <v>16.4</v>
      </c>
      <c r="F1505" s="27" t="n">
        <v>34.2</v>
      </c>
      <c r="G1505" s="27" t="n">
        <v>32.7</v>
      </c>
      <c r="H1505" s="27" t="s">
        <v>199</v>
      </c>
      <c r="I1505" s="42" t="n">
        <f aca="false">(D1505-INDEX('Cohort Summary'!$D$5:$D$14,MATCH($A1505,'Cohort Summary'!$A$5:$A$14,0)))/INDEX('Cohort Summary'!$E$5:$E$14,MATCH($A1505,'Cohort Summary'!$A$5:$A$14,0))</f>
        <v>1.56428571428571</v>
      </c>
      <c r="J1505" s="42" t="n">
        <f aca="false">(E1505-INDEX('Cohort Summary'!$F$5:$F$14,MATCH($A1505,'Cohort Summary'!$A$5:$A$14,0)))/INDEX('Cohort Summary'!$G$5:$G$14,MATCH($A1505,'Cohort Summary'!$A$5:$A$14,0))</f>
        <v>-0.583756345177666</v>
      </c>
      <c r="K1505" s="42" t="n">
        <f aca="false">(F1505-INDEX('Cohort Summary'!$H$5:$H$14,MATCH($A1505,'Cohort Summary'!$A$5:$A$14,0)))/INDEX('Cohort Summary'!$I$5:$I$14,MATCH($A1505,'Cohort Summary'!$A$5:$A$14,0))</f>
        <v>1.07482993197279</v>
      </c>
      <c r="L1505" s="42" t="n">
        <f aca="false">(G1505-INDEX('Cohort Summary'!$J$5:$J$14,MATCH($A1505,'Cohort Summary'!$A$5:$A$14,0)))/INDEX('Cohort Summary'!$K$5:$K$14,MATCH($A1505,'Cohort Summary'!$A$5:$A$14,0))</f>
        <v>-0.189655172413792</v>
      </c>
      <c r="M1505" s="42" t="n">
        <f aca="false">MAX(I1505:K1505)</f>
        <v>1.56428571428571</v>
      </c>
      <c r="N1505" s="27" t="s">
        <v>197</v>
      </c>
      <c r="O1505" s="27"/>
      <c r="P1505" s="27" t="str">
        <f aca="false">A1505&amp;"|"&amp;N1505</f>
        <v>NURSE-08|normal</v>
      </c>
    </row>
    <row r="1506" customFormat="false" ht="15" hidden="false" customHeight="true" outlineLevel="0" collapsed="false">
      <c r="A1506" s="27" t="s">
        <v>98</v>
      </c>
      <c r="B1506" s="41" t="n">
        <v>46303.3277777778</v>
      </c>
      <c r="C1506" s="27" t="s">
        <v>200</v>
      </c>
      <c r="D1506" s="27" t="n">
        <v>37.1</v>
      </c>
      <c r="E1506" s="27" t="n">
        <v>17.9</v>
      </c>
      <c r="F1506" s="27" t="n">
        <v>34.5</v>
      </c>
      <c r="G1506" s="27" t="n">
        <v>32.2</v>
      </c>
      <c r="H1506" s="27" t="s">
        <v>198</v>
      </c>
      <c r="I1506" s="42" t="n">
        <f aca="false">(D1506-INDEX('Cohort Summary'!$D$5:$D$14,MATCH($A1506,'Cohort Summary'!$A$5:$A$14,0)))/INDEX('Cohort Summary'!$E$5:$E$14,MATCH($A1506,'Cohort Summary'!$A$5:$A$14,0))</f>
        <v>-0.328571428571429</v>
      </c>
      <c r="J1506" s="42" t="n">
        <f aca="false">(E1506-INDEX('Cohort Summary'!$F$5:$F$14,MATCH($A1506,'Cohort Summary'!$A$5:$A$14,0)))/INDEX('Cohort Summary'!$G$5:$G$14,MATCH($A1506,'Cohort Summary'!$A$5:$A$14,0))</f>
        <v>0.177664974619288</v>
      </c>
      <c r="K1506" s="42" t="n">
        <f aca="false">(F1506-INDEX('Cohort Summary'!$H$5:$H$14,MATCH($A1506,'Cohort Summary'!$A$5:$A$14,0)))/INDEX('Cohort Summary'!$I$5:$I$14,MATCH($A1506,'Cohort Summary'!$A$5:$A$14,0))</f>
        <v>1.17687074829932</v>
      </c>
      <c r="L1506" s="42" t="n">
        <f aca="false">(G1506-INDEX('Cohort Summary'!$J$5:$J$14,MATCH($A1506,'Cohort Summary'!$A$5:$A$14,0)))/INDEX('Cohort Summary'!$K$5:$K$14,MATCH($A1506,'Cohort Summary'!$A$5:$A$14,0))</f>
        <v>-1.05172413793103</v>
      </c>
      <c r="M1506" s="42" t="n">
        <f aca="false">MAX(I1506:K1506)</f>
        <v>1.17687074829932</v>
      </c>
      <c r="N1506" s="27" t="s">
        <v>197</v>
      </c>
      <c r="O1506" s="27"/>
      <c r="P1506" s="27" t="str">
        <f aca="false">A1506&amp;"|"&amp;N1506</f>
        <v>NURSE-08|normal</v>
      </c>
    </row>
    <row r="1507" customFormat="false" ht="15" hidden="false" customHeight="true" outlineLevel="0" collapsed="false">
      <c r="A1507" s="27" t="s">
        <v>98</v>
      </c>
      <c r="B1507" s="41" t="n">
        <v>46303.328125</v>
      </c>
      <c r="C1507" s="27" t="s">
        <v>200</v>
      </c>
      <c r="D1507" s="27" t="n">
        <v>38.4</v>
      </c>
      <c r="E1507" s="27" t="n">
        <v>20</v>
      </c>
      <c r="F1507" s="27" t="n">
        <v>26.6</v>
      </c>
      <c r="G1507" s="27" t="n">
        <v>33.4</v>
      </c>
      <c r="H1507" s="27" t="s">
        <v>199</v>
      </c>
      <c r="I1507" s="42" t="n">
        <f aca="false">(D1507-INDEX('Cohort Summary'!$D$5:$D$14,MATCH($A1507,'Cohort Summary'!$A$5:$A$14,0)))/INDEX('Cohort Summary'!$E$5:$E$14,MATCH($A1507,'Cohort Summary'!$A$5:$A$14,0))</f>
        <v>0.135714285714284</v>
      </c>
      <c r="J1507" s="42" t="n">
        <f aca="false">(E1507-INDEX('Cohort Summary'!$F$5:$F$14,MATCH($A1507,'Cohort Summary'!$A$5:$A$14,0)))/INDEX('Cohort Summary'!$G$5:$G$14,MATCH($A1507,'Cohort Summary'!$A$5:$A$14,0))</f>
        <v>1.24365482233503</v>
      </c>
      <c r="K1507" s="42" t="n">
        <f aca="false">(F1507-INDEX('Cohort Summary'!$H$5:$H$14,MATCH($A1507,'Cohort Summary'!$A$5:$A$14,0)))/INDEX('Cohort Summary'!$I$5:$I$14,MATCH($A1507,'Cohort Summary'!$A$5:$A$14,0))</f>
        <v>-1.51020408163265</v>
      </c>
      <c r="L1507" s="42" t="n">
        <f aca="false">(G1507-INDEX('Cohort Summary'!$J$5:$J$14,MATCH($A1507,'Cohort Summary'!$A$5:$A$14,0)))/INDEX('Cohort Summary'!$K$5:$K$14,MATCH($A1507,'Cohort Summary'!$A$5:$A$14,0))</f>
        <v>1.01724137931034</v>
      </c>
      <c r="M1507" s="42" t="n">
        <f aca="false">MAX(I1507:K1507)</f>
        <v>1.24365482233503</v>
      </c>
      <c r="N1507" s="27" t="s">
        <v>197</v>
      </c>
      <c r="O1507" s="27"/>
      <c r="P1507" s="27" t="str">
        <f aca="false">A1507&amp;"|"&amp;N1507</f>
        <v>NURSE-08|normal</v>
      </c>
    </row>
    <row r="1508" customFormat="false" ht="15" hidden="false" customHeight="true" outlineLevel="0" collapsed="false">
      <c r="A1508" s="27" t="s">
        <v>98</v>
      </c>
      <c r="B1508" s="41" t="n">
        <v>46303.3284722222</v>
      </c>
      <c r="C1508" s="27" t="s">
        <v>200</v>
      </c>
      <c r="D1508" s="27" t="n">
        <v>36.4</v>
      </c>
      <c r="E1508" s="27" t="n">
        <v>16.9</v>
      </c>
      <c r="F1508" s="27" t="n">
        <v>34.5</v>
      </c>
      <c r="G1508" s="27" t="n">
        <v>32.4</v>
      </c>
      <c r="H1508" s="27" t="s">
        <v>198</v>
      </c>
      <c r="I1508" s="42" t="n">
        <f aca="false">(D1508-INDEX('Cohort Summary'!$D$5:$D$14,MATCH($A1508,'Cohort Summary'!$A$5:$A$14,0)))/INDEX('Cohort Summary'!$E$5:$E$14,MATCH($A1508,'Cohort Summary'!$A$5:$A$14,0))</f>
        <v>-0.57857142857143</v>
      </c>
      <c r="J1508" s="42" t="n">
        <f aca="false">(E1508-INDEX('Cohort Summary'!$F$5:$F$14,MATCH($A1508,'Cohort Summary'!$A$5:$A$14,0)))/INDEX('Cohort Summary'!$G$5:$G$14,MATCH($A1508,'Cohort Summary'!$A$5:$A$14,0))</f>
        <v>-0.329949238578681</v>
      </c>
      <c r="K1508" s="42" t="n">
        <f aca="false">(F1508-INDEX('Cohort Summary'!$H$5:$H$14,MATCH($A1508,'Cohort Summary'!$A$5:$A$14,0)))/INDEX('Cohort Summary'!$I$5:$I$14,MATCH($A1508,'Cohort Summary'!$A$5:$A$14,0))</f>
        <v>1.17687074829932</v>
      </c>
      <c r="L1508" s="42" t="n">
        <f aca="false">(G1508-INDEX('Cohort Summary'!$J$5:$J$14,MATCH($A1508,'Cohort Summary'!$A$5:$A$14,0)))/INDEX('Cohort Summary'!$K$5:$K$14,MATCH($A1508,'Cohort Summary'!$A$5:$A$14,0))</f>
        <v>-0.706896551724144</v>
      </c>
      <c r="M1508" s="42" t="n">
        <f aca="false">MAX(I1508:K1508)</f>
        <v>1.17687074829932</v>
      </c>
      <c r="N1508" s="27" t="s">
        <v>197</v>
      </c>
      <c r="O1508" s="27"/>
      <c r="P1508" s="27" t="str">
        <f aca="false">A1508&amp;"|"&amp;N1508</f>
        <v>NURSE-08|normal</v>
      </c>
    </row>
    <row r="1509" customFormat="false" ht="15" hidden="false" customHeight="true" outlineLevel="0" collapsed="false">
      <c r="A1509" s="27" t="s">
        <v>98</v>
      </c>
      <c r="B1509" s="41" t="n">
        <v>46303.3288194445</v>
      </c>
      <c r="C1509" s="27" t="s">
        <v>200</v>
      </c>
      <c r="D1509" s="27" t="n">
        <v>33</v>
      </c>
      <c r="E1509" s="27" t="n">
        <v>14.6</v>
      </c>
      <c r="F1509" s="27" t="n">
        <v>33.1</v>
      </c>
      <c r="G1509" s="27" t="n">
        <v>32.1</v>
      </c>
      <c r="H1509" s="27" t="s">
        <v>199</v>
      </c>
      <c r="I1509" s="42" t="n">
        <f aca="false">(D1509-INDEX('Cohort Summary'!$D$5:$D$14,MATCH($A1509,'Cohort Summary'!$A$5:$A$14,0)))/INDEX('Cohort Summary'!$E$5:$E$14,MATCH($A1509,'Cohort Summary'!$A$5:$A$14,0))</f>
        <v>-1.79285714285714</v>
      </c>
      <c r="J1509" s="42" t="n">
        <f aca="false">(E1509-INDEX('Cohort Summary'!$F$5:$F$14,MATCH($A1509,'Cohort Summary'!$A$5:$A$14,0)))/INDEX('Cohort Summary'!$G$5:$G$14,MATCH($A1509,'Cohort Summary'!$A$5:$A$14,0))</f>
        <v>-1.49746192893401</v>
      </c>
      <c r="K1509" s="42" t="n">
        <f aca="false">(F1509-INDEX('Cohort Summary'!$H$5:$H$14,MATCH($A1509,'Cohort Summary'!$A$5:$A$14,0)))/INDEX('Cohort Summary'!$I$5:$I$14,MATCH($A1509,'Cohort Summary'!$A$5:$A$14,0))</f>
        <v>0.700680272108844</v>
      </c>
      <c r="L1509" s="42" t="n">
        <f aca="false">(G1509-INDEX('Cohort Summary'!$J$5:$J$14,MATCH($A1509,'Cohort Summary'!$A$5:$A$14,0)))/INDEX('Cohort Summary'!$K$5:$K$14,MATCH($A1509,'Cohort Summary'!$A$5:$A$14,0))</f>
        <v>-1.22413793103448</v>
      </c>
      <c r="M1509" s="42" t="n">
        <f aca="false">MAX(I1509:K1509)</f>
        <v>0.700680272108844</v>
      </c>
      <c r="N1509" s="27" t="s">
        <v>197</v>
      </c>
      <c r="O1509" s="27"/>
      <c r="P1509" s="27" t="str">
        <f aca="false">A1509&amp;"|"&amp;N1509</f>
        <v>NURSE-08|normal</v>
      </c>
    </row>
    <row r="1510" customFormat="false" ht="15" hidden="false" customHeight="true" outlineLevel="0" collapsed="false">
      <c r="A1510" s="27" t="s">
        <v>98</v>
      </c>
      <c r="B1510" s="41" t="n">
        <v>46303.3291666667</v>
      </c>
      <c r="C1510" s="27" t="s">
        <v>200</v>
      </c>
      <c r="D1510" s="27" t="n">
        <v>37.4</v>
      </c>
      <c r="E1510" s="27" t="n">
        <v>18.1</v>
      </c>
      <c r="F1510" s="27" t="n">
        <v>32.8</v>
      </c>
      <c r="G1510" s="27" t="n">
        <v>33.2</v>
      </c>
      <c r="H1510" s="27" t="s">
        <v>196</v>
      </c>
      <c r="I1510" s="42" t="n">
        <f aca="false">(D1510-INDEX('Cohort Summary'!$D$5:$D$14,MATCH($A1510,'Cohort Summary'!$A$5:$A$14,0)))/INDEX('Cohort Summary'!$E$5:$E$14,MATCH($A1510,'Cohort Summary'!$A$5:$A$14,0))</f>
        <v>-0.221428571428573</v>
      </c>
      <c r="J1510" s="42" t="n">
        <f aca="false">(E1510-INDEX('Cohort Summary'!$F$5:$F$14,MATCH($A1510,'Cohort Summary'!$A$5:$A$14,0)))/INDEX('Cohort Summary'!$G$5:$G$14,MATCH($A1510,'Cohort Summary'!$A$5:$A$14,0))</f>
        <v>0.279187817258884</v>
      </c>
      <c r="K1510" s="42" t="n">
        <f aca="false">(F1510-INDEX('Cohort Summary'!$H$5:$H$14,MATCH($A1510,'Cohort Summary'!$A$5:$A$14,0)))/INDEX('Cohort Summary'!$I$5:$I$14,MATCH($A1510,'Cohort Summary'!$A$5:$A$14,0))</f>
        <v>0.598639455782312</v>
      </c>
      <c r="L1510" s="42" t="n">
        <f aca="false">(G1510-INDEX('Cohort Summary'!$J$5:$J$14,MATCH($A1510,'Cohort Summary'!$A$5:$A$14,0)))/INDEX('Cohort Summary'!$K$5:$K$14,MATCH($A1510,'Cohort Summary'!$A$5:$A$14,0))</f>
        <v>0.672413793103449</v>
      </c>
      <c r="M1510" s="42" t="n">
        <f aca="false">MAX(I1510:K1510)</f>
        <v>0.598639455782312</v>
      </c>
      <c r="N1510" s="27" t="s">
        <v>197</v>
      </c>
      <c r="O1510" s="27"/>
      <c r="P1510" s="27" t="str">
        <f aca="false">A1510&amp;"|"&amp;N1510</f>
        <v>NURSE-08|normal</v>
      </c>
    </row>
    <row r="1511" customFormat="false" ht="15" hidden="false" customHeight="true" outlineLevel="0" collapsed="false">
      <c r="A1511" s="27" t="s">
        <v>98</v>
      </c>
      <c r="B1511" s="41" t="n">
        <v>46303.3295138889</v>
      </c>
      <c r="C1511" s="27" t="s">
        <v>200</v>
      </c>
      <c r="D1511" s="27" t="n">
        <v>33.1</v>
      </c>
      <c r="E1511" s="27" t="n">
        <v>19.3</v>
      </c>
      <c r="F1511" s="27" t="n">
        <v>32</v>
      </c>
      <c r="G1511" s="27" t="n">
        <v>32.5</v>
      </c>
      <c r="H1511" s="27" t="s">
        <v>198</v>
      </c>
      <c r="I1511" s="42" t="n">
        <f aca="false">(D1511-INDEX('Cohort Summary'!$D$5:$D$14,MATCH($A1511,'Cohort Summary'!$A$5:$A$14,0)))/INDEX('Cohort Summary'!$E$5:$E$14,MATCH($A1511,'Cohort Summary'!$A$5:$A$14,0))</f>
        <v>-1.75714285714286</v>
      </c>
      <c r="J1511" s="42" t="n">
        <f aca="false">(E1511-INDEX('Cohort Summary'!$F$5:$F$14,MATCH($A1511,'Cohort Summary'!$A$5:$A$14,0)))/INDEX('Cohort Summary'!$G$5:$G$14,MATCH($A1511,'Cohort Summary'!$A$5:$A$14,0))</f>
        <v>0.888324873096447</v>
      </c>
      <c r="K1511" s="42" t="n">
        <f aca="false">(F1511-INDEX('Cohort Summary'!$H$5:$H$14,MATCH($A1511,'Cohort Summary'!$A$5:$A$14,0)))/INDEX('Cohort Summary'!$I$5:$I$14,MATCH($A1511,'Cohort Summary'!$A$5:$A$14,0))</f>
        <v>0.326530612244898</v>
      </c>
      <c r="L1511" s="42" t="n">
        <f aca="false">(G1511-INDEX('Cohort Summary'!$J$5:$J$14,MATCH($A1511,'Cohort Summary'!$A$5:$A$14,0)))/INDEX('Cohort Summary'!$K$5:$K$14,MATCH($A1511,'Cohort Summary'!$A$5:$A$14,0))</f>
        <v>-0.534482758620694</v>
      </c>
      <c r="M1511" s="42" t="n">
        <f aca="false">MAX(I1511:K1511)</f>
        <v>0.888324873096447</v>
      </c>
      <c r="N1511" s="27" t="s">
        <v>197</v>
      </c>
      <c r="O1511" s="27"/>
      <c r="P1511" s="27" t="str">
        <f aca="false">A1511&amp;"|"&amp;N1511</f>
        <v>NURSE-08|normal</v>
      </c>
    </row>
    <row r="1512" customFormat="false" ht="15" hidden="false" customHeight="true" outlineLevel="0" collapsed="false">
      <c r="A1512" s="27" t="s">
        <v>98</v>
      </c>
      <c r="B1512" s="41" t="n">
        <v>46303.3298611111</v>
      </c>
      <c r="C1512" s="27" t="s">
        <v>200</v>
      </c>
      <c r="D1512" s="27" t="n">
        <v>33.6</v>
      </c>
      <c r="E1512" s="27" t="n">
        <v>15.8</v>
      </c>
      <c r="F1512" s="27" t="n">
        <v>28.4</v>
      </c>
      <c r="G1512" s="27" t="n">
        <v>32</v>
      </c>
      <c r="H1512" s="27" t="s">
        <v>199</v>
      </c>
      <c r="I1512" s="42" t="n">
        <f aca="false">(D1512-INDEX('Cohort Summary'!$D$5:$D$14,MATCH($A1512,'Cohort Summary'!$A$5:$A$14,0)))/INDEX('Cohort Summary'!$E$5:$E$14,MATCH($A1512,'Cohort Summary'!$A$5:$A$14,0))</f>
        <v>-1.57857142857143</v>
      </c>
      <c r="J1512" s="42" t="n">
        <f aca="false">(E1512-INDEX('Cohort Summary'!$F$5:$F$14,MATCH($A1512,'Cohort Summary'!$A$5:$A$14,0)))/INDEX('Cohort Summary'!$G$5:$G$14,MATCH($A1512,'Cohort Summary'!$A$5:$A$14,0))</f>
        <v>-0.888324873096447</v>
      </c>
      <c r="K1512" s="42" t="n">
        <f aca="false">(F1512-INDEX('Cohort Summary'!$H$5:$H$14,MATCH($A1512,'Cohort Summary'!$A$5:$A$14,0)))/INDEX('Cohort Summary'!$I$5:$I$14,MATCH($A1512,'Cohort Summary'!$A$5:$A$14,0))</f>
        <v>-0.89795918367347</v>
      </c>
      <c r="L1512" s="42" t="n">
        <f aca="false">(G1512-INDEX('Cohort Summary'!$J$5:$J$14,MATCH($A1512,'Cohort Summary'!$A$5:$A$14,0)))/INDEX('Cohort Summary'!$K$5:$K$14,MATCH($A1512,'Cohort Summary'!$A$5:$A$14,0))</f>
        <v>-1.39655172413794</v>
      </c>
      <c r="M1512" s="42" t="n">
        <f aca="false">MAX(I1512:K1512)</f>
        <v>-0.888324873096447</v>
      </c>
      <c r="N1512" s="27" t="s">
        <v>197</v>
      </c>
      <c r="O1512" s="27"/>
      <c r="P1512" s="27" t="str">
        <f aca="false">A1512&amp;"|"&amp;N1512</f>
        <v>NURSE-08|normal</v>
      </c>
    </row>
    <row r="1513" customFormat="false" ht="15" hidden="false" customHeight="true" outlineLevel="0" collapsed="false">
      <c r="A1513" s="27" t="s">
        <v>98</v>
      </c>
      <c r="B1513" s="41" t="n">
        <v>46303.3302083333</v>
      </c>
      <c r="C1513" s="27" t="s">
        <v>200</v>
      </c>
      <c r="D1513" s="27" t="n">
        <v>35.1</v>
      </c>
      <c r="E1513" s="27" t="n">
        <v>14.5</v>
      </c>
      <c r="F1513" s="27" t="n">
        <v>32.9</v>
      </c>
      <c r="G1513" s="27" t="n">
        <v>32</v>
      </c>
      <c r="H1513" s="27" t="s">
        <v>198</v>
      </c>
      <c r="I1513" s="42" t="n">
        <f aca="false">(D1513-INDEX('Cohort Summary'!$D$5:$D$14,MATCH($A1513,'Cohort Summary'!$A$5:$A$14,0)))/INDEX('Cohort Summary'!$E$5:$E$14,MATCH($A1513,'Cohort Summary'!$A$5:$A$14,0))</f>
        <v>-1.04285714285714</v>
      </c>
      <c r="J1513" s="42" t="n">
        <f aca="false">(E1513-INDEX('Cohort Summary'!$F$5:$F$14,MATCH($A1513,'Cohort Summary'!$A$5:$A$14,0)))/INDEX('Cohort Summary'!$G$5:$G$14,MATCH($A1513,'Cohort Summary'!$A$5:$A$14,0))</f>
        <v>-1.54822335025381</v>
      </c>
      <c r="K1513" s="42" t="n">
        <f aca="false">(F1513-INDEX('Cohort Summary'!$H$5:$H$14,MATCH($A1513,'Cohort Summary'!$A$5:$A$14,0)))/INDEX('Cohort Summary'!$I$5:$I$14,MATCH($A1513,'Cohort Summary'!$A$5:$A$14,0))</f>
        <v>0.63265306122449</v>
      </c>
      <c r="L1513" s="42" t="n">
        <f aca="false">(G1513-INDEX('Cohort Summary'!$J$5:$J$14,MATCH($A1513,'Cohort Summary'!$A$5:$A$14,0)))/INDEX('Cohort Summary'!$K$5:$K$14,MATCH($A1513,'Cohort Summary'!$A$5:$A$14,0))</f>
        <v>-1.39655172413794</v>
      </c>
      <c r="M1513" s="42" t="n">
        <f aca="false">MAX(I1513:K1513)</f>
        <v>0.63265306122449</v>
      </c>
      <c r="N1513" s="27" t="s">
        <v>197</v>
      </c>
      <c r="O1513" s="27"/>
      <c r="P1513" s="27" t="str">
        <f aca="false">A1513&amp;"|"&amp;N1513</f>
        <v>NURSE-08|normal</v>
      </c>
    </row>
    <row r="1514" customFormat="false" ht="15" hidden="false" customHeight="true" outlineLevel="0" collapsed="false">
      <c r="A1514" s="27" t="s">
        <v>98</v>
      </c>
      <c r="B1514" s="41" t="n">
        <v>46303.3305555556</v>
      </c>
      <c r="C1514" s="27" t="s">
        <v>200</v>
      </c>
      <c r="D1514" s="27" t="n">
        <v>34</v>
      </c>
      <c r="E1514" s="27" t="n">
        <v>18.1</v>
      </c>
      <c r="F1514" s="27" t="n">
        <v>27.1</v>
      </c>
      <c r="G1514" s="27" t="n">
        <v>32.7</v>
      </c>
      <c r="H1514" s="27" t="s">
        <v>199</v>
      </c>
      <c r="I1514" s="42" t="n">
        <f aca="false">(D1514-INDEX('Cohort Summary'!$D$5:$D$14,MATCH($A1514,'Cohort Summary'!$A$5:$A$14,0)))/INDEX('Cohort Summary'!$E$5:$E$14,MATCH($A1514,'Cohort Summary'!$A$5:$A$14,0))</f>
        <v>-1.43571428571429</v>
      </c>
      <c r="J1514" s="42" t="n">
        <f aca="false">(E1514-INDEX('Cohort Summary'!$F$5:$F$14,MATCH($A1514,'Cohort Summary'!$A$5:$A$14,0)))/INDEX('Cohort Summary'!$G$5:$G$14,MATCH($A1514,'Cohort Summary'!$A$5:$A$14,0))</f>
        <v>0.279187817258884</v>
      </c>
      <c r="K1514" s="42" t="n">
        <f aca="false">(F1514-INDEX('Cohort Summary'!$H$5:$H$14,MATCH($A1514,'Cohort Summary'!$A$5:$A$14,0)))/INDEX('Cohort Summary'!$I$5:$I$14,MATCH($A1514,'Cohort Summary'!$A$5:$A$14,0))</f>
        <v>-1.34013605442177</v>
      </c>
      <c r="L1514" s="42" t="n">
        <f aca="false">(G1514-INDEX('Cohort Summary'!$J$5:$J$14,MATCH($A1514,'Cohort Summary'!$A$5:$A$14,0)))/INDEX('Cohort Summary'!$K$5:$K$14,MATCH($A1514,'Cohort Summary'!$A$5:$A$14,0))</f>
        <v>-0.189655172413792</v>
      </c>
      <c r="M1514" s="42" t="n">
        <f aca="false">MAX(I1514:K1514)</f>
        <v>0.279187817258884</v>
      </c>
      <c r="N1514" s="27" t="s">
        <v>197</v>
      </c>
      <c r="O1514" s="27"/>
      <c r="P1514" s="27" t="str">
        <f aca="false">A1514&amp;"|"&amp;N1514</f>
        <v>NURSE-08|normal</v>
      </c>
    </row>
    <row r="1515" customFormat="false" ht="15" hidden="false" customHeight="true" outlineLevel="0" collapsed="false">
      <c r="A1515" s="27" t="s">
        <v>98</v>
      </c>
      <c r="B1515" s="41" t="n">
        <v>46303.3309027778</v>
      </c>
      <c r="C1515" s="27" t="s">
        <v>200</v>
      </c>
      <c r="D1515" s="27" t="n">
        <v>42.3</v>
      </c>
      <c r="E1515" s="27" t="n">
        <v>19.6</v>
      </c>
      <c r="F1515" s="27" t="n">
        <v>30.7</v>
      </c>
      <c r="G1515" s="27" t="n">
        <v>32.1</v>
      </c>
      <c r="H1515" s="27" t="s">
        <v>199</v>
      </c>
      <c r="I1515" s="42" t="n">
        <f aca="false">(D1515-INDEX('Cohort Summary'!$D$5:$D$14,MATCH($A1515,'Cohort Summary'!$A$5:$A$14,0)))/INDEX('Cohort Summary'!$E$5:$E$14,MATCH($A1515,'Cohort Summary'!$A$5:$A$14,0))</f>
        <v>1.52857142857143</v>
      </c>
      <c r="J1515" s="42" t="n">
        <f aca="false">(E1515-INDEX('Cohort Summary'!$F$5:$F$14,MATCH($A1515,'Cohort Summary'!$A$5:$A$14,0)))/INDEX('Cohort Summary'!$G$5:$G$14,MATCH($A1515,'Cohort Summary'!$A$5:$A$14,0))</f>
        <v>1.04060913705584</v>
      </c>
      <c r="K1515" s="42" t="n">
        <f aca="false">(F1515-INDEX('Cohort Summary'!$H$5:$H$14,MATCH($A1515,'Cohort Summary'!$A$5:$A$14,0)))/INDEX('Cohort Summary'!$I$5:$I$14,MATCH($A1515,'Cohort Summary'!$A$5:$A$14,0))</f>
        <v>-0.115646258503401</v>
      </c>
      <c r="L1515" s="42" t="n">
        <f aca="false">(G1515-INDEX('Cohort Summary'!$J$5:$J$14,MATCH($A1515,'Cohort Summary'!$A$5:$A$14,0)))/INDEX('Cohort Summary'!$K$5:$K$14,MATCH($A1515,'Cohort Summary'!$A$5:$A$14,0))</f>
        <v>-1.22413793103448</v>
      </c>
      <c r="M1515" s="42" t="n">
        <f aca="false">MAX(I1515:K1515)</f>
        <v>1.52857142857143</v>
      </c>
      <c r="N1515" s="27" t="s">
        <v>197</v>
      </c>
      <c r="O1515" s="27"/>
      <c r="P1515" s="27" t="str">
        <f aca="false">A1515&amp;"|"&amp;N1515</f>
        <v>NURSE-08|normal</v>
      </c>
    </row>
    <row r="1516" customFormat="false" ht="15" hidden="false" customHeight="true" outlineLevel="0" collapsed="false">
      <c r="A1516" s="27" t="s">
        <v>98</v>
      </c>
      <c r="B1516" s="41" t="n">
        <v>46303.33125</v>
      </c>
      <c r="C1516" s="27" t="s">
        <v>200</v>
      </c>
      <c r="D1516" s="27" t="n">
        <v>41</v>
      </c>
      <c r="E1516" s="27" t="n">
        <v>15.3</v>
      </c>
      <c r="F1516" s="27" t="n">
        <v>27</v>
      </c>
      <c r="G1516" s="27" t="n">
        <v>33.1</v>
      </c>
      <c r="H1516" s="27" t="s">
        <v>199</v>
      </c>
      <c r="I1516" s="42" t="n">
        <f aca="false">(D1516-INDEX('Cohort Summary'!$D$5:$D$14,MATCH($A1516,'Cohort Summary'!$A$5:$A$14,0)))/INDEX('Cohort Summary'!$E$5:$E$14,MATCH($A1516,'Cohort Summary'!$A$5:$A$14,0))</f>
        <v>1.06428571428571</v>
      </c>
      <c r="J1516" s="42" t="n">
        <f aca="false">(E1516-INDEX('Cohort Summary'!$F$5:$F$14,MATCH($A1516,'Cohort Summary'!$A$5:$A$14,0)))/INDEX('Cohort Summary'!$G$5:$G$14,MATCH($A1516,'Cohort Summary'!$A$5:$A$14,0))</f>
        <v>-1.14213197969543</v>
      </c>
      <c r="K1516" s="42" t="n">
        <f aca="false">(F1516-INDEX('Cohort Summary'!$H$5:$H$14,MATCH($A1516,'Cohort Summary'!$A$5:$A$14,0)))/INDEX('Cohort Summary'!$I$5:$I$14,MATCH($A1516,'Cohort Summary'!$A$5:$A$14,0))</f>
        <v>-1.37414965986395</v>
      </c>
      <c r="L1516" s="42" t="n">
        <f aca="false">(G1516-INDEX('Cohort Summary'!$J$5:$J$14,MATCH($A1516,'Cohort Summary'!$A$5:$A$14,0)))/INDEX('Cohort Summary'!$K$5:$K$14,MATCH($A1516,'Cohort Summary'!$A$5:$A$14,0))</f>
        <v>0.499999999999999</v>
      </c>
      <c r="M1516" s="42" t="n">
        <f aca="false">MAX(I1516:K1516)</f>
        <v>1.06428571428571</v>
      </c>
      <c r="N1516" s="27" t="s">
        <v>197</v>
      </c>
      <c r="O1516" s="27"/>
      <c r="P1516" s="27" t="str">
        <f aca="false">A1516&amp;"|"&amp;N1516</f>
        <v>NURSE-08|normal</v>
      </c>
    </row>
    <row r="1517" customFormat="false" ht="15" hidden="false" customHeight="true" outlineLevel="0" collapsed="false">
      <c r="A1517" s="27" t="s">
        <v>98</v>
      </c>
      <c r="B1517" s="41" t="n">
        <v>46303.3315972222</v>
      </c>
      <c r="C1517" s="27" t="s">
        <v>200</v>
      </c>
      <c r="D1517" s="27" t="n">
        <v>38.6</v>
      </c>
      <c r="E1517" s="27" t="n">
        <v>17.5</v>
      </c>
      <c r="F1517" s="27" t="n">
        <v>26.7</v>
      </c>
      <c r="G1517" s="27" t="n">
        <v>32.3</v>
      </c>
      <c r="H1517" s="27" t="s">
        <v>199</v>
      </c>
      <c r="I1517" s="42" t="n">
        <f aca="false">(D1517-INDEX('Cohort Summary'!$D$5:$D$14,MATCH($A1517,'Cohort Summary'!$A$5:$A$14,0)))/INDEX('Cohort Summary'!$E$5:$E$14,MATCH($A1517,'Cohort Summary'!$A$5:$A$14,0))</f>
        <v>0.207142857142857</v>
      </c>
      <c r="J1517" s="42" t="n">
        <f aca="false">(E1517-INDEX('Cohort Summary'!$F$5:$F$14,MATCH($A1517,'Cohort Summary'!$A$5:$A$14,0)))/INDEX('Cohort Summary'!$G$5:$G$14,MATCH($A1517,'Cohort Summary'!$A$5:$A$14,0))</f>
        <v>-0.0253807106598988</v>
      </c>
      <c r="K1517" s="42" t="n">
        <f aca="false">(F1517-INDEX('Cohort Summary'!$H$5:$H$14,MATCH($A1517,'Cohort Summary'!$A$5:$A$14,0)))/INDEX('Cohort Summary'!$I$5:$I$14,MATCH($A1517,'Cohort Summary'!$A$5:$A$14,0))</f>
        <v>-1.47619047619048</v>
      </c>
      <c r="L1517" s="42" t="n">
        <f aca="false">(G1517-INDEX('Cohort Summary'!$J$5:$J$14,MATCH($A1517,'Cohort Summary'!$A$5:$A$14,0)))/INDEX('Cohort Summary'!$K$5:$K$14,MATCH($A1517,'Cohort Summary'!$A$5:$A$14,0))</f>
        <v>-0.879310344827595</v>
      </c>
      <c r="M1517" s="42" t="n">
        <f aca="false">MAX(I1517:K1517)</f>
        <v>0.207142857142857</v>
      </c>
      <c r="N1517" s="27" t="s">
        <v>197</v>
      </c>
      <c r="O1517" s="27"/>
      <c r="P1517" s="27" t="str">
        <f aca="false">A1517&amp;"|"&amp;N1517</f>
        <v>NURSE-08|normal</v>
      </c>
    </row>
    <row r="1518" customFormat="false" ht="15" hidden="false" customHeight="true" outlineLevel="0" collapsed="false">
      <c r="A1518" s="27" t="s">
        <v>98</v>
      </c>
      <c r="B1518" s="41" t="n">
        <v>46303.3319444444</v>
      </c>
      <c r="C1518" s="27" t="s">
        <v>200</v>
      </c>
      <c r="D1518" s="27" t="n">
        <v>41.5</v>
      </c>
      <c r="E1518" s="27" t="n">
        <v>14.6</v>
      </c>
      <c r="F1518" s="27" t="n">
        <v>32.8</v>
      </c>
      <c r="G1518" s="27" t="n">
        <v>32.6</v>
      </c>
      <c r="H1518" s="27" t="s">
        <v>199</v>
      </c>
      <c r="I1518" s="42" t="n">
        <f aca="false">(D1518-INDEX('Cohort Summary'!$D$5:$D$14,MATCH($A1518,'Cohort Summary'!$A$5:$A$14,0)))/INDEX('Cohort Summary'!$E$5:$E$14,MATCH($A1518,'Cohort Summary'!$A$5:$A$14,0))</f>
        <v>1.24285714285714</v>
      </c>
      <c r="J1518" s="42" t="n">
        <f aca="false">(E1518-INDEX('Cohort Summary'!$F$5:$F$14,MATCH($A1518,'Cohort Summary'!$A$5:$A$14,0)))/INDEX('Cohort Summary'!$G$5:$G$14,MATCH($A1518,'Cohort Summary'!$A$5:$A$14,0))</f>
        <v>-1.49746192893401</v>
      </c>
      <c r="K1518" s="42" t="n">
        <f aca="false">(F1518-INDEX('Cohort Summary'!$H$5:$H$14,MATCH($A1518,'Cohort Summary'!$A$5:$A$14,0)))/INDEX('Cohort Summary'!$I$5:$I$14,MATCH($A1518,'Cohort Summary'!$A$5:$A$14,0))</f>
        <v>0.598639455782312</v>
      </c>
      <c r="L1518" s="42" t="n">
        <f aca="false">(G1518-INDEX('Cohort Summary'!$J$5:$J$14,MATCH($A1518,'Cohort Summary'!$A$5:$A$14,0)))/INDEX('Cohort Summary'!$K$5:$K$14,MATCH($A1518,'Cohort Summary'!$A$5:$A$14,0))</f>
        <v>-0.362068965517243</v>
      </c>
      <c r="M1518" s="42" t="n">
        <f aca="false">MAX(I1518:K1518)</f>
        <v>1.24285714285714</v>
      </c>
      <c r="N1518" s="27" t="s">
        <v>197</v>
      </c>
      <c r="O1518" s="27"/>
      <c r="P1518" s="27" t="str">
        <f aca="false">A1518&amp;"|"&amp;N1518</f>
        <v>NURSE-08|normal</v>
      </c>
    </row>
    <row r="1519" customFormat="false" ht="15" hidden="false" customHeight="true" outlineLevel="0" collapsed="false">
      <c r="A1519" s="27" t="s">
        <v>98</v>
      </c>
      <c r="B1519" s="41" t="n">
        <v>46303.3322916667</v>
      </c>
      <c r="C1519" s="27" t="s">
        <v>200</v>
      </c>
      <c r="D1519" s="27" t="n">
        <v>36.8</v>
      </c>
      <c r="E1519" s="27" t="n">
        <v>15</v>
      </c>
      <c r="F1519" s="27" t="n">
        <v>34.6</v>
      </c>
      <c r="G1519" s="27" t="n">
        <v>32.8</v>
      </c>
      <c r="H1519" s="27" t="s">
        <v>199</v>
      </c>
      <c r="I1519" s="42" t="n">
        <f aca="false">(D1519-INDEX('Cohort Summary'!$D$5:$D$14,MATCH($A1519,'Cohort Summary'!$A$5:$A$14,0)))/INDEX('Cohort Summary'!$E$5:$E$14,MATCH($A1519,'Cohort Summary'!$A$5:$A$14,0))</f>
        <v>-0.435714285714288</v>
      </c>
      <c r="J1519" s="42" t="n">
        <f aca="false">(E1519-INDEX('Cohort Summary'!$F$5:$F$14,MATCH($A1519,'Cohort Summary'!$A$5:$A$14,0)))/INDEX('Cohort Summary'!$G$5:$G$14,MATCH($A1519,'Cohort Summary'!$A$5:$A$14,0))</f>
        <v>-1.29441624365482</v>
      </c>
      <c r="K1519" s="42" t="n">
        <f aca="false">(F1519-INDEX('Cohort Summary'!$H$5:$H$14,MATCH($A1519,'Cohort Summary'!$A$5:$A$14,0)))/INDEX('Cohort Summary'!$I$5:$I$14,MATCH($A1519,'Cohort Summary'!$A$5:$A$14,0))</f>
        <v>1.2108843537415</v>
      </c>
      <c r="L1519" s="42" t="n">
        <f aca="false">(G1519-INDEX('Cohort Summary'!$J$5:$J$14,MATCH($A1519,'Cohort Summary'!$A$5:$A$14,0)))/INDEX('Cohort Summary'!$K$5:$K$14,MATCH($A1519,'Cohort Summary'!$A$5:$A$14,0))</f>
        <v>-0.0172413793103537</v>
      </c>
      <c r="M1519" s="42" t="n">
        <f aca="false">MAX(I1519:K1519)</f>
        <v>1.2108843537415</v>
      </c>
      <c r="N1519" s="27" t="s">
        <v>197</v>
      </c>
      <c r="O1519" s="27"/>
      <c r="P1519" s="27" t="str">
        <f aca="false">A1519&amp;"|"&amp;N1519</f>
        <v>NURSE-08|normal</v>
      </c>
    </row>
    <row r="1520" customFormat="false" ht="15" hidden="false" customHeight="true" outlineLevel="0" collapsed="false">
      <c r="A1520" s="27" t="s">
        <v>98</v>
      </c>
      <c r="B1520" s="41" t="n">
        <v>46303.3326388889</v>
      </c>
      <c r="C1520" s="27" t="s">
        <v>200</v>
      </c>
      <c r="D1520" s="27" t="n">
        <v>35.9</v>
      </c>
      <c r="E1520" s="27" t="n">
        <v>14.7</v>
      </c>
      <c r="F1520" s="27" t="n">
        <v>32</v>
      </c>
      <c r="G1520" s="27" t="n">
        <v>33.6</v>
      </c>
      <c r="H1520" s="27" t="s">
        <v>198</v>
      </c>
      <c r="I1520" s="42" t="n">
        <f aca="false">(D1520-INDEX('Cohort Summary'!$D$5:$D$14,MATCH($A1520,'Cohort Summary'!$A$5:$A$14,0)))/INDEX('Cohort Summary'!$E$5:$E$14,MATCH($A1520,'Cohort Summary'!$A$5:$A$14,0))</f>
        <v>-0.757142857142859</v>
      </c>
      <c r="J1520" s="42" t="n">
        <f aca="false">(E1520-INDEX('Cohort Summary'!$F$5:$F$14,MATCH($A1520,'Cohort Summary'!$A$5:$A$14,0)))/INDEX('Cohort Summary'!$G$5:$G$14,MATCH($A1520,'Cohort Summary'!$A$5:$A$14,0))</f>
        <v>-1.44670050761421</v>
      </c>
      <c r="K1520" s="42" t="n">
        <f aca="false">(F1520-INDEX('Cohort Summary'!$H$5:$H$14,MATCH($A1520,'Cohort Summary'!$A$5:$A$14,0)))/INDEX('Cohort Summary'!$I$5:$I$14,MATCH($A1520,'Cohort Summary'!$A$5:$A$14,0))</f>
        <v>0.326530612244898</v>
      </c>
      <c r="L1520" s="42" t="n">
        <f aca="false">(G1520-INDEX('Cohort Summary'!$J$5:$J$14,MATCH($A1520,'Cohort Summary'!$A$5:$A$14,0)))/INDEX('Cohort Summary'!$K$5:$K$14,MATCH($A1520,'Cohort Summary'!$A$5:$A$14,0))</f>
        <v>1.36206896551724</v>
      </c>
      <c r="M1520" s="42" t="n">
        <f aca="false">MAX(I1520:K1520)</f>
        <v>0.326530612244898</v>
      </c>
      <c r="N1520" s="27" t="s">
        <v>197</v>
      </c>
      <c r="O1520" s="27"/>
      <c r="P1520" s="27" t="str">
        <f aca="false">A1520&amp;"|"&amp;N1520</f>
        <v>NURSE-08|normal</v>
      </c>
    </row>
    <row r="1521" customFormat="false" ht="15" hidden="false" customHeight="true" outlineLevel="0" collapsed="false">
      <c r="A1521" s="27" t="s">
        <v>98</v>
      </c>
      <c r="B1521" s="41" t="n">
        <v>46303.3329861111</v>
      </c>
      <c r="C1521" s="27" t="s">
        <v>200</v>
      </c>
      <c r="D1521" s="27" t="n">
        <v>36.3</v>
      </c>
      <c r="E1521" s="27" t="n">
        <v>15.6</v>
      </c>
      <c r="F1521" s="27" t="n">
        <v>32.3</v>
      </c>
      <c r="G1521" s="27" t="n">
        <v>33.3</v>
      </c>
      <c r="H1521" s="27" t="s">
        <v>198</v>
      </c>
      <c r="I1521" s="42" t="n">
        <f aca="false">(D1521-INDEX('Cohort Summary'!$D$5:$D$14,MATCH($A1521,'Cohort Summary'!$A$5:$A$14,0)))/INDEX('Cohort Summary'!$E$5:$E$14,MATCH($A1521,'Cohort Summary'!$A$5:$A$14,0))</f>
        <v>-0.614285714285716</v>
      </c>
      <c r="J1521" s="42" t="n">
        <f aca="false">(E1521-INDEX('Cohort Summary'!$F$5:$F$14,MATCH($A1521,'Cohort Summary'!$A$5:$A$14,0)))/INDEX('Cohort Summary'!$G$5:$G$14,MATCH($A1521,'Cohort Summary'!$A$5:$A$14,0))</f>
        <v>-0.989847715736041</v>
      </c>
      <c r="K1521" s="42" t="n">
        <f aca="false">(F1521-INDEX('Cohort Summary'!$H$5:$H$14,MATCH($A1521,'Cohort Summary'!$A$5:$A$14,0)))/INDEX('Cohort Summary'!$I$5:$I$14,MATCH($A1521,'Cohort Summary'!$A$5:$A$14,0))</f>
        <v>0.428571428571428</v>
      </c>
      <c r="L1521" s="42" t="n">
        <f aca="false">(G1521-INDEX('Cohort Summary'!$J$5:$J$14,MATCH($A1521,'Cohort Summary'!$A$5:$A$14,0)))/INDEX('Cohort Summary'!$K$5:$K$14,MATCH($A1521,'Cohort Summary'!$A$5:$A$14,0))</f>
        <v>0.844827586206888</v>
      </c>
      <c r="M1521" s="42" t="n">
        <f aca="false">MAX(I1521:K1521)</f>
        <v>0.428571428571428</v>
      </c>
      <c r="N1521" s="27" t="s">
        <v>197</v>
      </c>
      <c r="O1521" s="27"/>
      <c r="P1521" s="27" t="str">
        <f aca="false">A1521&amp;"|"&amp;N1521</f>
        <v>NURSE-08|normal</v>
      </c>
    </row>
    <row r="1522" customFormat="false" ht="15" hidden="false" customHeight="true" outlineLevel="0" collapsed="false">
      <c r="A1522" s="27" t="s">
        <v>98</v>
      </c>
      <c r="B1522" s="41" t="n">
        <v>46303.3333333333</v>
      </c>
      <c r="C1522" s="27" t="s">
        <v>200</v>
      </c>
      <c r="D1522" s="27" t="n">
        <v>37.5</v>
      </c>
      <c r="E1522" s="27" t="n">
        <v>19.7</v>
      </c>
      <c r="F1522" s="27" t="n">
        <v>34.6</v>
      </c>
      <c r="G1522" s="27" t="n">
        <v>32.8</v>
      </c>
      <c r="H1522" s="27" t="s">
        <v>199</v>
      </c>
      <c r="I1522" s="42" t="n">
        <f aca="false">(D1522-INDEX('Cohort Summary'!$D$5:$D$14,MATCH($A1522,'Cohort Summary'!$A$5:$A$14,0)))/INDEX('Cohort Summary'!$E$5:$E$14,MATCH($A1522,'Cohort Summary'!$A$5:$A$14,0))</f>
        <v>-0.185714285714287</v>
      </c>
      <c r="J1522" s="42" t="n">
        <f aca="false">(E1522-INDEX('Cohort Summary'!$F$5:$F$14,MATCH($A1522,'Cohort Summary'!$A$5:$A$14,0)))/INDEX('Cohort Summary'!$G$5:$G$14,MATCH($A1522,'Cohort Summary'!$A$5:$A$14,0))</f>
        <v>1.09137055837563</v>
      </c>
      <c r="K1522" s="42" t="n">
        <f aca="false">(F1522-INDEX('Cohort Summary'!$H$5:$H$14,MATCH($A1522,'Cohort Summary'!$A$5:$A$14,0)))/INDEX('Cohort Summary'!$I$5:$I$14,MATCH($A1522,'Cohort Summary'!$A$5:$A$14,0))</f>
        <v>1.2108843537415</v>
      </c>
      <c r="L1522" s="42" t="n">
        <f aca="false">(G1522-INDEX('Cohort Summary'!$J$5:$J$14,MATCH($A1522,'Cohort Summary'!$A$5:$A$14,0)))/INDEX('Cohort Summary'!$K$5:$K$14,MATCH($A1522,'Cohort Summary'!$A$5:$A$14,0))</f>
        <v>-0.0172413793103537</v>
      </c>
      <c r="M1522" s="42" t="n">
        <f aca="false">MAX(I1522:K1522)</f>
        <v>1.2108843537415</v>
      </c>
      <c r="N1522" s="27" t="s">
        <v>197</v>
      </c>
      <c r="O1522" s="27"/>
      <c r="P1522" s="27" t="str">
        <f aca="false">A1522&amp;"|"&amp;N1522</f>
        <v>NURSE-08|normal</v>
      </c>
    </row>
    <row r="1523" customFormat="false" ht="15" hidden="false" customHeight="true" outlineLevel="0" collapsed="false">
      <c r="A1523" s="27" t="s">
        <v>98</v>
      </c>
      <c r="B1523" s="41" t="n">
        <v>46303.3336805556</v>
      </c>
      <c r="C1523" s="27" t="s">
        <v>200</v>
      </c>
      <c r="D1523" s="27" t="n">
        <v>37.4</v>
      </c>
      <c r="E1523" s="27" t="n">
        <v>18.6</v>
      </c>
      <c r="F1523" s="27" t="n">
        <v>34.7</v>
      </c>
      <c r="G1523" s="27" t="n">
        <v>32.2</v>
      </c>
      <c r="H1523" s="27" t="s">
        <v>199</v>
      </c>
      <c r="I1523" s="42" t="n">
        <f aca="false">(D1523-INDEX('Cohort Summary'!$D$5:$D$14,MATCH($A1523,'Cohort Summary'!$A$5:$A$14,0)))/INDEX('Cohort Summary'!$E$5:$E$14,MATCH($A1523,'Cohort Summary'!$A$5:$A$14,0))</f>
        <v>-0.221428571428573</v>
      </c>
      <c r="J1523" s="42" t="n">
        <f aca="false">(E1523-INDEX('Cohort Summary'!$F$5:$F$14,MATCH($A1523,'Cohort Summary'!$A$5:$A$14,0)))/INDEX('Cohort Summary'!$G$5:$G$14,MATCH($A1523,'Cohort Summary'!$A$5:$A$14,0))</f>
        <v>0.532994923857868</v>
      </c>
      <c r="K1523" s="42" t="n">
        <f aca="false">(F1523-INDEX('Cohort Summary'!$H$5:$H$14,MATCH($A1523,'Cohort Summary'!$A$5:$A$14,0)))/INDEX('Cohort Summary'!$I$5:$I$14,MATCH($A1523,'Cohort Summary'!$A$5:$A$14,0))</f>
        <v>1.24489795918367</v>
      </c>
      <c r="L1523" s="42" t="n">
        <f aca="false">(G1523-INDEX('Cohort Summary'!$J$5:$J$14,MATCH($A1523,'Cohort Summary'!$A$5:$A$14,0)))/INDEX('Cohort Summary'!$K$5:$K$14,MATCH($A1523,'Cohort Summary'!$A$5:$A$14,0))</f>
        <v>-1.05172413793103</v>
      </c>
      <c r="M1523" s="42" t="n">
        <f aca="false">MAX(I1523:K1523)</f>
        <v>1.24489795918367</v>
      </c>
      <c r="N1523" s="27" t="s">
        <v>197</v>
      </c>
      <c r="O1523" s="27"/>
      <c r="P1523" s="27" t="str">
        <f aca="false">A1523&amp;"|"&amp;N1523</f>
        <v>NURSE-08|normal</v>
      </c>
    </row>
    <row r="1524" customFormat="false" ht="15" hidden="false" customHeight="true" outlineLevel="0" collapsed="false">
      <c r="A1524" s="27" t="s">
        <v>98</v>
      </c>
      <c r="B1524" s="41" t="n">
        <v>46303.3340277778</v>
      </c>
      <c r="C1524" s="27" t="s">
        <v>200</v>
      </c>
      <c r="D1524" s="27" t="n">
        <v>41.3</v>
      </c>
      <c r="E1524" s="27" t="n">
        <v>16.3</v>
      </c>
      <c r="F1524" s="27" t="n">
        <v>26.7</v>
      </c>
      <c r="G1524" s="27" t="n">
        <v>32</v>
      </c>
      <c r="H1524" s="27" t="s">
        <v>198</v>
      </c>
      <c r="I1524" s="42" t="n">
        <f aca="false">(D1524-INDEX('Cohort Summary'!$D$5:$D$14,MATCH($A1524,'Cohort Summary'!$A$5:$A$14,0)))/INDEX('Cohort Summary'!$E$5:$E$14,MATCH($A1524,'Cohort Summary'!$A$5:$A$14,0))</f>
        <v>1.17142857142857</v>
      </c>
      <c r="J1524" s="42" t="n">
        <f aca="false">(E1524-INDEX('Cohort Summary'!$F$5:$F$14,MATCH($A1524,'Cohort Summary'!$A$5:$A$14,0)))/INDEX('Cohort Summary'!$G$5:$G$14,MATCH($A1524,'Cohort Summary'!$A$5:$A$14,0))</f>
        <v>-0.634517766497462</v>
      </c>
      <c r="K1524" s="42" t="n">
        <f aca="false">(F1524-INDEX('Cohort Summary'!$H$5:$H$14,MATCH($A1524,'Cohort Summary'!$A$5:$A$14,0)))/INDEX('Cohort Summary'!$I$5:$I$14,MATCH($A1524,'Cohort Summary'!$A$5:$A$14,0))</f>
        <v>-1.47619047619048</v>
      </c>
      <c r="L1524" s="42" t="n">
        <f aca="false">(G1524-INDEX('Cohort Summary'!$J$5:$J$14,MATCH($A1524,'Cohort Summary'!$A$5:$A$14,0)))/INDEX('Cohort Summary'!$K$5:$K$14,MATCH($A1524,'Cohort Summary'!$A$5:$A$14,0))</f>
        <v>-1.39655172413794</v>
      </c>
      <c r="M1524" s="42" t="n">
        <f aca="false">MAX(I1524:K1524)</f>
        <v>1.17142857142857</v>
      </c>
      <c r="N1524" s="27" t="s">
        <v>197</v>
      </c>
      <c r="O1524" s="27"/>
      <c r="P1524" s="27" t="str">
        <f aca="false">A1524&amp;"|"&amp;N1524</f>
        <v>NURSE-08|normal</v>
      </c>
    </row>
    <row r="1525" customFormat="false" ht="15" hidden="false" customHeight="true" outlineLevel="0" collapsed="false">
      <c r="A1525" s="27" t="s">
        <v>98</v>
      </c>
      <c r="B1525" s="41" t="n">
        <v>46303.334375</v>
      </c>
      <c r="C1525" s="27" t="s">
        <v>200</v>
      </c>
      <c r="D1525" s="27" t="n">
        <v>40.4</v>
      </c>
      <c r="E1525" s="27" t="n">
        <v>18.4</v>
      </c>
      <c r="F1525" s="27" t="n">
        <v>35.3</v>
      </c>
      <c r="G1525" s="27" t="n">
        <v>33.1</v>
      </c>
      <c r="H1525" s="27" t="s">
        <v>198</v>
      </c>
      <c r="I1525" s="42" t="n">
        <f aca="false">(D1525-INDEX('Cohort Summary'!$D$5:$D$14,MATCH($A1525,'Cohort Summary'!$A$5:$A$14,0)))/INDEX('Cohort Summary'!$E$5:$E$14,MATCH($A1525,'Cohort Summary'!$A$5:$A$14,0))</f>
        <v>0.849999999999998</v>
      </c>
      <c r="J1525" s="42" t="n">
        <f aca="false">(E1525-INDEX('Cohort Summary'!$F$5:$F$14,MATCH($A1525,'Cohort Summary'!$A$5:$A$14,0)))/INDEX('Cohort Summary'!$G$5:$G$14,MATCH($A1525,'Cohort Summary'!$A$5:$A$14,0))</f>
        <v>0.431472081218273</v>
      </c>
      <c r="K1525" s="42" t="n">
        <f aca="false">(F1525-INDEX('Cohort Summary'!$H$5:$H$14,MATCH($A1525,'Cohort Summary'!$A$5:$A$14,0)))/INDEX('Cohort Summary'!$I$5:$I$14,MATCH($A1525,'Cohort Summary'!$A$5:$A$14,0))</f>
        <v>1.44897959183673</v>
      </c>
      <c r="L1525" s="42" t="n">
        <f aca="false">(G1525-INDEX('Cohort Summary'!$J$5:$J$14,MATCH($A1525,'Cohort Summary'!$A$5:$A$14,0)))/INDEX('Cohort Summary'!$K$5:$K$14,MATCH($A1525,'Cohort Summary'!$A$5:$A$14,0))</f>
        <v>0.499999999999999</v>
      </c>
      <c r="M1525" s="42" t="n">
        <f aca="false">MAX(I1525:K1525)</f>
        <v>1.44897959183673</v>
      </c>
      <c r="N1525" s="27" t="s">
        <v>197</v>
      </c>
      <c r="O1525" s="27"/>
      <c r="P1525" s="27" t="str">
        <f aca="false">A1525&amp;"|"&amp;N1525</f>
        <v>NURSE-08|normal</v>
      </c>
    </row>
    <row r="1526" customFormat="false" ht="15" hidden="false" customHeight="true" outlineLevel="0" collapsed="false">
      <c r="A1526" s="27" t="s">
        <v>98</v>
      </c>
      <c r="B1526" s="41" t="n">
        <v>46303.3347222222</v>
      </c>
      <c r="C1526" s="27" t="s">
        <v>200</v>
      </c>
      <c r="D1526" s="27" t="n">
        <v>37</v>
      </c>
      <c r="E1526" s="27" t="n">
        <v>18.1</v>
      </c>
      <c r="F1526" s="27" t="n">
        <v>31.2</v>
      </c>
      <c r="G1526" s="27" t="n">
        <v>32.2</v>
      </c>
      <c r="H1526" s="27" t="s">
        <v>196</v>
      </c>
      <c r="I1526" s="42" t="n">
        <f aca="false">(D1526-INDEX('Cohort Summary'!$D$5:$D$14,MATCH($A1526,'Cohort Summary'!$A$5:$A$14,0)))/INDEX('Cohort Summary'!$E$5:$E$14,MATCH($A1526,'Cohort Summary'!$A$5:$A$14,0))</f>
        <v>-0.364285714285715</v>
      </c>
      <c r="J1526" s="42" t="n">
        <f aca="false">(E1526-INDEX('Cohort Summary'!$F$5:$F$14,MATCH($A1526,'Cohort Summary'!$A$5:$A$14,0)))/INDEX('Cohort Summary'!$G$5:$G$14,MATCH($A1526,'Cohort Summary'!$A$5:$A$14,0))</f>
        <v>0.279187817258884</v>
      </c>
      <c r="K1526" s="42" t="n">
        <f aca="false">(F1526-INDEX('Cohort Summary'!$H$5:$H$14,MATCH($A1526,'Cohort Summary'!$A$5:$A$14,0)))/INDEX('Cohort Summary'!$I$5:$I$14,MATCH($A1526,'Cohort Summary'!$A$5:$A$14,0))</f>
        <v>0.054421768707483</v>
      </c>
      <c r="L1526" s="42" t="n">
        <f aca="false">(G1526-INDEX('Cohort Summary'!$J$5:$J$14,MATCH($A1526,'Cohort Summary'!$A$5:$A$14,0)))/INDEX('Cohort Summary'!$K$5:$K$14,MATCH($A1526,'Cohort Summary'!$A$5:$A$14,0))</f>
        <v>-1.05172413793103</v>
      </c>
      <c r="M1526" s="42" t="n">
        <f aca="false">MAX(I1526:K1526)</f>
        <v>0.279187817258884</v>
      </c>
      <c r="N1526" s="27" t="s">
        <v>197</v>
      </c>
      <c r="O1526" s="27"/>
      <c r="P1526" s="27" t="str">
        <f aca="false">A1526&amp;"|"&amp;N1526</f>
        <v>NURSE-08|normal</v>
      </c>
    </row>
    <row r="1527" customFormat="false" ht="15" hidden="false" customHeight="true" outlineLevel="0" collapsed="false">
      <c r="A1527" s="27" t="s">
        <v>98</v>
      </c>
      <c r="B1527" s="41" t="n">
        <v>46303.3350694445</v>
      </c>
      <c r="C1527" s="27" t="s">
        <v>200</v>
      </c>
      <c r="D1527" s="27" t="n">
        <v>42.4</v>
      </c>
      <c r="E1527" s="27" t="n">
        <v>14.9</v>
      </c>
      <c r="F1527" s="27" t="n">
        <v>33.6</v>
      </c>
      <c r="G1527" s="27" t="n">
        <v>32.5</v>
      </c>
      <c r="H1527" s="27" t="s">
        <v>199</v>
      </c>
      <c r="I1527" s="42" t="n">
        <f aca="false">(D1527-INDEX('Cohort Summary'!$D$5:$D$14,MATCH($A1527,'Cohort Summary'!$A$5:$A$14,0)))/INDEX('Cohort Summary'!$E$5:$E$14,MATCH($A1527,'Cohort Summary'!$A$5:$A$14,0))</f>
        <v>1.56428571428571</v>
      </c>
      <c r="J1527" s="42" t="n">
        <f aca="false">(E1527-INDEX('Cohort Summary'!$F$5:$F$14,MATCH($A1527,'Cohort Summary'!$A$5:$A$14,0)))/INDEX('Cohort Summary'!$G$5:$G$14,MATCH($A1527,'Cohort Summary'!$A$5:$A$14,0))</f>
        <v>-1.34517766497462</v>
      </c>
      <c r="K1527" s="42" t="n">
        <f aca="false">(F1527-INDEX('Cohort Summary'!$H$5:$H$14,MATCH($A1527,'Cohort Summary'!$A$5:$A$14,0)))/INDEX('Cohort Summary'!$I$5:$I$14,MATCH($A1527,'Cohort Summary'!$A$5:$A$14,0))</f>
        <v>0.870748299319729</v>
      </c>
      <c r="L1527" s="42" t="n">
        <f aca="false">(G1527-INDEX('Cohort Summary'!$J$5:$J$14,MATCH($A1527,'Cohort Summary'!$A$5:$A$14,0)))/INDEX('Cohort Summary'!$K$5:$K$14,MATCH($A1527,'Cohort Summary'!$A$5:$A$14,0))</f>
        <v>-0.534482758620694</v>
      </c>
      <c r="M1527" s="42" t="n">
        <f aca="false">MAX(I1527:K1527)</f>
        <v>1.56428571428571</v>
      </c>
      <c r="N1527" s="27" t="s">
        <v>197</v>
      </c>
      <c r="O1527" s="27"/>
      <c r="P1527" s="27" t="str">
        <f aca="false">A1527&amp;"|"&amp;N1527</f>
        <v>NURSE-08|normal</v>
      </c>
    </row>
    <row r="1528" customFormat="false" ht="15" hidden="false" customHeight="true" outlineLevel="0" collapsed="false">
      <c r="A1528" s="27" t="s">
        <v>98</v>
      </c>
      <c r="B1528" s="41" t="n">
        <v>46303.3354166667</v>
      </c>
      <c r="C1528" s="27" t="s">
        <v>200</v>
      </c>
      <c r="D1528" s="27" t="n">
        <v>42.6</v>
      </c>
      <c r="E1528" s="27" t="n">
        <v>16.5</v>
      </c>
      <c r="F1528" s="27" t="n">
        <v>32.2</v>
      </c>
      <c r="G1528" s="27" t="n">
        <v>32.9</v>
      </c>
      <c r="H1528" s="27" t="s">
        <v>199</v>
      </c>
      <c r="I1528" s="42" t="n">
        <f aca="false">(D1528-INDEX('Cohort Summary'!$D$5:$D$14,MATCH($A1528,'Cohort Summary'!$A$5:$A$14,0)))/INDEX('Cohort Summary'!$E$5:$E$14,MATCH($A1528,'Cohort Summary'!$A$5:$A$14,0))</f>
        <v>1.63571428571429</v>
      </c>
      <c r="J1528" s="42" t="n">
        <f aca="false">(E1528-INDEX('Cohort Summary'!$F$5:$F$14,MATCH($A1528,'Cohort Summary'!$A$5:$A$14,0)))/INDEX('Cohort Summary'!$G$5:$G$14,MATCH($A1528,'Cohort Summary'!$A$5:$A$14,0))</f>
        <v>-0.532994923857868</v>
      </c>
      <c r="K1528" s="42" t="n">
        <f aca="false">(F1528-INDEX('Cohort Summary'!$H$5:$H$14,MATCH($A1528,'Cohort Summary'!$A$5:$A$14,0)))/INDEX('Cohort Summary'!$I$5:$I$14,MATCH($A1528,'Cohort Summary'!$A$5:$A$14,0))</f>
        <v>0.394557823129253</v>
      </c>
      <c r="L1528" s="42" t="n">
        <f aca="false">(G1528-INDEX('Cohort Summary'!$J$5:$J$14,MATCH($A1528,'Cohort Summary'!$A$5:$A$14,0)))/INDEX('Cohort Summary'!$K$5:$K$14,MATCH($A1528,'Cohort Summary'!$A$5:$A$14,0))</f>
        <v>0.155172413793097</v>
      </c>
      <c r="M1528" s="42" t="n">
        <f aca="false">MAX(I1528:K1528)</f>
        <v>1.63571428571429</v>
      </c>
      <c r="N1528" s="27" t="s">
        <v>197</v>
      </c>
      <c r="O1528" s="27"/>
      <c r="P1528" s="27" t="str">
        <f aca="false">A1528&amp;"|"&amp;N1528</f>
        <v>NURSE-08|normal</v>
      </c>
    </row>
    <row r="1529" customFormat="false" ht="15" hidden="false" customHeight="true" outlineLevel="0" collapsed="false">
      <c r="A1529" s="27" t="s">
        <v>98</v>
      </c>
      <c r="B1529" s="41" t="n">
        <v>46303.3357638889</v>
      </c>
      <c r="C1529" s="27" t="s">
        <v>200</v>
      </c>
      <c r="D1529" s="27" t="n">
        <v>35</v>
      </c>
      <c r="E1529" s="27" t="n">
        <v>20.3</v>
      </c>
      <c r="F1529" s="27" t="n">
        <v>35.4</v>
      </c>
      <c r="G1529" s="27" t="n">
        <v>33.7</v>
      </c>
      <c r="H1529" s="27" t="s">
        <v>196</v>
      </c>
      <c r="I1529" s="42" t="n">
        <f aca="false">(D1529-INDEX('Cohort Summary'!$D$5:$D$14,MATCH($A1529,'Cohort Summary'!$A$5:$A$14,0)))/INDEX('Cohort Summary'!$E$5:$E$14,MATCH($A1529,'Cohort Summary'!$A$5:$A$14,0))</f>
        <v>-1.07857142857143</v>
      </c>
      <c r="J1529" s="42" t="n">
        <f aca="false">(E1529-INDEX('Cohort Summary'!$F$5:$F$14,MATCH($A1529,'Cohort Summary'!$A$5:$A$14,0)))/INDEX('Cohort Summary'!$G$5:$G$14,MATCH($A1529,'Cohort Summary'!$A$5:$A$14,0))</f>
        <v>1.39593908629442</v>
      </c>
      <c r="K1529" s="42" t="n">
        <f aca="false">(F1529-INDEX('Cohort Summary'!$H$5:$H$14,MATCH($A1529,'Cohort Summary'!$A$5:$A$14,0)))/INDEX('Cohort Summary'!$I$5:$I$14,MATCH($A1529,'Cohort Summary'!$A$5:$A$14,0))</f>
        <v>1.48299319727891</v>
      </c>
      <c r="L1529" s="42" t="n">
        <f aca="false">(G1529-INDEX('Cohort Summary'!$J$5:$J$14,MATCH($A1529,'Cohort Summary'!$A$5:$A$14,0)))/INDEX('Cohort Summary'!$K$5:$K$14,MATCH($A1529,'Cohort Summary'!$A$5:$A$14,0))</f>
        <v>1.53448275862069</v>
      </c>
      <c r="M1529" s="42" t="n">
        <f aca="false">MAX(I1529:K1529)</f>
        <v>1.48299319727891</v>
      </c>
      <c r="N1529" s="27" t="s">
        <v>197</v>
      </c>
      <c r="O1529" s="27"/>
      <c r="P1529" s="27" t="str">
        <f aca="false">A1529&amp;"|"&amp;N1529</f>
        <v>NURSE-08|normal</v>
      </c>
    </row>
    <row r="1530" customFormat="false" ht="15" hidden="false" customHeight="true" outlineLevel="0" collapsed="false">
      <c r="A1530" s="27" t="s">
        <v>98</v>
      </c>
      <c r="B1530" s="41" t="n">
        <v>46303.3361111111</v>
      </c>
      <c r="C1530" s="27" t="s">
        <v>200</v>
      </c>
      <c r="D1530" s="27" t="n">
        <v>41.8</v>
      </c>
      <c r="E1530" s="27" t="n">
        <v>17.5</v>
      </c>
      <c r="F1530" s="27" t="n">
        <v>26.4</v>
      </c>
      <c r="G1530" s="27" t="n">
        <v>32.4</v>
      </c>
      <c r="H1530" s="27" t="s">
        <v>196</v>
      </c>
      <c r="I1530" s="42" t="n">
        <f aca="false">(D1530-INDEX('Cohort Summary'!$D$5:$D$14,MATCH($A1530,'Cohort Summary'!$A$5:$A$14,0)))/INDEX('Cohort Summary'!$E$5:$E$14,MATCH($A1530,'Cohort Summary'!$A$5:$A$14,0))</f>
        <v>1.35</v>
      </c>
      <c r="J1530" s="42" t="n">
        <f aca="false">(E1530-INDEX('Cohort Summary'!$F$5:$F$14,MATCH($A1530,'Cohort Summary'!$A$5:$A$14,0)))/INDEX('Cohort Summary'!$G$5:$G$14,MATCH($A1530,'Cohort Summary'!$A$5:$A$14,0))</f>
        <v>-0.0253807106598988</v>
      </c>
      <c r="K1530" s="42" t="n">
        <f aca="false">(F1530-INDEX('Cohort Summary'!$H$5:$H$14,MATCH($A1530,'Cohort Summary'!$A$5:$A$14,0)))/INDEX('Cohort Summary'!$I$5:$I$14,MATCH($A1530,'Cohort Summary'!$A$5:$A$14,0))</f>
        <v>-1.57823129251701</v>
      </c>
      <c r="L1530" s="42" t="n">
        <f aca="false">(G1530-INDEX('Cohort Summary'!$J$5:$J$14,MATCH($A1530,'Cohort Summary'!$A$5:$A$14,0)))/INDEX('Cohort Summary'!$K$5:$K$14,MATCH($A1530,'Cohort Summary'!$A$5:$A$14,0))</f>
        <v>-0.706896551724144</v>
      </c>
      <c r="M1530" s="42" t="n">
        <f aca="false">MAX(I1530:K1530)</f>
        <v>1.35</v>
      </c>
      <c r="N1530" s="27" t="s">
        <v>197</v>
      </c>
      <c r="O1530" s="27"/>
      <c r="P1530" s="27" t="str">
        <f aca="false">A1530&amp;"|"&amp;N1530</f>
        <v>NURSE-08|normal</v>
      </c>
    </row>
    <row r="1531" customFormat="false" ht="15" hidden="false" customHeight="true" outlineLevel="0" collapsed="false">
      <c r="A1531" s="27" t="s">
        <v>98</v>
      </c>
      <c r="B1531" s="41" t="n">
        <v>46303.3364583333</v>
      </c>
      <c r="C1531" s="27" t="s">
        <v>200</v>
      </c>
      <c r="D1531" s="27" t="n">
        <v>40.1</v>
      </c>
      <c r="E1531" s="27" t="n">
        <v>20.7</v>
      </c>
      <c r="F1531" s="27" t="n">
        <v>26.2</v>
      </c>
      <c r="G1531" s="27" t="n">
        <v>33.7</v>
      </c>
      <c r="H1531" s="27" t="s">
        <v>196</v>
      </c>
      <c r="I1531" s="42" t="n">
        <f aca="false">(D1531-INDEX('Cohort Summary'!$D$5:$D$14,MATCH($A1531,'Cohort Summary'!$A$5:$A$14,0)))/INDEX('Cohort Summary'!$E$5:$E$14,MATCH($A1531,'Cohort Summary'!$A$5:$A$14,0))</f>
        <v>0.742857142857142</v>
      </c>
      <c r="J1531" s="42" t="n">
        <f aca="false">(E1531-INDEX('Cohort Summary'!$F$5:$F$14,MATCH($A1531,'Cohort Summary'!$A$5:$A$14,0)))/INDEX('Cohort Summary'!$G$5:$G$14,MATCH($A1531,'Cohort Summary'!$A$5:$A$14,0))</f>
        <v>1.5989847715736</v>
      </c>
      <c r="K1531" s="42" t="n">
        <f aca="false">(F1531-INDEX('Cohort Summary'!$H$5:$H$14,MATCH($A1531,'Cohort Summary'!$A$5:$A$14,0)))/INDEX('Cohort Summary'!$I$5:$I$14,MATCH($A1531,'Cohort Summary'!$A$5:$A$14,0))</f>
        <v>-1.64625850340136</v>
      </c>
      <c r="L1531" s="42" t="n">
        <f aca="false">(G1531-INDEX('Cohort Summary'!$J$5:$J$14,MATCH($A1531,'Cohort Summary'!$A$5:$A$14,0)))/INDEX('Cohort Summary'!$K$5:$K$14,MATCH($A1531,'Cohort Summary'!$A$5:$A$14,0))</f>
        <v>1.53448275862069</v>
      </c>
      <c r="M1531" s="42" t="n">
        <f aca="false">MAX(I1531:K1531)</f>
        <v>1.5989847715736</v>
      </c>
      <c r="N1531" s="27" t="s">
        <v>197</v>
      </c>
      <c r="O1531" s="27"/>
      <c r="P1531" s="27" t="str">
        <f aca="false">A1531&amp;"|"&amp;N1531</f>
        <v>NURSE-08|normal</v>
      </c>
    </row>
    <row r="1532" customFormat="false" ht="15" hidden="false" customHeight="true" outlineLevel="0" collapsed="false">
      <c r="A1532" s="27" t="s">
        <v>98</v>
      </c>
      <c r="B1532" s="41" t="n">
        <v>46303.3368055556</v>
      </c>
      <c r="C1532" s="27" t="s">
        <v>200</v>
      </c>
      <c r="D1532" s="27" t="n">
        <v>41.4</v>
      </c>
      <c r="E1532" s="27" t="n">
        <v>19.2</v>
      </c>
      <c r="F1532" s="27" t="n">
        <v>29.6</v>
      </c>
      <c r="G1532" s="27" t="n">
        <v>33.5</v>
      </c>
      <c r="H1532" s="27" t="s">
        <v>198</v>
      </c>
      <c r="I1532" s="42" t="n">
        <f aca="false">(D1532-INDEX('Cohort Summary'!$D$5:$D$14,MATCH($A1532,'Cohort Summary'!$A$5:$A$14,0)))/INDEX('Cohort Summary'!$E$5:$E$14,MATCH($A1532,'Cohort Summary'!$A$5:$A$14,0))</f>
        <v>1.20714285714286</v>
      </c>
      <c r="J1532" s="42" t="n">
        <f aca="false">(E1532-INDEX('Cohort Summary'!$F$5:$F$14,MATCH($A1532,'Cohort Summary'!$A$5:$A$14,0)))/INDEX('Cohort Summary'!$G$5:$G$14,MATCH($A1532,'Cohort Summary'!$A$5:$A$14,0))</f>
        <v>0.837563451776649</v>
      </c>
      <c r="K1532" s="42" t="n">
        <f aca="false">(F1532-INDEX('Cohort Summary'!$H$5:$H$14,MATCH($A1532,'Cohort Summary'!$A$5:$A$14,0)))/INDEX('Cohort Summary'!$I$5:$I$14,MATCH($A1532,'Cohort Summary'!$A$5:$A$14,0))</f>
        <v>-0.489795918367346</v>
      </c>
      <c r="L1532" s="42" t="n">
        <f aca="false">(G1532-INDEX('Cohort Summary'!$J$5:$J$14,MATCH($A1532,'Cohort Summary'!$A$5:$A$14,0)))/INDEX('Cohort Summary'!$K$5:$K$14,MATCH($A1532,'Cohort Summary'!$A$5:$A$14,0))</f>
        <v>1.18965517241379</v>
      </c>
      <c r="M1532" s="42" t="n">
        <f aca="false">MAX(I1532:K1532)</f>
        <v>1.20714285714286</v>
      </c>
      <c r="N1532" s="27" t="s">
        <v>197</v>
      </c>
      <c r="O1532" s="27"/>
      <c r="P1532" s="27" t="str">
        <f aca="false">A1532&amp;"|"&amp;N1532</f>
        <v>NURSE-08|normal</v>
      </c>
    </row>
    <row r="1533" customFormat="false" ht="15" hidden="false" customHeight="true" outlineLevel="0" collapsed="false">
      <c r="A1533" s="27" t="s">
        <v>98</v>
      </c>
      <c r="B1533" s="41" t="n">
        <v>46303.3371527778</v>
      </c>
      <c r="C1533" s="27" t="s">
        <v>200</v>
      </c>
      <c r="D1533" s="27" t="n">
        <v>42.2</v>
      </c>
      <c r="E1533" s="27" t="n">
        <v>19.2</v>
      </c>
      <c r="F1533" s="27" t="n">
        <v>33</v>
      </c>
      <c r="G1533" s="27" t="n">
        <v>32.1</v>
      </c>
      <c r="H1533" s="27" t="s">
        <v>198</v>
      </c>
      <c r="I1533" s="42" t="n">
        <f aca="false">(D1533-INDEX('Cohort Summary'!$D$5:$D$14,MATCH($A1533,'Cohort Summary'!$A$5:$A$14,0)))/INDEX('Cohort Summary'!$E$5:$E$14,MATCH($A1533,'Cohort Summary'!$A$5:$A$14,0))</f>
        <v>1.49285714285714</v>
      </c>
      <c r="J1533" s="42" t="n">
        <f aca="false">(E1533-INDEX('Cohort Summary'!$F$5:$F$14,MATCH($A1533,'Cohort Summary'!$A$5:$A$14,0)))/INDEX('Cohort Summary'!$G$5:$G$14,MATCH($A1533,'Cohort Summary'!$A$5:$A$14,0))</f>
        <v>0.837563451776649</v>
      </c>
      <c r="K1533" s="42" t="n">
        <f aca="false">(F1533-INDEX('Cohort Summary'!$H$5:$H$14,MATCH($A1533,'Cohort Summary'!$A$5:$A$14,0)))/INDEX('Cohort Summary'!$I$5:$I$14,MATCH($A1533,'Cohort Summary'!$A$5:$A$14,0))</f>
        <v>0.666666666666667</v>
      </c>
      <c r="L1533" s="42" t="n">
        <f aca="false">(G1533-INDEX('Cohort Summary'!$J$5:$J$14,MATCH($A1533,'Cohort Summary'!$A$5:$A$14,0)))/INDEX('Cohort Summary'!$K$5:$K$14,MATCH($A1533,'Cohort Summary'!$A$5:$A$14,0))</f>
        <v>-1.22413793103448</v>
      </c>
      <c r="M1533" s="42" t="n">
        <f aca="false">MAX(I1533:K1533)</f>
        <v>1.49285714285714</v>
      </c>
      <c r="N1533" s="27" t="s">
        <v>197</v>
      </c>
      <c r="O1533" s="27"/>
      <c r="P1533" s="27" t="str">
        <f aca="false">A1533&amp;"|"&amp;N1533</f>
        <v>NURSE-08|normal</v>
      </c>
    </row>
    <row r="1534" customFormat="false" ht="15" hidden="false" customHeight="true" outlineLevel="0" collapsed="false">
      <c r="A1534" s="27" t="s">
        <v>98</v>
      </c>
      <c r="B1534" s="41" t="n">
        <v>46303.3375</v>
      </c>
      <c r="C1534" s="27" t="s">
        <v>200</v>
      </c>
      <c r="D1534" s="27" t="n">
        <v>34.6</v>
      </c>
      <c r="E1534" s="27" t="n">
        <v>19.8</v>
      </c>
      <c r="F1534" s="27" t="n">
        <v>33.1</v>
      </c>
      <c r="G1534" s="27" t="n">
        <v>32.7</v>
      </c>
      <c r="H1534" s="27" t="s">
        <v>196</v>
      </c>
      <c r="I1534" s="42" t="n">
        <f aca="false">(D1534-INDEX('Cohort Summary'!$D$5:$D$14,MATCH($A1534,'Cohort Summary'!$A$5:$A$14,0)))/INDEX('Cohort Summary'!$E$5:$E$14,MATCH($A1534,'Cohort Summary'!$A$5:$A$14,0))</f>
        <v>-1.22142857142857</v>
      </c>
      <c r="J1534" s="42" t="n">
        <f aca="false">(E1534-INDEX('Cohort Summary'!$F$5:$F$14,MATCH($A1534,'Cohort Summary'!$A$5:$A$14,0)))/INDEX('Cohort Summary'!$G$5:$G$14,MATCH($A1534,'Cohort Summary'!$A$5:$A$14,0))</f>
        <v>1.14213197969543</v>
      </c>
      <c r="K1534" s="42" t="n">
        <f aca="false">(F1534-INDEX('Cohort Summary'!$H$5:$H$14,MATCH($A1534,'Cohort Summary'!$A$5:$A$14,0)))/INDEX('Cohort Summary'!$I$5:$I$14,MATCH($A1534,'Cohort Summary'!$A$5:$A$14,0))</f>
        <v>0.700680272108844</v>
      </c>
      <c r="L1534" s="42" t="n">
        <f aca="false">(G1534-INDEX('Cohort Summary'!$J$5:$J$14,MATCH($A1534,'Cohort Summary'!$A$5:$A$14,0)))/INDEX('Cohort Summary'!$K$5:$K$14,MATCH($A1534,'Cohort Summary'!$A$5:$A$14,0))</f>
        <v>-0.189655172413792</v>
      </c>
      <c r="M1534" s="42" t="n">
        <f aca="false">MAX(I1534:K1534)</f>
        <v>1.14213197969543</v>
      </c>
      <c r="N1534" s="27" t="s">
        <v>197</v>
      </c>
      <c r="O1534" s="27"/>
      <c r="P1534" s="27" t="str">
        <f aca="false">A1534&amp;"|"&amp;N1534</f>
        <v>NURSE-08|normal</v>
      </c>
    </row>
    <row r="1535" customFormat="false" ht="15" hidden="false" customHeight="true" outlineLevel="0" collapsed="false">
      <c r="A1535" s="27" t="s">
        <v>98</v>
      </c>
      <c r="B1535" s="41" t="n">
        <v>46303.3378472222</v>
      </c>
      <c r="C1535" s="27" t="s">
        <v>200</v>
      </c>
      <c r="D1535" s="27" t="n">
        <v>35.7</v>
      </c>
      <c r="E1535" s="27" t="n">
        <v>20.4</v>
      </c>
      <c r="F1535" s="27" t="n">
        <v>31.3</v>
      </c>
      <c r="G1535" s="27" t="n">
        <v>31.8</v>
      </c>
      <c r="H1535" s="27" t="s">
        <v>199</v>
      </c>
      <c r="I1535" s="42" t="n">
        <f aca="false">(D1535-INDEX('Cohort Summary'!$D$5:$D$14,MATCH($A1535,'Cohort Summary'!$A$5:$A$14,0)))/INDEX('Cohort Summary'!$E$5:$E$14,MATCH($A1535,'Cohort Summary'!$A$5:$A$14,0))</f>
        <v>-0.828571428571429</v>
      </c>
      <c r="J1535" s="42" t="n">
        <f aca="false">(E1535-INDEX('Cohort Summary'!$F$5:$F$14,MATCH($A1535,'Cohort Summary'!$A$5:$A$14,0)))/INDEX('Cohort Summary'!$G$5:$G$14,MATCH($A1535,'Cohort Summary'!$A$5:$A$14,0))</f>
        <v>1.44670050761421</v>
      </c>
      <c r="K1535" s="42" t="n">
        <f aca="false">(F1535-INDEX('Cohort Summary'!$H$5:$H$14,MATCH($A1535,'Cohort Summary'!$A$5:$A$14,0)))/INDEX('Cohort Summary'!$I$5:$I$14,MATCH($A1535,'Cohort Summary'!$A$5:$A$14,0))</f>
        <v>0.0884353741496604</v>
      </c>
      <c r="L1535" s="42" t="n">
        <f aca="false">(G1535-INDEX('Cohort Summary'!$J$5:$J$14,MATCH($A1535,'Cohort Summary'!$A$5:$A$14,0)))/INDEX('Cohort Summary'!$K$5:$K$14,MATCH($A1535,'Cohort Summary'!$A$5:$A$14,0))</f>
        <v>-1.74137931034483</v>
      </c>
      <c r="M1535" s="42" t="n">
        <f aca="false">MAX(I1535:K1535)</f>
        <v>1.44670050761421</v>
      </c>
      <c r="N1535" s="27" t="s">
        <v>197</v>
      </c>
      <c r="O1535" s="27"/>
      <c r="P1535" s="27" t="str">
        <f aca="false">A1535&amp;"|"&amp;N1535</f>
        <v>NURSE-08|normal</v>
      </c>
    </row>
    <row r="1536" customFormat="false" ht="15" hidden="false" customHeight="true" outlineLevel="0" collapsed="false">
      <c r="A1536" s="27" t="s">
        <v>98</v>
      </c>
      <c r="B1536" s="41" t="n">
        <v>46303.3381944444</v>
      </c>
      <c r="C1536" s="27" t="s">
        <v>200</v>
      </c>
      <c r="D1536" s="27" t="n">
        <v>41.9</v>
      </c>
      <c r="E1536" s="27" t="n">
        <v>14.1</v>
      </c>
      <c r="F1536" s="27" t="n">
        <v>33.7</v>
      </c>
      <c r="G1536" s="27" t="n">
        <v>31.9</v>
      </c>
      <c r="H1536" s="27" t="s">
        <v>199</v>
      </c>
      <c r="I1536" s="42" t="n">
        <f aca="false">(D1536-INDEX('Cohort Summary'!$D$5:$D$14,MATCH($A1536,'Cohort Summary'!$A$5:$A$14,0)))/INDEX('Cohort Summary'!$E$5:$E$14,MATCH($A1536,'Cohort Summary'!$A$5:$A$14,0))</f>
        <v>1.38571428571428</v>
      </c>
      <c r="J1536" s="42" t="n">
        <f aca="false">(E1536-INDEX('Cohort Summary'!$F$5:$F$14,MATCH($A1536,'Cohort Summary'!$A$5:$A$14,0)))/INDEX('Cohort Summary'!$G$5:$G$14,MATCH($A1536,'Cohort Summary'!$A$5:$A$14,0))</f>
        <v>-1.751269035533</v>
      </c>
      <c r="K1536" s="42" t="n">
        <f aca="false">(F1536-INDEX('Cohort Summary'!$H$5:$H$14,MATCH($A1536,'Cohort Summary'!$A$5:$A$14,0)))/INDEX('Cohort Summary'!$I$5:$I$14,MATCH($A1536,'Cohort Summary'!$A$5:$A$14,0))</f>
        <v>0.904761904761906</v>
      </c>
      <c r="L1536" s="42" t="n">
        <f aca="false">(G1536-INDEX('Cohort Summary'!$J$5:$J$14,MATCH($A1536,'Cohort Summary'!$A$5:$A$14,0)))/INDEX('Cohort Summary'!$K$5:$K$14,MATCH($A1536,'Cohort Summary'!$A$5:$A$14,0))</f>
        <v>-1.56896551724139</v>
      </c>
      <c r="M1536" s="42" t="n">
        <f aca="false">MAX(I1536:K1536)</f>
        <v>1.38571428571428</v>
      </c>
      <c r="N1536" s="27" t="s">
        <v>197</v>
      </c>
      <c r="O1536" s="27"/>
      <c r="P1536" s="27" t="str">
        <f aca="false">A1536&amp;"|"&amp;N1536</f>
        <v>NURSE-08|normal</v>
      </c>
    </row>
    <row r="1537" customFormat="false" ht="15" hidden="false" customHeight="true" outlineLevel="0" collapsed="false">
      <c r="A1537" s="27" t="s">
        <v>98</v>
      </c>
      <c r="B1537" s="41" t="n">
        <v>46303.3385416667</v>
      </c>
      <c r="C1537" s="27" t="s">
        <v>200</v>
      </c>
      <c r="D1537" s="27" t="n">
        <v>41.1</v>
      </c>
      <c r="E1537" s="27" t="n">
        <v>14</v>
      </c>
      <c r="F1537" s="27" t="n">
        <v>30.2</v>
      </c>
      <c r="G1537" s="27" t="n">
        <v>32</v>
      </c>
      <c r="H1537" s="27" t="s">
        <v>196</v>
      </c>
      <c r="I1537" s="42" t="n">
        <f aca="false">(D1537-INDEX('Cohort Summary'!$D$5:$D$14,MATCH($A1537,'Cohort Summary'!$A$5:$A$14,0)))/INDEX('Cohort Summary'!$E$5:$E$14,MATCH($A1537,'Cohort Summary'!$A$5:$A$14,0))</f>
        <v>1.1</v>
      </c>
      <c r="J1537" s="42" t="n">
        <f aca="false">(E1537-INDEX('Cohort Summary'!$F$5:$F$14,MATCH($A1537,'Cohort Summary'!$A$5:$A$14,0)))/INDEX('Cohort Summary'!$G$5:$G$14,MATCH($A1537,'Cohort Summary'!$A$5:$A$14,0))</f>
        <v>-1.80203045685279</v>
      </c>
      <c r="K1537" s="42" t="n">
        <f aca="false">(F1537-INDEX('Cohort Summary'!$H$5:$H$14,MATCH($A1537,'Cohort Summary'!$A$5:$A$14,0)))/INDEX('Cohort Summary'!$I$5:$I$14,MATCH($A1537,'Cohort Summary'!$A$5:$A$14,0))</f>
        <v>-0.285714285714286</v>
      </c>
      <c r="L1537" s="42" t="n">
        <f aca="false">(G1537-INDEX('Cohort Summary'!$J$5:$J$14,MATCH($A1537,'Cohort Summary'!$A$5:$A$14,0)))/INDEX('Cohort Summary'!$K$5:$K$14,MATCH($A1537,'Cohort Summary'!$A$5:$A$14,0))</f>
        <v>-1.39655172413794</v>
      </c>
      <c r="M1537" s="42" t="n">
        <f aca="false">MAX(I1537:K1537)</f>
        <v>1.1</v>
      </c>
      <c r="N1537" s="27" t="s">
        <v>197</v>
      </c>
      <c r="O1537" s="27"/>
      <c r="P1537" s="27" t="str">
        <f aca="false">A1537&amp;"|"&amp;N1537</f>
        <v>NURSE-08|normal</v>
      </c>
    </row>
    <row r="1538" customFormat="false" ht="15" hidden="false" customHeight="true" outlineLevel="0" collapsed="false">
      <c r="A1538" s="27" t="s">
        <v>98</v>
      </c>
      <c r="B1538" s="41" t="n">
        <v>46303.3388888889</v>
      </c>
      <c r="C1538" s="27" t="s">
        <v>200</v>
      </c>
      <c r="D1538" s="27" t="n">
        <v>37.8</v>
      </c>
      <c r="E1538" s="27" t="n">
        <v>19.9</v>
      </c>
      <c r="F1538" s="27" t="n">
        <v>26.9</v>
      </c>
      <c r="G1538" s="27" t="n">
        <v>33.6</v>
      </c>
      <c r="H1538" s="27" t="s">
        <v>199</v>
      </c>
      <c r="I1538" s="42" t="n">
        <f aca="false">(D1538-INDEX('Cohort Summary'!$D$5:$D$14,MATCH($A1538,'Cohort Summary'!$A$5:$A$14,0)))/INDEX('Cohort Summary'!$E$5:$E$14,MATCH($A1538,'Cohort Summary'!$A$5:$A$14,0))</f>
        <v>-0.0785714285714307</v>
      </c>
      <c r="J1538" s="42" t="n">
        <f aca="false">(E1538-INDEX('Cohort Summary'!$F$5:$F$14,MATCH($A1538,'Cohort Summary'!$A$5:$A$14,0)))/INDEX('Cohort Summary'!$G$5:$G$14,MATCH($A1538,'Cohort Summary'!$A$5:$A$14,0))</f>
        <v>1.19289340101523</v>
      </c>
      <c r="K1538" s="42" t="n">
        <f aca="false">(F1538-INDEX('Cohort Summary'!$H$5:$H$14,MATCH($A1538,'Cohort Summary'!$A$5:$A$14,0)))/INDEX('Cohort Summary'!$I$5:$I$14,MATCH($A1538,'Cohort Summary'!$A$5:$A$14,0))</f>
        <v>-1.40816326530612</v>
      </c>
      <c r="L1538" s="42" t="n">
        <f aca="false">(G1538-INDEX('Cohort Summary'!$J$5:$J$14,MATCH($A1538,'Cohort Summary'!$A$5:$A$14,0)))/INDEX('Cohort Summary'!$K$5:$K$14,MATCH($A1538,'Cohort Summary'!$A$5:$A$14,0))</f>
        <v>1.36206896551724</v>
      </c>
      <c r="M1538" s="42" t="n">
        <f aca="false">MAX(I1538:K1538)</f>
        <v>1.19289340101523</v>
      </c>
      <c r="N1538" s="27" t="s">
        <v>197</v>
      </c>
      <c r="O1538" s="27"/>
      <c r="P1538" s="27" t="str">
        <f aca="false">A1538&amp;"|"&amp;N1538</f>
        <v>NURSE-08|normal</v>
      </c>
    </row>
    <row r="1539" customFormat="false" ht="15" hidden="false" customHeight="true" outlineLevel="0" collapsed="false">
      <c r="A1539" s="27" t="s">
        <v>98</v>
      </c>
      <c r="B1539" s="41" t="n">
        <v>46303.3392361111</v>
      </c>
      <c r="C1539" s="27" t="s">
        <v>200</v>
      </c>
      <c r="D1539" s="27" t="n">
        <v>33.1</v>
      </c>
      <c r="E1539" s="27" t="n">
        <v>14.6</v>
      </c>
      <c r="F1539" s="27" t="n">
        <v>34.4</v>
      </c>
      <c r="G1539" s="27" t="n">
        <v>33.5</v>
      </c>
      <c r="H1539" s="27" t="s">
        <v>196</v>
      </c>
      <c r="I1539" s="42" t="n">
        <f aca="false">(D1539-INDEX('Cohort Summary'!$D$5:$D$14,MATCH($A1539,'Cohort Summary'!$A$5:$A$14,0)))/INDEX('Cohort Summary'!$E$5:$E$14,MATCH($A1539,'Cohort Summary'!$A$5:$A$14,0))</f>
        <v>-1.75714285714286</v>
      </c>
      <c r="J1539" s="42" t="n">
        <f aca="false">(E1539-INDEX('Cohort Summary'!$F$5:$F$14,MATCH($A1539,'Cohort Summary'!$A$5:$A$14,0)))/INDEX('Cohort Summary'!$G$5:$G$14,MATCH($A1539,'Cohort Summary'!$A$5:$A$14,0))</f>
        <v>-1.49746192893401</v>
      </c>
      <c r="K1539" s="42" t="n">
        <f aca="false">(F1539-INDEX('Cohort Summary'!$H$5:$H$14,MATCH($A1539,'Cohort Summary'!$A$5:$A$14,0)))/INDEX('Cohort Summary'!$I$5:$I$14,MATCH($A1539,'Cohort Summary'!$A$5:$A$14,0))</f>
        <v>1.14285714285714</v>
      </c>
      <c r="L1539" s="42" t="n">
        <f aca="false">(G1539-INDEX('Cohort Summary'!$J$5:$J$14,MATCH($A1539,'Cohort Summary'!$A$5:$A$14,0)))/INDEX('Cohort Summary'!$K$5:$K$14,MATCH($A1539,'Cohort Summary'!$A$5:$A$14,0))</f>
        <v>1.18965517241379</v>
      </c>
      <c r="M1539" s="42" t="n">
        <f aca="false">MAX(I1539:K1539)</f>
        <v>1.14285714285714</v>
      </c>
      <c r="N1539" s="27" t="s">
        <v>197</v>
      </c>
      <c r="O1539" s="27"/>
      <c r="P1539" s="27" t="str">
        <f aca="false">A1539&amp;"|"&amp;N1539</f>
        <v>NURSE-08|normal</v>
      </c>
    </row>
    <row r="1540" customFormat="false" ht="15" hidden="false" customHeight="true" outlineLevel="0" collapsed="false">
      <c r="A1540" s="27" t="s">
        <v>98</v>
      </c>
      <c r="B1540" s="41" t="n">
        <v>46303.3395833333</v>
      </c>
      <c r="C1540" s="27" t="s">
        <v>200</v>
      </c>
      <c r="D1540" s="27" t="n">
        <v>42.6</v>
      </c>
      <c r="E1540" s="27" t="n">
        <v>16.8</v>
      </c>
      <c r="F1540" s="27" t="n">
        <v>28.2</v>
      </c>
      <c r="G1540" s="27" t="n">
        <v>33.2</v>
      </c>
      <c r="H1540" s="27" t="s">
        <v>196</v>
      </c>
      <c r="I1540" s="42" t="n">
        <f aca="false">(D1540-INDEX('Cohort Summary'!$D$5:$D$14,MATCH($A1540,'Cohort Summary'!$A$5:$A$14,0)))/INDEX('Cohort Summary'!$E$5:$E$14,MATCH($A1540,'Cohort Summary'!$A$5:$A$14,0))</f>
        <v>1.63571428571429</v>
      </c>
      <c r="J1540" s="42" t="n">
        <f aca="false">(E1540-INDEX('Cohort Summary'!$F$5:$F$14,MATCH($A1540,'Cohort Summary'!$A$5:$A$14,0)))/INDEX('Cohort Summary'!$G$5:$G$14,MATCH($A1540,'Cohort Summary'!$A$5:$A$14,0))</f>
        <v>-0.380710659898477</v>
      </c>
      <c r="K1540" s="42" t="n">
        <f aca="false">(F1540-INDEX('Cohort Summary'!$H$5:$H$14,MATCH($A1540,'Cohort Summary'!$A$5:$A$14,0)))/INDEX('Cohort Summary'!$I$5:$I$14,MATCH($A1540,'Cohort Summary'!$A$5:$A$14,0))</f>
        <v>-0.965986394557823</v>
      </c>
      <c r="L1540" s="42" t="n">
        <f aca="false">(G1540-INDEX('Cohort Summary'!$J$5:$J$14,MATCH($A1540,'Cohort Summary'!$A$5:$A$14,0)))/INDEX('Cohort Summary'!$K$5:$K$14,MATCH($A1540,'Cohort Summary'!$A$5:$A$14,0))</f>
        <v>0.672413793103449</v>
      </c>
      <c r="M1540" s="42" t="n">
        <f aca="false">MAX(I1540:K1540)</f>
        <v>1.63571428571429</v>
      </c>
      <c r="N1540" s="27" t="s">
        <v>197</v>
      </c>
      <c r="O1540" s="27"/>
      <c r="P1540" s="27" t="str">
        <f aca="false">A1540&amp;"|"&amp;N1540</f>
        <v>NURSE-08|normal</v>
      </c>
    </row>
    <row r="1541" customFormat="false" ht="15" hidden="false" customHeight="true" outlineLevel="0" collapsed="false">
      <c r="A1541" s="27" t="s">
        <v>98</v>
      </c>
      <c r="B1541" s="41" t="n">
        <v>46303.3399305556</v>
      </c>
      <c r="C1541" s="27" t="s">
        <v>200</v>
      </c>
      <c r="D1541" s="27" t="n">
        <v>33</v>
      </c>
      <c r="E1541" s="27" t="n">
        <v>20.9</v>
      </c>
      <c r="F1541" s="27" t="n">
        <v>30.2</v>
      </c>
      <c r="G1541" s="27" t="n">
        <v>33.3</v>
      </c>
      <c r="H1541" s="27" t="s">
        <v>196</v>
      </c>
      <c r="I1541" s="42" t="n">
        <f aca="false">(D1541-INDEX('Cohort Summary'!$D$5:$D$14,MATCH($A1541,'Cohort Summary'!$A$5:$A$14,0)))/INDEX('Cohort Summary'!$E$5:$E$14,MATCH($A1541,'Cohort Summary'!$A$5:$A$14,0))</f>
        <v>-1.79285714285714</v>
      </c>
      <c r="J1541" s="42" t="n">
        <f aca="false">(E1541-INDEX('Cohort Summary'!$F$5:$F$14,MATCH($A1541,'Cohort Summary'!$A$5:$A$14,0)))/INDEX('Cohort Summary'!$G$5:$G$14,MATCH($A1541,'Cohort Summary'!$A$5:$A$14,0))</f>
        <v>1.7005076142132</v>
      </c>
      <c r="K1541" s="42" t="n">
        <f aca="false">(F1541-INDEX('Cohort Summary'!$H$5:$H$14,MATCH($A1541,'Cohort Summary'!$A$5:$A$14,0)))/INDEX('Cohort Summary'!$I$5:$I$14,MATCH($A1541,'Cohort Summary'!$A$5:$A$14,0))</f>
        <v>-0.285714285714286</v>
      </c>
      <c r="L1541" s="42" t="n">
        <f aca="false">(G1541-INDEX('Cohort Summary'!$J$5:$J$14,MATCH($A1541,'Cohort Summary'!$A$5:$A$14,0)))/INDEX('Cohort Summary'!$K$5:$K$14,MATCH($A1541,'Cohort Summary'!$A$5:$A$14,0))</f>
        <v>0.844827586206888</v>
      </c>
      <c r="M1541" s="42" t="n">
        <f aca="false">MAX(I1541:K1541)</f>
        <v>1.7005076142132</v>
      </c>
      <c r="N1541" s="27" t="s">
        <v>197</v>
      </c>
      <c r="O1541" s="27"/>
      <c r="P1541" s="27" t="str">
        <f aca="false">A1541&amp;"|"&amp;N1541</f>
        <v>NURSE-08|normal</v>
      </c>
    </row>
    <row r="1542" customFormat="false" ht="15" hidden="false" customHeight="true" outlineLevel="0" collapsed="false">
      <c r="A1542" s="27" t="s">
        <v>98</v>
      </c>
      <c r="B1542" s="41" t="n">
        <v>46303.3402777778</v>
      </c>
      <c r="C1542" s="27" t="s">
        <v>200</v>
      </c>
      <c r="D1542" s="27" t="n">
        <v>38.8</v>
      </c>
      <c r="E1542" s="27" t="n">
        <v>20.9</v>
      </c>
      <c r="F1542" s="27" t="n">
        <v>33.7</v>
      </c>
      <c r="G1542" s="27" t="n">
        <v>33.7</v>
      </c>
      <c r="H1542" s="27" t="s">
        <v>198</v>
      </c>
      <c r="I1542" s="42" t="n">
        <f aca="false">(D1542-INDEX('Cohort Summary'!$D$5:$D$14,MATCH($A1542,'Cohort Summary'!$A$5:$A$14,0)))/INDEX('Cohort Summary'!$E$5:$E$14,MATCH($A1542,'Cohort Summary'!$A$5:$A$14,0))</f>
        <v>0.278571428571426</v>
      </c>
      <c r="J1542" s="42" t="n">
        <f aca="false">(E1542-INDEX('Cohort Summary'!$F$5:$F$14,MATCH($A1542,'Cohort Summary'!$A$5:$A$14,0)))/INDEX('Cohort Summary'!$G$5:$G$14,MATCH($A1542,'Cohort Summary'!$A$5:$A$14,0))</f>
        <v>1.7005076142132</v>
      </c>
      <c r="K1542" s="42" t="n">
        <f aca="false">(F1542-INDEX('Cohort Summary'!$H$5:$H$14,MATCH($A1542,'Cohort Summary'!$A$5:$A$14,0)))/INDEX('Cohort Summary'!$I$5:$I$14,MATCH($A1542,'Cohort Summary'!$A$5:$A$14,0))</f>
        <v>0.904761904761906</v>
      </c>
      <c r="L1542" s="42" t="n">
        <f aca="false">(G1542-INDEX('Cohort Summary'!$J$5:$J$14,MATCH($A1542,'Cohort Summary'!$A$5:$A$14,0)))/INDEX('Cohort Summary'!$K$5:$K$14,MATCH($A1542,'Cohort Summary'!$A$5:$A$14,0))</f>
        <v>1.53448275862069</v>
      </c>
      <c r="M1542" s="42" t="n">
        <f aca="false">MAX(I1542:K1542)</f>
        <v>1.7005076142132</v>
      </c>
      <c r="N1542" s="27" t="s">
        <v>197</v>
      </c>
      <c r="O1542" s="27"/>
      <c r="P1542" s="27" t="str">
        <f aca="false">A1542&amp;"|"&amp;N1542</f>
        <v>NURSE-08|normal</v>
      </c>
    </row>
    <row r="1543" customFormat="false" ht="15" hidden="false" customHeight="true" outlineLevel="0" collapsed="false">
      <c r="A1543" s="27" t="s">
        <v>98</v>
      </c>
      <c r="B1543" s="41" t="n">
        <v>46303.340625</v>
      </c>
      <c r="C1543" s="27" t="s">
        <v>200</v>
      </c>
      <c r="D1543" s="27" t="n">
        <v>33.8</v>
      </c>
      <c r="E1543" s="27" t="n">
        <v>19.3</v>
      </c>
      <c r="F1543" s="27" t="n">
        <v>28.3</v>
      </c>
      <c r="G1543" s="27" t="n">
        <v>32.4</v>
      </c>
      <c r="H1543" s="27" t="s">
        <v>199</v>
      </c>
      <c r="I1543" s="42" t="n">
        <f aca="false">(D1543-INDEX('Cohort Summary'!$D$5:$D$14,MATCH($A1543,'Cohort Summary'!$A$5:$A$14,0)))/INDEX('Cohort Summary'!$E$5:$E$14,MATCH($A1543,'Cohort Summary'!$A$5:$A$14,0))</f>
        <v>-1.50714285714286</v>
      </c>
      <c r="J1543" s="42" t="n">
        <f aca="false">(E1543-INDEX('Cohort Summary'!$F$5:$F$14,MATCH($A1543,'Cohort Summary'!$A$5:$A$14,0)))/INDEX('Cohort Summary'!$G$5:$G$14,MATCH($A1543,'Cohort Summary'!$A$5:$A$14,0))</f>
        <v>0.888324873096447</v>
      </c>
      <c r="K1543" s="42" t="n">
        <f aca="false">(F1543-INDEX('Cohort Summary'!$H$5:$H$14,MATCH($A1543,'Cohort Summary'!$A$5:$A$14,0)))/INDEX('Cohort Summary'!$I$5:$I$14,MATCH($A1543,'Cohort Summary'!$A$5:$A$14,0))</f>
        <v>-0.931972789115646</v>
      </c>
      <c r="L1543" s="42" t="n">
        <f aca="false">(G1543-INDEX('Cohort Summary'!$J$5:$J$14,MATCH($A1543,'Cohort Summary'!$A$5:$A$14,0)))/INDEX('Cohort Summary'!$K$5:$K$14,MATCH($A1543,'Cohort Summary'!$A$5:$A$14,0))</f>
        <v>-0.706896551724144</v>
      </c>
      <c r="M1543" s="42" t="n">
        <f aca="false">MAX(I1543:K1543)</f>
        <v>0.888324873096447</v>
      </c>
      <c r="N1543" s="27" t="s">
        <v>197</v>
      </c>
      <c r="O1543" s="27"/>
      <c r="P1543" s="27" t="str">
        <f aca="false">A1543&amp;"|"&amp;N1543</f>
        <v>NURSE-08|normal</v>
      </c>
    </row>
    <row r="1544" customFormat="false" ht="15" hidden="false" customHeight="true" outlineLevel="0" collapsed="false">
      <c r="A1544" s="27" t="s">
        <v>98</v>
      </c>
      <c r="B1544" s="41" t="n">
        <v>46303.3409722222</v>
      </c>
      <c r="C1544" s="27" t="s">
        <v>200</v>
      </c>
      <c r="D1544" s="27" t="n">
        <v>36.9</v>
      </c>
      <c r="E1544" s="27" t="n">
        <v>20</v>
      </c>
      <c r="F1544" s="27" t="n">
        <v>29.5</v>
      </c>
      <c r="G1544" s="27" t="n">
        <v>33.1</v>
      </c>
      <c r="H1544" s="27" t="s">
        <v>196</v>
      </c>
      <c r="I1544" s="42" t="n">
        <f aca="false">(D1544-INDEX('Cohort Summary'!$D$5:$D$14,MATCH($A1544,'Cohort Summary'!$A$5:$A$14,0)))/INDEX('Cohort Summary'!$E$5:$E$14,MATCH($A1544,'Cohort Summary'!$A$5:$A$14,0))</f>
        <v>-0.400000000000002</v>
      </c>
      <c r="J1544" s="42" t="n">
        <f aca="false">(E1544-INDEX('Cohort Summary'!$F$5:$F$14,MATCH($A1544,'Cohort Summary'!$A$5:$A$14,0)))/INDEX('Cohort Summary'!$G$5:$G$14,MATCH($A1544,'Cohort Summary'!$A$5:$A$14,0))</f>
        <v>1.24365482233503</v>
      </c>
      <c r="K1544" s="42" t="n">
        <f aca="false">(F1544-INDEX('Cohort Summary'!$H$5:$H$14,MATCH($A1544,'Cohort Summary'!$A$5:$A$14,0)))/INDEX('Cohort Summary'!$I$5:$I$14,MATCH($A1544,'Cohort Summary'!$A$5:$A$14,0))</f>
        <v>-0.523809523809524</v>
      </c>
      <c r="L1544" s="42" t="n">
        <f aca="false">(G1544-INDEX('Cohort Summary'!$J$5:$J$14,MATCH($A1544,'Cohort Summary'!$A$5:$A$14,0)))/INDEX('Cohort Summary'!$K$5:$K$14,MATCH($A1544,'Cohort Summary'!$A$5:$A$14,0))</f>
        <v>0.499999999999999</v>
      </c>
      <c r="M1544" s="42" t="n">
        <f aca="false">MAX(I1544:K1544)</f>
        <v>1.24365482233503</v>
      </c>
      <c r="N1544" s="27" t="s">
        <v>197</v>
      </c>
      <c r="O1544" s="27"/>
      <c r="P1544" s="27" t="str">
        <f aca="false">A1544&amp;"|"&amp;N1544</f>
        <v>NURSE-08|normal</v>
      </c>
    </row>
    <row r="1545" customFormat="false" ht="15" hidden="false" customHeight="true" outlineLevel="0" collapsed="false">
      <c r="A1545" s="27" t="s">
        <v>98</v>
      </c>
      <c r="B1545" s="41" t="n">
        <v>46303.3413194444</v>
      </c>
      <c r="C1545" s="27" t="s">
        <v>200</v>
      </c>
      <c r="D1545" s="27" t="n">
        <v>43</v>
      </c>
      <c r="E1545" s="27" t="n">
        <v>17.5</v>
      </c>
      <c r="F1545" s="27" t="n">
        <v>33</v>
      </c>
      <c r="G1545" s="27" t="n">
        <v>32.8</v>
      </c>
      <c r="H1545" s="27" t="s">
        <v>198</v>
      </c>
      <c r="I1545" s="42" t="n">
        <f aca="false">(D1545-INDEX('Cohort Summary'!$D$5:$D$14,MATCH($A1545,'Cohort Summary'!$A$5:$A$14,0)))/INDEX('Cohort Summary'!$E$5:$E$14,MATCH($A1545,'Cohort Summary'!$A$5:$A$14,0))</f>
        <v>1.77857142857143</v>
      </c>
      <c r="J1545" s="42" t="n">
        <f aca="false">(E1545-INDEX('Cohort Summary'!$F$5:$F$14,MATCH($A1545,'Cohort Summary'!$A$5:$A$14,0)))/INDEX('Cohort Summary'!$G$5:$G$14,MATCH($A1545,'Cohort Summary'!$A$5:$A$14,0))</f>
        <v>-0.0253807106598988</v>
      </c>
      <c r="K1545" s="42" t="n">
        <f aca="false">(F1545-INDEX('Cohort Summary'!$H$5:$H$14,MATCH($A1545,'Cohort Summary'!$A$5:$A$14,0)))/INDEX('Cohort Summary'!$I$5:$I$14,MATCH($A1545,'Cohort Summary'!$A$5:$A$14,0))</f>
        <v>0.666666666666667</v>
      </c>
      <c r="L1545" s="42" t="n">
        <f aca="false">(G1545-INDEX('Cohort Summary'!$J$5:$J$14,MATCH($A1545,'Cohort Summary'!$A$5:$A$14,0)))/INDEX('Cohort Summary'!$K$5:$K$14,MATCH($A1545,'Cohort Summary'!$A$5:$A$14,0))</f>
        <v>-0.0172413793103537</v>
      </c>
      <c r="M1545" s="42" t="n">
        <f aca="false">MAX(I1545:K1545)</f>
        <v>1.77857142857143</v>
      </c>
      <c r="N1545" s="27" t="s">
        <v>197</v>
      </c>
      <c r="O1545" s="27"/>
      <c r="P1545" s="27" t="str">
        <f aca="false">A1545&amp;"|"&amp;N1545</f>
        <v>NURSE-08|normal</v>
      </c>
    </row>
    <row r="1546" customFormat="false" ht="15" hidden="false" customHeight="true" outlineLevel="0" collapsed="false">
      <c r="A1546" s="27" t="s">
        <v>98</v>
      </c>
      <c r="B1546" s="41" t="n">
        <v>46303.3416666667</v>
      </c>
      <c r="C1546" s="27" t="s">
        <v>200</v>
      </c>
      <c r="D1546" s="27" t="n">
        <v>36.4</v>
      </c>
      <c r="E1546" s="27" t="n">
        <v>16.9</v>
      </c>
      <c r="F1546" s="27" t="n">
        <v>33.4</v>
      </c>
      <c r="G1546" s="27" t="n">
        <v>33.2</v>
      </c>
      <c r="H1546" s="27" t="s">
        <v>198</v>
      </c>
      <c r="I1546" s="42" t="n">
        <f aca="false">(D1546-INDEX('Cohort Summary'!$D$5:$D$14,MATCH($A1546,'Cohort Summary'!$A$5:$A$14,0)))/INDEX('Cohort Summary'!$E$5:$E$14,MATCH($A1546,'Cohort Summary'!$A$5:$A$14,0))</f>
        <v>-0.57857142857143</v>
      </c>
      <c r="J1546" s="42" t="n">
        <f aca="false">(E1546-INDEX('Cohort Summary'!$F$5:$F$14,MATCH($A1546,'Cohort Summary'!$A$5:$A$14,0)))/INDEX('Cohort Summary'!$G$5:$G$14,MATCH($A1546,'Cohort Summary'!$A$5:$A$14,0))</f>
        <v>-0.329949238578681</v>
      </c>
      <c r="K1546" s="42" t="n">
        <f aca="false">(F1546-INDEX('Cohort Summary'!$H$5:$H$14,MATCH($A1546,'Cohort Summary'!$A$5:$A$14,0)))/INDEX('Cohort Summary'!$I$5:$I$14,MATCH($A1546,'Cohort Summary'!$A$5:$A$14,0))</f>
        <v>0.802721088435374</v>
      </c>
      <c r="L1546" s="42" t="n">
        <f aca="false">(G1546-INDEX('Cohort Summary'!$J$5:$J$14,MATCH($A1546,'Cohort Summary'!$A$5:$A$14,0)))/INDEX('Cohort Summary'!$K$5:$K$14,MATCH($A1546,'Cohort Summary'!$A$5:$A$14,0))</f>
        <v>0.672413793103449</v>
      </c>
      <c r="M1546" s="42" t="n">
        <f aca="false">MAX(I1546:K1546)</f>
        <v>0.802721088435374</v>
      </c>
      <c r="N1546" s="27" t="s">
        <v>197</v>
      </c>
      <c r="O1546" s="27"/>
      <c r="P1546" s="27" t="str">
        <f aca="false">A1546&amp;"|"&amp;N1546</f>
        <v>NURSE-08|normal</v>
      </c>
    </row>
    <row r="1547" customFormat="false" ht="15" hidden="false" customHeight="true" outlineLevel="0" collapsed="false">
      <c r="A1547" s="27" t="s">
        <v>98</v>
      </c>
      <c r="B1547" s="41" t="n">
        <v>46303.3420138889</v>
      </c>
      <c r="C1547" s="27" t="s">
        <v>200</v>
      </c>
      <c r="D1547" s="27" t="n">
        <v>36.1</v>
      </c>
      <c r="E1547" s="27" t="n">
        <v>19.9</v>
      </c>
      <c r="F1547" s="27" t="n">
        <v>33.4</v>
      </c>
      <c r="G1547" s="27" t="n">
        <v>32.9</v>
      </c>
      <c r="H1547" s="27" t="s">
        <v>199</v>
      </c>
      <c r="I1547" s="42" t="n">
        <f aca="false">(D1547-INDEX('Cohort Summary'!$D$5:$D$14,MATCH($A1547,'Cohort Summary'!$A$5:$A$14,0)))/INDEX('Cohort Summary'!$E$5:$E$14,MATCH($A1547,'Cohort Summary'!$A$5:$A$14,0))</f>
        <v>-0.685714285714286</v>
      </c>
      <c r="J1547" s="42" t="n">
        <f aca="false">(E1547-INDEX('Cohort Summary'!$F$5:$F$14,MATCH($A1547,'Cohort Summary'!$A$5:$A$14,0)))/INDEX('Cohort Summary'!$G$5:$G$14,MATCH($A1547,'Cohort Summary'!$A$5:$A$14,0))</f>
        <v>1.19289340101523</v>
      </c>
      <c r="K1547" s="42" t="n">
        <f aca="false">(F1547-INDEX('Cohort Summary'!$H$5:$H$14,MATCH($A1547,'Cohort Summary'!$A$5:$A$14,0)))/INDEX('Cohort Summary'!$I$5:$I$14,MATCH($A1547,'Cohort Summary'!$A$5:$A$14,0))</f>
        <v>0.802721088435374</v>
      </c>
      <c r="L1547" s="42" t="n">
        <f aca="false">(G1547-INDEX('Cohort Summary'!$J$5:$J$14,MATCH($A1547,'Cohort Summary'!$A$5:$A$14,0)))/INDEX('Cohort Summary'!$K$5:$K$14,MATCH($A1547,'Cohort Summary'!$A$5:$A$14,0))</f>
        <v>0.155172413793097</v>
      </c>
      <c r="M1547" s="42" t="n">
        <f aca="false">MAX(I1547:K1547)</f>
        <v>1.19289340101523</v>
      </c>
      <c r="N1547" s="27" t="s">
        <v>197</v>
      </c>
      <c r="O1547" s="27"/>
      <c r="P1547" s="27" t="str">
        <f aca="false">A1547&amp;"|"&amp;N1547</f>
        <v>NURSE-08|normal</v>
      </c>
    </row>
    <row r="1548" customFormat="false" ht="15" hidden="false" customHeight="true" outlineLevel="0" collapsed="false">
      <c r="A1548" s="27" t="s">
        <v>98</v>
      </c>
      <c r="B1548" s="41" t="n">
        <v>46303.3423611111</v>
      </c>
      <c r="C1548" s="27" t="s">
        <v>200</v>
      </c>
      <c r="D1548" s="27" t="n">
        <v>42.3</v>
      </c>
      <c r="E1548" s="27" t="n">
        <v>16.7</v>
      </c>
      <c r="F1548" s="27" t="n">
        <v>26.9</v>
      </c>
      <c r="G1548" s="27" t="n">
        <v>32</v>
      </c>
      <c r="H1548" s="27" t="s">
        <v>196</v>
      </c>
      <c r="I1548" s="42" t="n">
        <f aca="false">(D1548-INDEX('Cohort Summary'!$D$5:$D$14,MATCH($A1548,'Cohort Summary'!$A$5:$A$14,0)))/INDEX('Cohort Summary'!$E$5:$E$14,MATCH($A1548,'Cohort Summary'!$A$5:$A$14,0))</f>
        <v>1.52857142857143</v>
      </c>
      <c r="J1548" s="42" t="n">
        <f aca="false">(E1548-INDEX('Cohort Summary'!$F$5:$F$14,MATCH($A1548,'Cohort Summary'!$A$5:$A$14,0)))/INDEX('Cohort Summary'!$G$5:$G$14,MATCH($A1548,'Cohort Summary'!$A$5:$A$14,0))</f>
        <v>-0.431472081218275</v>
      </c>
      <c r="K1548" s="42" t="n">
        <f aca="false">(F1548-INDEX('Cohort Summary'!$H$5:$H$14,MATCH($A1548,'Cohort Summary'!$A$5:$A$14,0)))/INDEX('Cohort Summary'!$I$5:$I$14,MATCH($A1548,'Cohort Summary'!$A$5:$A$14,0))</f>
        <v>-1.40816326530612</v>
      </c>
      <c r="L1548" s="42" t="n">
        <f aca="false">(G1548-INDEX('Cohort Summary'!$J$5:$J$14,MATCH($A1548,'Cohort Summary'!$A$5:$A$14,0)))/INDEX('Cohort Summary'!$K$5:$K$14,MATCH($A1548,'Cohort Summary'!$A$5:$A$14,0))</f>
        <v>-1.39655172413794</v>
      </c>
      <c r="M1548" s="42" t="n">
        <f aca="false">MAX(I1548:K1548)</f>
        <v>1.52857142857143</v>
      </c>
      <c r="N1548" s="27" t="s">
        <v>197</v>
      </c>
      <c r="O1548" s="27"/>
      <c r="P1548" s="27" t="str">
        <f aca="false">A1548&amp;"|"&amp;N1548</f>
        <v>NURSE-08|normal</v>
      </c>
    </row>
    <row r="1549" customFormat="false" ht="15" hidden="false" customHeight="true" outlineLevel="0" collapsed="false">
      <c r="A1549" s="27" t="s">
        <v>98</v>
      </c>
      <c r="B1549" s="41" t="n">
        <v>46303.3427083333</v>
      </c>
      <c r="C1549" s="27" t="s">
        <v>200</v>
      </c>
      <c r="D1549" s="27" t="n">
        <v>34.2</v>
      </c>
      <c r="E1549" s="27" t="n">
        <v>14.3</v>
      </c>
      <c r="F1549" s="27" t="n">
        <v>33.2</v>
      </c>
      <c r="G1549" s="27" t="n">
        <v>33.3</v>
      </c>
      <c r="H1549" s="27" t="s">
        <v>196</v>
      </c>
      <c r="I1549" s="42" t="n">
        <f aca="false">(D1549-INDEX('Cohort Summary'!$D$5:$D$14,MATCH($A1549,'Cohort Summary'!$A$5:$A$14,0)))/INDEX('Cohort Summary'!$E$5:$E$14,MATCH($A1549,'Cohort Summary'!$A$5:$A$14,0))</f>
        <v>-1.36428571428571</v>
      </c>
      <c r="J1549" s="42" t="n">
        <f aca="false">(E1549-INDEX('Cohort Summary'!$F$5:$F$14,MATCH($A1549,'Cohort Summary'!$A$5:$A$14,0)))/INDEX('Cohort Summary'!$G$5:$G$14,MATCH($A1549,'Cohort Summary'!$A$5:$A$14,0))</f>
        <v>-1.6497461928934</v>
      </c>
      <c r="K1549" s="42" t="n">
        <f aca="false">(F1549-INDEX('Cohort Summary'!$H$5:$H$14,MATCH($A1549,'Cohort Summary'!$A$5:$A$14,0)))/INDEX('Cohort Summary'!$I$5:$I$14,MATCH($A1549,'Cohort Summary'!$A$5:$A$14,0))</f>
        <v>0.734693877551022</v>
      </c>
      <c r="L1549" s="42" t="n">
        <f aca="false">(G1549-INDEX('Cohort Summary'!$J$5:$J$14,MATCH($A1549,'Cohort Summary'!$A$5:$A$14,0)))/INDEX('Cohort Summary'!$K$5:$K$14,MATCH($A1549,'Cohort Summary'!$A$5:$A$14,0))</f>
        <v>0.844827586206888</v>
      </c>
      <c r="M1549" s="42" t="n">
        <f aca="false">MAX(I1549:K1549)</f>
        <v>0.734693877551022</v>
      </c>
      <c r="N1549" s="27" t="s">
        <v>197</v>
      </c>
      <c r="O1549" s="27"/>
      <c r="P1549" s="27" t="str">
        <f aca="false">A1549&amp;"|"&amp;N1549</f>
        <v>NURSE-08|normal</v>
      </c>
    </row>
    <row r="1550" customFormat="false" ht="15" hidden="false" customHeight="true" outlineLevel="0" collapsed="false">
      <c r="A1550" s="27" t="s">
        <v>98</v>
      </c>
      <c r="B1550" s="41" t="n">
        <v>46303.3430555556</v>
      </c>
      <c r="C1550" s="27" t="s">
        <v>200</v>
      </c>
      <c r="D1550" s="27" t="n">
        <v>33.3</v>
      </c>
      <c r="E1550" s="27" t="n">
        <v>14.3</v>
      </c>
      <c r="F1550" s="27" t="n">
        <v>27.3</v>
      </c>
      <c r="G1550" s="27" t="n">
        <v>33.6</v>
      </c>
      <c r="H1550" s="27" t="s">
        <v>196</v>
      </c>
      <c r="I1550" s="42" t="n">
        <f aca="false">(D1550-INDEX('Cohort Summary'!$D$5:$D$14,MATCH($A1550,'Cohort Summary'!$A$5:$A$14,0)))/INDEX('Cohort Summary'!$E$5:$E$14,MATCH($A1550,'Cohort Summary'!$A$5:$A$14,0))</f>
        <v>-1.68571428571429</v>
      </c>
      <c r="J1550" s="42" t="n">
        <f aca="false">(E1550-INDEX('Cohort Summary'!$F$5:$F$14,MATCH($A1550,'Cohort Summary'!$A$5:$A$14,0)))/INDEX('Cohort Summary'!$G$5:$G$14,MATCH($A1550,'Cohort Summary'!$A$5:$A$14,0))</f>
        <v>-1.6497461928934</v>
      </c>
      <c r="K1550" s="42" t="n">
        <f aca="false">(F1550-INDEX('Cohort Summary'!$H$5:$H$14,MATCH($A1550,'Cohort Summary'!$A$5:$A$14,0)))/INDEX('Cohort Summary'!$I$5:$I$14,MATCH($A1550,'Cohort Summary'!$A$5:$A$14,0))</f>
        <v>-1.27210884353741</v>
      </c>
      <c r="L1550" s="42" t="n">
        <f aca="false">(G1550-INDEX('Cohort Summary'!$J$5:$J$14,MATCH($A1550,'Cohort Summary'!$A$5:$A$14,0)))/INDEX('Cohort Summary'!$K$5:$K$14,MATCH($A1550,'Cohort Summary'!$A$5:$A$14,0))</f>
        <v>1.36206896551724</v>
      </c>
      <c r="M1550" s="42" t="n">
        <f aca="false">MAX(I1550:K1550)</f>
        <v>-1.27210884353741</v>
      </c>
      <c r="N1550" s="27" t="s">
        <v>197</v>
      </c>
      <c r="O1550" s="27"/>
      <c r="P1550" s="27" t="str">
        <f aca="false">A1550&amp;"|"&amp;N1550</f>
        <v>NURSE-08|normal</v>
      </c>
    </row>
    <row r="1551" customFormat="false" ht="15" hidden="false" customHeight="true" outlineLevel="0" collapsed="false">
      <c r="A1551" s="27" t="s">
        <v>98</v>
      </c>
      <c r="B1551" s="41" t="n">
        <v>46303.3434027778</v>
      </c>
      <c r="C1551" s="27" t="s">
        <v>200</v>
      </c>
      <c r="D1551" s="27" t="n">
        <v>35.3</v>
      </c>
      <c r="E1551" s="27" t="n">
        <v>18</v>
      </c>
      <c r="F1551" s="27" t="n">
        <v>29.9</v>
      </c>
      <c r="G1551" s="27" t="n">
        <v>32.3</v>
      </c>
      <c r="H1551" s="27" t="s">
        <v>198</v>
      </c>
      <c r="I1551" s="42" t="n">
        <f aca="false">(D1551-INDEX('Cohort Summary'!$D$5:$D$14,MATCH($A1551,'Cohort Summary'!$A$5:$A$14,0)))/INDEX('Cohort Summary'!$E$5:$E$14,MATCH($A1551,'Cohort Summary'!$A$5:$A$14,0))</f>
        <v>-0.971428571428574</v>
      </c>
      <c r="J1551" s="42" t="n">
        <f aca="false">(E1551-INDEX('Cohort Summary'!$F$5:$F$14,MATCH($A1551,'Cohort Summary'!$A$5:$A$14,0)))/INDEX('Cohort Summary'!$G$5:$G$14,MATCH($A1551,'Cohort Summary'!$A$5:$A$14,0))</f>
        <v>0.228426395939086</v>
      </c>
      <c r="K1551" s="42" t="n">
        <f aca="false">(F1551-INDEX('Cohort Summary'!$H$5:$H$14,MATCH($A1551,'Cohort Summary'!$A$5:$A$14,0)))/INDEX('Cohort Summary'!$I$5:$I$14,MATCH($A1551,'Cohort Summary'!$A$5:$A$14,0))</f>
        <v>-0.387755102040817</v>
      </c>
      <c r="L1551" s="42" t="n">
        <f aca="false">(G1551-INDEX('Cohort Summary'!$J$5:$J$14,MATCH($A1551,'Cohort Summary'!$A$5:$A$14,0)))/INDEX('Cohort Summary'!$K$5:$K$14,MATCH($A1551,'Cohort Summary'!$A$5:$A$14,0))</f>
        <v>-0.879310344827595</v>
      </c>
      <c r="M1551" s="42" t="n">
        <f aca="false">MAX(I1551:K1551)</f>
        <v>0.228426395939086</v>
      </c>
      <c r="N1551" s="27" t="s">
        <v>197</v>
      </c>
      <c r="O1551" s="27"/>
      <c r="P1551" s="27" t="str">
        <f aca="false">A1551&amp;"|"&amp;N1551</f>
        <v>NURSE-08|normal</v>
      </c>
    </row>
    <row r="1552" customFormat="false" ht="15" hidden="false" customHeight="true" outlineLevel="0" collapsed="false">
      <c r="A1552" s="27" t="s">
        <v>98</v>
      </c>
      <c r="B1552" s="41" t="n">
        <v>46303.34375</v>
      </c>
      <c r="C1552" s="27" t="s">
        <v>200</v>
      </c>
      <c r="D1552" s="27" t="n">
        <v>39.4</v>
      </c>
      <c r="E1552" s="27" t="n">
        <v>16.4</v>
      </c>
      <c r="F1552" s="27" t="n">
        <v>30.6</v>
      </c>
      <c r="G1552" s="27" t="n">
        <v>33.8</v>
      </c>
      <c r="H1552" s="27" t="s">
        <v>199</v>
      </c>
      <c r="I1552" s="42" t="n">
        <f aca="false">(D1552-INDEX('Cohort Summary'!$D$5:$D$14,MATCH($A1552,'Cohort Summary'!$A$5:$A$14,0)))/INDEX('Cohort Summary'!$E$5:$E$14,MATCH($A1552,'Cohort Summary'!$A$5:$A$14,0))</f>
        <v>0.492857142857141</v>
      </c>
      <c r="J1552" s="42" t="n">
        <f aca="false">(E1552-INDEX('Cohort Summary'!$F$5:$F$14,MATCH($A1552,'Cohort Summary'!$A$5:$A$14,0)))/INDEX('Cohort Summary'!$G$5:$G$14,MATCH($A1552,'Cohort Summary'!$A$5:$A$14,0))</f>
        <v>-0.583756345177666</v>
      </c>
      <c r="K1552" s="42" t="n">
        <f aca="false">(F1552-INDEX('Cohort Summary'!$H$5:$H$14,MATCH($A1552,'Cohort Summary'!$A$5:$A$14,0)))/INDEX('Cohort Summary'!$I$5:$I$14,MATCH($A1552,'Cohort Summary'!$A$5:$A$14,0))</f>
        <v>-0.149659863945577</v>
      </c>
      <c r="L1552" s="42" t="n">
        <f aca="false">(G1552-INDEX('Cohort Summary'!$J$5:$J$14,MATCH($A1552,'Cohort Summary'!$A$5:$A$14,0)))/INDEX('Cohort Summary'!$K$5:$K$14,MATCH($A1552,'Cohort Summary'!$A$5:$A$14,0))</f>
        <v>1.70689655172413</v>
      </c>
      <c r="M1552" s="42" t="n">
        <f aca="false">MAX(I1552:K1552)</f>
        <v>0.492857142857141</v>
      </c>
      <c r="N1552" s="27" t="s">
        <v>197</v>
      </c>
      <c r="O1552" s="27"/>
      <c r="P1552" s="27" t="str">
        <f aca="false">A1552&amp;"|"&amp;N1552</f>
        <v>NURSE-08|normal</v>
      </c>
    </row>
    <row r="1553" customFormat="false" ht="15" hidden="false" customHeight="true" outlineLevel="0" collapsed="false">
      <c r="A1553" s="27" t="s">
        <v>98</v>
      </c>
      <c r="B1553" s="41" t="n">
        <v>46303.3440972222</v>
      </c>
      <c r="C1553" s="27" t="s">
        <v>200</v>
      </c>
      <c r="D1553" s="27" t="n">
        <v>35.6</v>
      </c>
      <c r="E1553" s="27" t="n">
        <v>17.6</v>
      </c>
      <c r="F1553" s="27" t="n">
        <v>26.6</v>
      </c>
      <c r="G1553" s="27" t="n">
        <v>32.4</v>
      </c>
      <c r="H1553" s="27" t="s">
        <v>196</v>
      </c>
      <c r="I1553" s="42" t="n">
        <f aca="false">(D1553-INDEX('Cohort Summary'!$D$5:$D$14,MATCH($A1553,'Cohort Summary'!$A$5:$A$14,0)))/INDEX('Cohort Summary'!$E$5:$E$14,MATCH($A1553,'Cohort Summary'!$A$5:$A$14,0))</f>
        <v>-0.864285714285715</v>
      </c>
      <c r="J1553" s="42" t="n">
        <f aca="false">(E1553-INDEX('Cohort Summary'!$F$5:$F$14,MATCH($A1553,'Cohort Summary'!$A$5:$A$14,0)))/INDEX('Cohort Summary'!$G$5:$G$14,MATCH($A1553,'Cohort Summary'!$A$5:$A$14,0))</f>
        <v>0.0253807106598988</v>
      </c>
      <c r="K1553" s="42" t="n">
        <f aca="false">(F1553-INDEX('Cohort Summary'!$H$5:$H$14,MATCH($A1553,'Cohort Summary'!$A$5:$A$14,0)))/INDEX('Cohort Summary'!$I$5:$I$14,MATCH($A1553,'Cohort Summary'!$A$5:$A$14,0))</f>
        <v>-1.51020408163265</v>
      </c>
      <c r="L1553" s="42" t="n">
        <f aca="false">(G1553-INDEX('Cohort Summary'!$J$5:$J$14,MATCH($A1553,'Cohort Summary'!$A$5:$A$14,0)))/INDEX('Cohort Summary'!$K$5:$K$14,MATCH($A1553,'Cohort Summary'!$A$5:$A$14,0))</f>
        <v>-0.706896551724144</v>
      </c>
      <c r="M1553" s="42" t="n">
        <f aca="false">MAX(I1553:K1553)</f>
        <v>0.0253807106598988</v>
      </c>
      <c r="N1553" s="27" t="s">
        <v>197</v>
      </c>
      <c r="O1553" s="27"/>
      <c r="P1553" s="27" t="str">
        <f aca="false">A1553&amp;"|"&amp;N1553</f>
        <v>NURSE-08|normal</v>
      </c>
    </row>
    <row r="1554" customFormat="false" ht="15" hidden="false" customHeight="true" outlineLevel="0" collapsed="false">
      <c r="A1554" s="27" t="s">
        <v>98</v>
      </c>
      <c r="B1554" s="41" t="n">
        <v>46303.3444444445</v>
      </c>
      <c r="C1554" s="27" t="s">
        <v>200</v>
      </c>
      <c r="D1554" s="27" t="n">
        <v>35.3</v>
      </c>
      <c r="E1554" s="27" t="n">
        <v>16.1</v>
      </c>
      <c r="F1554" s="27" t="n">
        <v>35</v>
      </c>
      <c r="G1554" s="27" t="n">
        <v>33.1</v>
      </c>
      <c r="H1554" s="27" t="s">
        <v>196</v>
      </c>
      <c r="I1554" s="42" t="n">
        <f aca="false">(D1554-INDEX('Cohort Summary'!$D$5:$D$14,MATCH($A1554,'Cohort Summary'!$A$5:$A$14,0)))/INDEX('Cohort Summary'!$E$5:$E$14,MATCH($A1554,'Cohort Summary'!$A$5:$A$14,0))</f>
        <v>-0.971428571428574</v>
      </c>
      <c r="J1554" s="42" t="n">
        <f aca="false">(E1554-INDEX('Cohort Summary'!$F$5:$F$14,MATCH($A1554,'Cohort Summary'!$A$5:$A$14,0)))/INDEX('Cohort Summary'!$G$5:$G$14,MATCH($A1554,'Cohort Summary'!$A$5:$A$14,0))</f>
        <v>-0.736040609137056</v>
      </c>
      <c r="K1554" s="42" t="n">
        <f aca="false">(F1554-INDEX('Cohort Summary'!$H$5:$H$14,MATCH($A1554,'Cohort Summary'!$A$5:$A$14,0)))/INDEX('Cohort Summary'!$I$5:$I$14,MATCH($A1554,'Cohort Summary'!$A$5:$A$14,0))</f>
        <v>1.3469387755102</v>
      </c>
      <c r="L1554" s="42" t="n">
        <f aca="false">(G1554-INDEX('Cohort Summary'!$J$5:$J$14,MATCH($A1554,'Cohort Summary'!$A$5:$A$14,0)))/INDEX('Cohort Summary'!$K$5:$K$14,MATCH($A1554,'Cohort Summary'!$A$5:$A$14,0))</f>
        <v>0.499999999999999</v>
      </c>
      <c r="M1554" s="42" t="n">
        <f aca="false">MAX(I1554:K1554)</f>
        <v>1.3469387755102</v>
      </c>
      <c r="N1554" s="27" t="s">
        <v>197</v>
      </c>
      <c r="O1554" s="27"/>
      <c r="P1554" s="27" t="str">
        <f aca="false">A1554&amp;"|"&amp;N1554</f>
        <v>NURSE-08|normal</v>
      </c>
    </row>
    <row r="1555" customFormat="false" ht="15" hidden="false" customHeight="true" outlineLevel="0" collapsed="false">
      <c r="A1555" s="27" t="s">
        <v>98</v>
      </c>
      <c r="B1555" s="41" t="n">
        <v>46303.3447916667</v>
      </c>
      <c r="C1555" s="27" t="s">
        <v>200</v>
      </c>
      <c r="D1555" s="27" t="n">
        <v>38.9</v>
      </c>
      <c r="E1555" s="27" t="n">
        <v>19.5</v>
      </c>
      <c r="F1555" s="27" t="n">
        <v>29.7</v>
      </c>
      <c r="G1555" s="27" t="n">
        <v>31.8</v>
      </c>
      <c r="H1555" s="27" t="s">
        <v>196</v>
      </c>
      <c r="I1555" s="42" t="n">
        <f aca="false">(D1555-INDEX('Cohort Summary'!$D$5:$D$14,MATCH($A1555,'Cohort Summary'!$A$5:$A$14,0)))/INDEX('Cohort Summary'!$E$5:$E$14,MATCH($A1555,'Cohort Summary'!$A$5:$A$14,0))</f>
        <v>0.314285714285713</v>
      </c>
      <c r="J1555" s="42" t="n">
        <f aca="false">(E1555-INDEX('Cohort Summary'!$F$5:$F$14,MATCH($A1555,'Cohort Summary'!$A$5:$A$14,0)))/INDEX('Cohort Summary'!$G$5:$G$14,MATCH($A1555,'Cohort Summary'!$A$5:$A$14,0))</f>
        <v>0.98984771573604</v>
      </c>
      <c r="K1555" s="42" t="n">
        <f aca="false">(F1555-INDEX('Cohort Summary'!$H$5:$H$14,MATCH($A1555,'Cohort Summary'!$A$5:$A$14,0)))/INDEX('Cohort Summary'!$I$5:$I$14,MATCH($A1555,'Cohort Summary'!$A$5:$A$14,0))</f>
        <v>-0.45578231292517</v>
      </c>
      <c r="L1555" s="42" t="n">
        <f aca="false">(G1555-INDEX('Cohort Summary'!$J$5:$J$14,MATCH($A1555,'Cohort Summary'!$A$5:$A$14,0)))/INDEX('Cohort Summary'!$K$5:$K$14,MATCH($A1555,'Cohort Summary'!$A$5:$A$14,0))</f>
        <v>-1.74137931034483</v>
      </c>
      <c r="M1555" s="42" t="n">
        <f aca="false">MAX(I1555:K1555)</f>
        <v>0.98984771573604</v>
      </c>
      <c r="N1555" s="27" t="s">
        <v>197</v>
      </c>
      <c r="O1555" s="27"/>
      <c r="P1555" s="27" t="str">
        <f aca="false">A1555&amp;"|"&amp;N1555</f>
        <v>NURSE-08|normal</v>
      </c>
    </row>
    <row r="1556" customFormat="false" ht="15" hidden="false" customHeight="true" outlineLevel="0" collapsed="false">
      <c r="A1556" s="27" t="s">
        <v>98</v>
      </c>
      <c r="B1556" s="41" t="n">
        <v>46303.3451388889</v>
      </c>
      <c r="C1556" s="27" t="s">
        <v>200</v>
      </c>
      <c r="D1556" s="27" t="n">
        <v>40.9</v>
      </c>
      <c r="E1556" s="27" t="n">
        <v>14.9</v>
      </c>
      <c r="F1556" s="27" t="n">
        <v>27.1</v>
      </c>
      <c r="G1556" s="27" t="n">
        <v>32.2</v>
      </c>
      <c r="H1556" s="27" t="s">
        <v>196</v>
      </c>
      <c r="I1556" s="42" t="n">
        <f aca="false">(D1556-INDEX('Cohort Summary'!$D$5:$D$14,MATCH($A1556,'Cohort Summary'!$A$5:$A$14,0)))/INDEX('Cohort Summary'!$E$5:$E$14,MATCH($A1556,'Cohort Summary'!$A$5:$A$14,0))</f>
        <v>1.02857142857143</v>
      </c>
      <c r="J1556" s="42" t="n">
        <f aca="false">(E1556-INDEX('Cohort Summary'!$F$5:$F$14,MATCH($A1556,'Cohort Summary'!$A$5:$A$14,0)))/INDEX('Cohort Summary'!$G$5:$G$14,MATCH($A1556,'Cohort Summary'!$A$5:$A$14,0))</f>
        <v>-1.34517766497462</v>
      </c>
      <c r="K1556" s="42" t="n">
        <f aca="false">(F1556-INDEX('Cohort Summary'!$H$5:$H$14,MATCH($A1556,'Cohort Summary'!$A$5:$A$14,0)))/INDEX('Cohort Summary'!$I$5:$I$14,MATCH($A1556,'Cohort Summary'!$A$5:$A$14,0))</f>
        <v>-1.34013605442177</v>
      </c>
      <c r="L1556" s="42" t="n">
        <f aca="false">(G1556-INDEX('Cohort Summary'!$J$5:$J$14,MATCH($A1556,'Cohort Summary'!$A$5:$A$14,0)))/INDEX('Cohort Summary'!$K$5:$K$14,MATCH($A1556,'Cohort Summary'!$A$5:$A$14,0))</f>
        <v>-1.05172413793103</v>
      </c>
      <c r="M1556" s="42" t="n">
        <f aca="false">MAX(I1556:K1556)</f>
        <v>1.02857142857143</v>
      </c>
      <c r="N1556" s="27" t="s">
        <v>197</v>
      </c>
      <c r="O1556" s="27"/>
      <c r="P1556" s="27" t="str">
        <f aca="false">A1556&amp;"|"&amp;N1556</f>
        <v>NURSE-08|normal</v>
      </c>
    </row>
    <row r="1557" customFormat="false" ht="15" hidden="false" customHeight="true" outlineLevel="0" collapsed="false">
      <c r="A1557" s="27" t="s">
        <v>98</v>
      </c>
      <c r="B1557" s="41" t="n">
        <v>46303.3454861111</v>
      </c>
      <c r="C1557" s="27" t="s">
        <v>200</v>
      </c>
      <c r="D1557" s="27" t="n">
        <v>39.4</v>
      </c>
      <c r="E1557" s="27" t="n">
        <v>19.9</v>
      </c>
      <c r="F1557" s="27" t="n">
        <v>27.6</v>
      </c>
      <c r="G1557" s="27" t="n">
        <v>32.1</v>
      </c>
      <c r="H1557" s="27" t="s">
        <v>196</v>
      </c>
      <c r="I1557" s="42" t="n">
        <f aca="false">(D1557-INDEX('Cohort Summary'!$D$5:$D$14,MATCH($A1557,'Cohort Summary'!$A$5:$A$14,0)))/INDEX('Cohort Summary'!$E$5:$E$14,MATCH($A1557,'Cohort Summary'!$A$5:$A$14,0))</f>
        <v>0.492857142857141</v>
      </c>
      <c r="J1557" s="42" t="n">
        <f aca="false">(E1557-INDEX('Cohort Summary'!$F$5:$F$14,MATCH($A1557,'Cohort Summary'!$A$5:$A$14,0)))/INDEX('Cohort Summary'!$G$5:$G$14,MATCH($A1557,'Cohort Summary'!$A$5:$A$14,0))</f>
        <v>1.19289340101523</v>
      </c>
      <c r="K1557" s="42" t="n">
        <f aca="false">(F1557-INDEX('Cohort Summary'!$H$5:$H$14,MATCH($A1557,'Cohort Summary'!$A$5:$A$14,0)))/INDEX('Cohort Summary'!$I$5:$I$14,MATCH($A1557,'Cohort Summary'!$A$5:$A$14,0))</f>
        <v>-1.17006802721088</v>
      </c>
      <c r="L1557" s="42" t="n">
        <f aca="false">(G1557-INDEX('Cohort Summary'!$J$5:$J$14,MATCH($A1557,'Cohort Summary'!$A$5:$A$14,0)))/INDEX('Cohort Summary'!$K$5:$K$14,MATCH($A1557,'Cohort Summary'!$A$5:$A$14,0))</f>
        <v>-1.22413793103448</v>
      </c>
      <c r="M1557" s="42" t="n">
        <f aca="false">MAX(I1557:K1557)</f>
        <v>1.19289340101523</v>
      </c>
      <c r="N1557" s="27" t="s">
        <v>197</v>
      </c>
      <c r="O1557" s="27"/>
      <c r="P1557" s="27" t="str">
        <f aca="false">A1557&amp;"|"&amp;N1557</f>
        <v>NURSE-08|normal</v>
      </c>
    </row>
    <row r="1558" customFormat="false" ht="15" hidden="false" customHeight="true" outlineLevel="0" collapsed="false">
      <c r="A1558" s="27" t="s">
        <v>98</v>
      </c>
      <c r="B1558" s="41" t="n">
        <v>46303.3458333333</v>
      </c>
      <c r="C1558" s="27" t="s">
        <v>200</v>
      </c>
      <c r="D1558" s="27" t="n">
        <v>35.6</v>
      </c>
      <c r="E1558" s="27" t="n">
        <v>16.7</v>
      </c>
      <c r="F1558" s="27" t="n">
        <v>28.1</v>
      </c>
      <c r="G1558" s="27" t="n">
        <v>31.8</v>
      </c>
      <c r="H1558" s="27" t="s">
        <v>199</v>
      </c>
      <c r="I1558" s="42" t="n">
        <f aca="false">(D1558-INDEX('Cohort Summary'!$D$5:$D$14,MATCH($A1558,'Cohort Summary'!$A$5:$A$14,0)))/INDEX('Cohort Summary'!$E$5:$E$14,MATCH($A1558,'Cohort Summary'!$A$5:$A$14,0))</f>
        <v>-0.864285714285715</v>
      </c>
      <c r="J1558" s="42" t="n">
        <f aca="false">(E1558-INDEX('Cohort Summary'!$F$5:$F$14,MATCH($A1558,'Cohort Summary'!$A$5:$A$14,0)))/INDEX('Cohort Summary'!$G$5:$G$14,MATCH($A1558,'Cohort Summary'!$A$5:$A$14,0))</f>
        <v>-0.431472081218275</v>
      </c>
      <c r="K1558" s="42" t="n">
        <f aca="false">(F1558-INDEX('Cohort Summary'!$H$5:$H$14,MATCH($A1558,'Cohort Summary'!$A$5:$A$14,0)))/INDEX('Cohort Summary'!$I$5:$I$14,MATCH($A1558,'Cohort Summary'!$A$5:$A$14,0))</f>
        <v>-0.999999999999999</v>
      </c>
      <c r="L1558" s="42" t="n">
        <f aca="false">(G1558-INDEX('Cohort Summary'!$J$5:$J$14,MATCH($A1558,'Cohort Summary'!$A$5:$A$14,0)))/INDEX('Cohort Summary'!$K$5:$K$14,MATCH($A1558,'Cohort Summary'!$A$5:$A$14,0))</f>
        <v>-1.74137931034483</v>
      </c>
      <c r="M1558" s="42" t="n">
        <f aca="false">MAX(I1558:K1558)</f>
        <v>-0.431472081218275</v>
      </c>
      <c r="N1558" s="27" t="s">
        <v>197</v>
      </c>
      <c r="O1558" s="27"/>
      <c r="P1558" s="27" t="str">
        <f aca="false">A1558&amp;"|"&amp;N1558</f>
        <v>NURSE-08|normal</v>
      </c>
    </row>
    <row r="1559" customFormat="false" ht="15" hidden="false" customHeight="true" outlineLevel="0" collapsed="false">
      <c r="A1559" s="27" t="s">
        <v>98</v>
      </c>
      <c r="B1559" s="41" t="n">
        <v>46303.3461805556</v>
      </c>
      <c r="C1559" s="27" t="s">
        <v>200</v>
      </c>
      <c r="D1559" s="27" t="n">
        <v>39.9</v>
      </c>
      <c r="E1559" s="27" t="n">
        <v>20</v>
      </c>
      <c r="F1559" s="27" t="n">
        <v>27.3</v>
      </c>
      <c r="G1559" s="27" t="n">
        <v>32.3</v>
      </c>
      <c r="H1559" s="27" t="s">
        <v>199</v>
      </c>
      <c r="I1559" s="42" t="n">
        <f aca="false">(D1559-INDEX('Cohort Summary'!$D$5:$D$14,MATCH($A1559,'Cohort Summary'!$A$5:$A$14,0)))/INDEX('Cohort Summary'!$E$5:$E$14,MATCH($A1559,'Cohort Summary'!$A$5:$A$14,0))</f>
        <v>0.67142857142857</v>
      </c>
      <c r="J1559" s="42" t="n">
        <f aca="false">(E1559-INDEX('Cohort Summary'!$F$5:$F$14,MATCH($A1559,'Cohort Summary'!$A$5:$A$14,0)))/INDEX('Cohort Summary'!$G$5:$G$14,MATCH($A1559,'Cohort Summary'!$A$5:$A$14,0))</f>
        <v>1.24365482233503</v>
      </c>
      <c r="K1559" s="42" t="n">
        <f aca="false">(F1559-INDEX('Cohort Summary'!$H$5:$H$14,MATCH($A1559,'Cohort Summary'!$A$5:$A$14,0)))/INDEX('Cohort Summary'!$I$5:$I$14,MATCH($A1559,'Cohort Summary'!$A$5:$A$14,0))</f>
        <v>-1.27210884353741</v>
      </c>
      <c r="L1559" s="42" t="n">
        <f aca="false">(G1559-INDEX('Cohort Summary'!$J$5:$J$14,MATCH($A1559,'Cohort Summary'!$A$5:$A$14,0)))/INDEX('Cohort Summary'!$K$5:$K$14,MATCH($A1559,'Cohort Summary'!$A$5:$A$14,0))</f>
        <v>-0.879310344827595</v>
      </c>
      <c r="M1559" s="42" t="n">
        <f aca="false">MAX(I1559:K1559)</f>
        <v>1.24365482233503</v>
      </c>
      <c r="N1559" s="27" t="s">
        <v>197</v>
      </c>
      <c r="O1559" s="27"/>
      <c r="P1559" s="27" t="str">
        <f aca="false">A1559&amp;"|"&amp;N1559</f>
        <v>NURSE-08|normal</v>
      </c>
    </row>
    <row r="1560" customFormat="false" ht="15" hidden="false" customHeight="true" outlineLevel="0" collapsed="false">
      <c r="A1560" s="27" t="s">
        <v>98</v>
      </c>
      <c r="B1560" s="41" t="n">
        <v>46303.3465277778</v>
      </c>
      <c r="C1560" s="27" t="s">
        <v>200</v>
      </c>
      <c r="D1560" s="27" t="n">
        <v>36.2</v>
      </c>
      <c r="E1560" s="27" t="n">
        <v>14.1</v>
      </c>
      <c r="F1560" s="27" t="n">
        <v>34.4</v>
      </c>
      <c r="G1560" s="27" t="n">
        <v>33.3</v>
      </c>
      <c r="H1560" s="27" t="s">
        <v>199</v>
      </c>
      <c r="I1560" s="42" t="n">
        <f aca="false">(D1560-INDEX('Cohort Summary'!$D$5:$D$14,MATCH($A1560,'Cohort Summary'!$A$5:$A$14,0)))/INDEX('Cohort Summary'!$E$5:$E$14,MATCH($A1560,'Cohort Summary'!$A$5:$A$14,0))</f>
        <v>-0.65</v>
      </c>
      <c r="J1560" s="42" t="n">
        <f aca="false">(E1560-INDEX('Cohort Summary'!$F$5:$F$14,MATCH($A1560,'Cohort Summary'!$A$5:$A$14,0)))/INDEX('Cohort Summary'!$G$5:$G$14,MATCH($A1560,'Cohort Summary'!$A$5:$A$14,0))</f>
        <v>-1.751269035533</v>
      </c>
      <c r="K1560" s="42" t="n">
        <f aca="false">(F1560-INDEX('Cohort Summary'!$H$5:$H$14,MATCH($A1560,'Cohort Summary'!$A$5:$A$14,0)))/INDEX('Cohort Summary'!$I$5:$I$14,MATCH($A1560,'Cohort Summary'!$A$5:$A$14,0))</f>
        <v>1.14285714285714</v>
      </c>
      <c r="L1560" s="42" t="n">
        <f aca="false">(G1560-INDEX('Cohort Summary'!$J$5:$J$14,MATCH($A1560,'Cohort Summary'!$A$5:$A$14,0)))/INDEX('Cohort Summary'!$K$5:$K$14,MATCH($A1560,'Cohort Summary'!$A$5:$A$14,0))</f>
        <v>0.844827586206888</v>
      </c>
      <c r="M1560" s="42" t="n">
        <f aca="false">MAX(I1560:K1560)</f>
        <v>1.14285714285714</v>
      </c>
      <c r="N1560" s="27" t="s">
        <v>197</v>
      </c>
      <c r="O1560" s="27"/>
      <c r="P1560" s="27" t="str">
        <f aca="false">A1560&amp;"|"&amp;N1560</f>
        <v>NURSE-08|normal</v>
      </c>
    </row>
    <row r="1561" customFormat="false" ht="15" hidden="false" customHeight="true" outlineLevel="0" collapsed="false">
      <c r="A1561" s="27" t="s">
        <v>98</v>
      </c>
      <c r="B1561" s="41" t="n">
        <v>46303.346875</v>
      </c>
      <c r="C1561" s="27" t="s">
        <v>200</v>
      </c>
      <c r="D1561" s="27" t="n">
        <v>39.6</v>
      </c>
      <c r="E1561" s="27" t="n">
        <v>18.6</v>
      </c>
      <c r="F1561" s="27" t="n">
        <v>26.8</v>
      </c>
      <c r="G1561" s="27" t="n">
        <v>32.7</v>
      </c>
      <c r="H1561" s="27" t="s">
        <v>196</v>
      </c>
      <c r="I1561" s="42" t="n">
        <f aca="false">(D1561-INDEX('Cohort Summary'!$D$5:$D$14,MATCH($A1561,'Cohort Summary'!$A$5:$A$14,0)))/INDEX('Cohort Summary'!$E$5:$E$14,MATCH($A1561,'Cohort Summary'!$A$5:$A$14,0))</f>
        <v>0.564285714285714</v>
      </c>
      <c r="J1561" s="42" t="n">
        <f aca="false">(E1561-INDEX('Cohort Summary'!$F$5:$F$14,MATCH($A1561,'Cohort Summary'!$A$5:$A$14,0)))/INDEX('Cohort Summary'!$G$5:$G$14,MATCH($A1561,'Cohort Summary'!$A$5:$A$14,0))</f>
        <v>0.532994923857868</v>
      </c>
      <c r="K1561" s="42" t="n">
        <f aca="false">(F1561-INDEX('Cohort Summary'!$H$5:$H$14,MATCH($A1561,'Cohort Summary'!$A$5:$A$14,0)))/INDEX('Cohort Summary'!$I$5:$I$14,MATCH($A1561,'Cohort Summary'!$A$5:$A$14,0))</f>
        <v>-1.4421768707483</v>
      </c>
      <c r="L1561" s="42" t="n">
        <f aca="false">(G1561-INDEX('Cohort Summary'!$J$5:$J$14,MATCH($A1561,'Cohort Summary'!$A$5:$A$14,0)))/INDEX('Cohort Summary'!$K$5:$K$14,MATCH($A1561,'Cohort Summary'!$A$5:$A$14,0))</f>
        <v>-0.189655172413792</v>
      </c>
      <c r="M1561" s="42" t="n">
        <f aca="false">MAX(I1561:K1561)</f>
        <v>0.564285714285714</v>
      </c>
      <c r="N1561" s="27" t="s">
        <v>197</v>
      </c>
      <c r="O1561" s="27"/>
      <c r="P1561" s="27" t="str">
        <f aca="false">A1561&amp;"|"&amp;N1561</f>
        <v>NURSE-08|normal</v>
      </c>
    </row>
    <row r="1562" customFormat="false" ht="15" hidden="false" customHeight="true" outlineLevel="0" collapsed="false">
      <c r="A1562" s="27" t="s">
        <v>98</v>
      </c>
      <c r="B1562" s="41" t="n">
        <v>46303.3472222222</v>
      </c>
      <c r="C1562" s="27" t="s">
        <v>200</v>
      </c>
      <c r="D1562" s="27" t="n">
        <v>35.1</v>
      </c>
      <c r="E1562" s="27" t="n">
        <v>19.7</v>
      </c>
      <c r="F1562" s="27" t="n">
        <v>34.9</v>
      </c>
      <c r="G1562" s="27" t="n">
        <v>32</v>
      </c>
      <c r="H1562" s="27" t="s">
        <v>196</v>
      </c>
      <c r="I1562" s="42" t="n">
        <f aca="false">(D1562-INDEX('Cohort Summary'!$D$5:$D$14,MATCH($A1562,'Cohort Summary'!$A$5:$A$14,0)))/INDEX('Cohort Summary'!$E$5:$E$14,MATCH($A1562,'Cohort Summary'!$A$5:$A$14,0))</f>
        <v>-1.04285714285714</v>
      </c>
      <c r="J1562" s="42" t="n">
        <f aca="false">(E1562-INDEX('Cohort Summary'!$F$5:$F$14,MATCH($A1562,'Cohort Summary'!$A$5:$A$14,0)))/INDEX('Cohort Summary'!$G$5:$G$14,MATCH($A1562,'Cohort Summary'!$A$5:$A$14,0))</f>
        <v>1.09137055837563</v>
      </c>
      <c r="K1562" s="42" t="n">
        <f aca="false">(F1562-INDEX('Cohort Summary'!$H$5:$H$14,MATCH($A1562,'Cohort Summary'!$A$5:$A$14,0)))/INDEX('Cohort Summary'!$I$5:$I$14,MATCH($A1562,'Cohort Summary'!$A$5:$A$14,0))</f>
        <v>1.31292517006803</v>
      </c>
      <c r="L1562" s="42" t="n">
        <f aca="false">(G1562-INDEX('Cohort Summary'!$J$5:$J$14,MATCH($A1562,'Cohort Summary'!$A$5:$A$14,0)))/INDEX('Cohort Summary'!$K$5:$K$14,MATCH($A1562,'Cohort Summary'!$A$5:$A$14,0))</f>
        <v>-1.39655172413794</v>
      </c>
      <c r="M1562" s="42" t="n">
        <f aca="false">MAX(I1562:K1562)</f>
        <v>1.31292517006803</v>
      </c>
      <c r="N1562" s="27" t="s">
        <v>197</v>
      </c>
      <c r="O1562" s="27"/>
      <c r="P1562" s="27" t="str">
        <f aca="false">A1562&amp;"|"&amp;N1562</f>
        <v>NURSE-08|normal</v>
      </c>
    </row>
    <row r="1563" customFormat="false" ht="15" hidden="false" customHeight="true" outlineLevel="0" collapsed="false">
      <c r="A1563" s="27" t="s">
        <v>98</v>
      </c>
      <c r="B1563" s="41" t="n">
        <v>46303.3475694444</v>
      </c>
      <c r="C1563" s="27" t="s">
        <v>200</v>
      </c>
      <c r="D1563" s="27" t="n">
        <v>37.5</v>
      </c>
      <c r="E1563" s="27" t="n">
        <v>20.9</v>
      </c>
      <c r="F1563" s="27" t="n">
        <v>26.1</v>
      </c>
      <c r="G1563" s="27" t="n">
        <v>32.2</v>
      </c>
      <c r="H1563" s="27" t="s">
        <v>196</v>
      </c>
      <c r="I1563" s="42" t="n">
        <f aca="false">(D1563-INDEX('Cohort Summary'!$D$5:$D$14,MATCH($A1563,'Cohort Summary'!$A$5:$A$14,0)))/INDEX('Cohort Summary'!$E$5:$E$14,MATCH($A1563,'Cohort Summary'!$A$5:$A$14,0))</f>
        <v>-0.185714285714287</v>
      </c>
      <c r="J1563" s="42" t="n">
        <f aca="false">(E1563-INDEX('Cohort Summary'!$F$5:$F$14,MATCH($A1563,'Cohort Summary'!$A$5:$A$14,0)))/INDEX('Cohort Summary'!$G$5:$G$14,MATCH($A1563,'Cohort Summary'!$A$5:$A$14,0))</f>
        <v>1.7005076142132</v>
      </c>
      <c r="K1563" s="42" t="n">
        <f aca="false">(F1563-INDEX('Cohort Summary'!$H$5:$H$14,MATCH($A1563,'Cohort Summary'!$A$5:$A$14,0)))/INDEX('Cohort Summary'!$I$5:$I$14,MATCH($A1563,'Cohort Summary'!$A$5:$A$14,0))</f>
        <v>-1.68027210884354</v>
      </c>
      <c r="L1563" s="42" t="n">
        <f aca="false">(G1563-INDEX('Cohort Summary'!$J$5:$J$14,MATCH($A1563,'Cohort Summary'!$A$5:$A$14,0)))/INDEX('Cohort Summary'!$K$5:$K$14,MATCH($A1563,'Cohort Summary'!$A$5:$A$14,0))</f>
        <v>-1.05172413793103</v>
      </c>
      <c r="M1563" s="42" t="n">
        <f aca="false">MAX(I1563:K1563)</f>
        <v>1.7005076142132</v>
      </c>
      <c r="N1563" s="27" t="s">
        <v>197</v>
      </c>
      <c r="O1563" s="27"/>
      <c r="P1563" s="27" t="str">
        <f aca="false">A1563&amp;"|"&amp;N1563</f>
        <v>NURSE-08|normal</v>
      </c>
    </row>
    <row r="1564" customFormat="false" ht="15" hidden="false" customHeight="true" outlineLevel="0" collapsed="false">
      <c r="A1564" s="27" t="s">
        <v>98</v>
      </c>
      <c r="B1564" s="41" t="n">
        <v>46303.3479166667</v>
      </c>
      <c r="C1564" s="27" t="s">
        <v>200</v>
      </c>
      <c r="D1564" s="27" t="n">
        <v>39.7</v>
      </c>
      <c r="E1564" s="27" t="n">
        <v>18.4</v>
      </c>
      <c r="F1564" s="27" t="n">
        <v>32.2</v>
      </c>
      <c r="G1564" s="27" t="n">
        <v>32.6</v>
      </c>
      <c r="H1564" s="27" t="s">
        <v>198</v>
      </c>
      <c r="I1564" s="42" t="n">
        <f aca="false">(D1564-INDEX('Cohort Summary'!$D$5:$D$14,MATCH($A1564,'Cohort Summary'!$A$5:$A$14,0)))/INDEX('Cohort Summary'!$E$5:$E$14,MATCH($A1564,'Cohort Summary'!$A$5:$A$14,0))</f>
        <v>0.6</v>
      </c>
      <c r="J1564" s="42" t="n">
        <f aca="false">(E1564-INDEX('Cohort Summary'!$F$5:$F$14,MATCH($A1564,'Cohort Summary'!$A$5:$A$14,0)))/INDEX('Cohort Summary'!$G$5:$G$14,MATCH($A1564,'Cohort Summary'!$A$5:$A$14,0))</f>
        <v>0.431472081218273</v>
      </c>
      <c r="K1564" s="42" t="n">
        <f aca="false">(F1564-INDEX('Cohort Summary'!$H$5:$H$14,MATCH($A1564,'Cohort Summary'!$A$5:$A$14,0)))/INDEX('Cohort Summary'!$I$5:$I$14,MATCH($A1564,'Cohort Summary'!$A$5:$A$14,0))</f>
        <v>0.394557823129253</v>
      </c>
      <c r="L1564" s="42" t="n">
        <f aca="false">(G1564-INDEX('Cohort Summary'!$J$5:$J$14,MATCH($A1564,'Cohort Summary'!$A$5:$A$14,0)))/INDEX('Cohort Summary'!$K$5:$K$14,MATCH($A1564,'Cohort Summary'!$A$5:$A$14,0))</f>
        <v>-0.362068965517243</v>
      </c>
      <c r="M1564" s="42" t="n">
        <f aca="false">MAX(I1564:K1564)</f>
        <v>0.6</v>
      </c>
      <c r="N1564" s="27" t="s">
        <v>197</v>
      </c>
      <c r="O1564" s="27"/>
      <c r="P1564" s="27" t="str">
        <f aca="false">A1564&amp;"|"&amp;N1564</f>
        <v>NURSE-08|normal</v>
      </c>
    </row>
    <row r="1565" customFormat="false" ht="15" hidden="false" customHeight="true" outlineLevel="0" collapsed="false">
      <c r="A1565" s="27" t="s">
        <v>98</v>
      </c>
      <c r="B1565" s="41" t="n">
        <v>46303.3482638889</v>
      </c>
      <c r="C1565" s="27" t="s">
        <v>200</v>
      </c>
      <c r="D1565" s="27" t="n">
        <v>39.6</v>
      </c>
      <c r="E1565" s="27" t="n">
        <v>15.4</v>
      </c>
      <c r="F1565" s="27" t="n">
        <v>31.7</v>
      </c>
      <c r="G1565" s="27" t="n">
        <v>33.5</v>
      </c>
      <c r="H1565" s="27" t="s">
        <v>199</v>
      </c>
      <c r="I1565" s="42" t="n">
        <f aca="false">(D1565-INDEX('Cohort Summary'!$D$5:$D$14,MATCH($A1565,'Cohort Summary'!$A$5:$A$14,0)))/INDEX('Cohort Summary'!$E$5:$E$14,MATCH($A1565,'Cohort Summary'!$A$5:$A$14,0))</f>
        <v>0.564285714285714</v>
      </c>
      <c r="J1565" s="42" t="n">
        <f aca="false">(E1565-INDEX('Cohort Summary'!$F$5:$F$14,MATCH($A1565,'Cohort Summary'!$A$5:$A$14,0)))/INDEX('Cohort Summary'!$G$5:$G$14,MATCH($A1565,'Cohort Summary'!$A$5:$A$14,0))</f>
        <v>-1.09137055837563</v>
      </c>
      <c r="K1565" s="42" t="n">
        <f aca="false">(F1565-INDEX('Cohort Summary'!$H$5:$H$14,MATCH($A1565,'Cohort Summary'!$A$5:$A$14,0)))/INDEX('Cohort Summary'!$I$5:$I$14,MATCH($A1565,'Cohort Summary'!$A$5:$A$14,0))</f>
        <v>0.224489795918367</v>
      </c>
      <c r="L1565" s="42" t="n">
        <f aca="false">(G1565-INDEX('Cohort Summary'!$J$5:$J$14,MATCH($A1565,'Cohort Summary'!$A$5:$A$14,0)))/INDEX('Cohort Summary'!$K$5:$K$14,MATCH($A1565,'Cohort Summary'!$A$5:$A$14,0))</f>
        <v>1.18965517241379</v>
      </c>
      <c r="M1565" s="42" t="n">
        <f aca="false">MAX(I1565:K1565)</f>
        <v>0.564285714285714</v>
      </c>
      <c r="N1565" s="27" t="s">
        <v>197</v>
      </c>
      <c r="O1565" s="27"/>
      <c r="P1565" s="27" t="str">
        <f aca="false">A1565&amp;"|"&amp;N1565</f>
        <v>NURSE-08|normal</v>
      </c>
    </row>
    <row r="1566" customFormat="false" ht="15" hidden="false" customHeight="true" outlineLevel="0" collapsed="false">
      <c r="A1566" s="27" t="s">
        <v>98</v>
      </c>
      <c r="B1566" s="41" t="n">
        <v>46303.3486111111</v>
      </c>
      <c r="C1566" s="27" t="s">
        <v>200</v>
      </c>
      <c r="D1566" s="27" t="n">
        <v>33.8</v>
      </c>
      <c r="E1566" s="27" t="n">
        <v>19.4</v>
      </c>
      <c r="F1566" s="27" t="n">
        <v>27.7</v>
      </c>
      <c r="G1566" s="27" t="n">
        <v>32.5</v>
      </c>
      <c r="H1566" s="27" t="s">
        <v>198</v>
      </c>
      <c r="I1566" s="42" t="n">
        <f aca="false">(D1566-INDEX('Cohort Summary'!$D$5:$D$14,MATCH($A1566,'Cohort Summary'!$A$5:$A$14,0)))/INDEX('Cohort Summary'!$E$5:$E$14,MATCH($A1566,'Cohort Summary'!$A$5:$A$14,0))</f>
        <v>-1.50714285714286</v>
      </c>
      <c r="J1566" s="42" t="n">
        <f aca="false">(E1566-INDEX('Cohort Summary'!$F$5:$F$14,MATCH($A1566,'Cohort Summary'!$A$5:$A$14,0)))/INDEX('Cohort Summary'!$G$5:$G$14,MATCH($A1566,'Cohort Summary'!$A$5:$A$14,0))</f>
        <v>0.939086294416243</v>
      </c>
      <c r="K1566" s="42" t="n">
        <f aca="false">(F1566-INDEX('Cohort Summary'!$H$5:$H$14,MATCH($A1566,'Cohort Summary'!$A$5:$A$14,0)))/INDEX('Cohort Summary'!$I$5:$I$14,MATCH($A1566,'Cohort Summary'!$A$5:$A$14,0))</f>
        <v>-1.13605442176871</v>
      </c>
      <c r="L1566" s="42" t="n">
        <f aca="false">(G1566-INDEX('Cohort Summary'!$J$5:$J$14,MATCH($A1566,'Cohort Summary'!$A$5:$A$14,0)))/INDEX('Cohort Summary'!$K$5:$K$14,MATCH($A1566,'Cohort Summary'!$A$5:$A$14,0))</f>
        <v>-0.534482758620694</v>
      </c>
      <c r="M1566" s="42" t="n">
        <f aca="false">MAX(I1566:K1566)</f>
        <v>0.939086294416243</v>
      </c>
      <c r="N1566" s="27" t="s">
        <v>197</v>
      </c>
      <c r="O1566" s="27"/>
      <c r="P1566" s="27" t="str">
        <f aca="false">A1566&amp;"|"&amp;N1566</f>
        <v>NURSE-08|normal</v>
      </c>
    </row>
    <row r="1567" customFormat="false" ht="15" hidden="false" customHeight="true" outlineLevel="0" collapsed="false">
      <c r="A1567" s="27" t="s">
        <v>98</v>
      </c>
      <c r="B1567" s="41" t="n">
        <v>46303.3489583333</v>
      </c>
      <c r="C1567" s="27" t="s">
        <v>200</v>
      </c>
      <c r="D1567" s="27" t="n">
        <v>38.6</v>
      </c>
      <c r="E1567" s="27" t="n">
        <v>20.8</v>
      </c>
      <c r="F1567" s="27" t="n">
        <v>35.3</v>
      </c>
      <c r="G1567" s="27" t="n">
        <v>33.8</v>
      </c>
      <c r="H1567" s="27" t="s">
        <v>199</v>
      </c>
      <c r="I1567" s="42" t="n">
        <f aca="false">(D1567-INDEX('Cohort Summary'!$D$5:$D$14,MATCH($A1567,'Cohort Summary'!$A$5:$A$14,0)))/INDEX('Cohort Summary'!$E$5:$E$14,MATCH($A1567,'Cohort Summary'!$A$5:$A$14,0))</f>
        <v>0.207142857142857</v>
      </c>
      <c r="J1567" s="42" t="n">
        <f aca="false">(E1567-INDEX('Cohort Summary'!$F$5:$F$14,MATCH($A1567,'Cohort Summary'!$A$5:$A$14,0)))/INDEX('Cohort Summary'!$G$5:$G$14,MATCH($A1567,'Cohort Summary'!$A$5:$A$14,0))</f>
        <v>1.6497461928934</v>
      </c>
      <c r="K1567" s="42" t="n">
        <f aca="false">(F1567-INDEX('Cohort Summary'!$H$5:$H$14,MATCH($A1567,'Cohort Summary'!$A$5:$A$14,0)))/INDEX('Cohort Summary'!$I$5:$I$14,MATCH($A1567,'Cohort Summary'!$A$5:$A$14,0))</f>
        <v>1.44897959183673</v>
      </c>
      <c r="L1567" s="42" t="n">
        <f aca="false">(G1567-INDEX('Cohort Summary'!$J$5:$J$14,MATCH($A1567,'Cohort Summary'!$A$5:$A$14,0)))/INDEX('Cohort Summary'!$K$5:$K$14,MATCH($A1567,'Cohort Summary'!$A$5:$A$14,0))</f>
        <v>1.70689655172413</v>
      </c>
      <c r="M1567" s="42" t="n">
        <f aca="false">MAX(I1567:K1567)</f>
        <v>1.6497461928934</v>
      </c>
      <c r="N1567" s="27" t="s">
        <v>197</v>
      </c>
      <c r="O1567" s="27"/>
      <c r="P1567" s="27" t="str">
        <f aca="false">A1567&amp;"|"&amp;N1567</f>
        <v>NURSE-08|normal</v>
      </c>
    </row>
    <row r="1568" customFormat="false" ht="15" hidden="false" customHeight="true" outlineLevel="0" collapsed="false">
      <c r="A1568" s="27" t="s">
        <v>98</v>
      </c>
      <c r="B1568" s="41" t="n">
        <v>46303.3493055556</v>
      </c>
      <c r="C1568" s="27" t="s">
        <v>200</v>
      </c>
      <c r="D1568" s="27" t="n">
        <v>42.4</v>
      </c>
      <c r="E1568" s="27" t="n">
        <v>15.8</v>
      </c>
      <c r="F1568" s="27" t="n">
        <v>31.7</v>
      </c>
      <c r="G1568" s="27" t="n">
        <v>33.1</v>
      </c>
      <c r="H1568" s="27" t="s">
        <v>198</v>
      </c>
      <c r="I1568" s="42" t="n">
        <f aca="false">(D1568-INDEX('Cohort Summary'!$D$5:$D$14,MATCH($A1568,'Cohort Summary'!$A$5:$A$14,0)))/INDEX('Cohort Summary'!$E$5:$E$14,MATCH($A1568,'Cohort Summary'!$A$5:$A$14,0))</f>
        <v>1.56428571428571</v>
      </c>
      <c r="J1568" s="42" t="n">
        <f aca="false">(E1568-INDEX('Cohort Summary'!$F$5:$F$14,MATCH($A1568,'Cohort Summary'!$A$5:$A$14,0)))/INDEX('Cohort Summary'!$G$5:$G$14,MATCH($A1568,'Cohort Summary'!$A$5:$A$14,0))</f>
        <v>-0.888324873096447</v>
      </c>
      <c r="K1568" s="42" t="n">
        <f aca="false">(F1568-INDEX('Cohort Summary'!$H$5:$H$14,MATCH($A1568,'Cohort Summary'!$A$5:$A$14,0)))/INDEX('Cohort Summary'!$I$5:$I$14,MATCH($A1568,'Cohort Summary'!$A$5:$A$14,0))</f>
        <v>0.224489795918367</v>
      </c>
      <c r="L1568" s="42" t="n">
        <f aca="false">(G1568-INDEX('Cohort Summary'!$J$5:$J$14,MATCH($A1568,'Cohort Summary'!$A$5:$A$14,0)))/INDEX('Cohort Summary'!$K$5:$K$14,MATCH($A1568,'Cohort Summary'!$A$5:$A$14,0))</f>
        <v>0.499999999999999</v>
      </c>
      <c r="M1568" s="42" t="n">
        <f aca="false">MAX(I1568:K1568)</f>
        <v>1.56428571428571</v>
      </c>
      <c r="N1568" s="27" t="s">
        <v>197</v>
      </c>
      <c r="O1568" s="27"/>
      <c r="P1568" s="27" t="str">
        <f aca="false">A1568&amp;"|"&amp;N1568</f>
        <v>NURSE-08|normal</v>
      </c>
    </row>
    <row r="1569" customFormat="false" ht="15" hidden="false" customHeight="true" outlineLevel="0" collapsed="false">
      <c r="A1569" s="27" t="s">
        <v>98</v>
      </c>
      <c r="B1569" s="41" t="n">
        <v>46303.3496527778</v>
      </c>
      <c r="C1569" s="27" t="s">
        <v>200</v>
      </c>
      <c r="D1569" s="27" t="n">
        <v>35.5</v>
      </c>
      <c r="E1569" s="27" t="n">
        <v>16.9</v>
      </c>
      <c r="F1569" s="27" t="n">
        <v>30.2</v>
      </c>
      <c r="G1569" s="27" t="n">
        <v>32.9</v>
      </c>
      <c r="H1569" s="27" t="s">
        <v>198</v>
      </c>
      <c r="I1569" s="42" t="n">
        <f aca="false">(D1569-INDEX('Cohort Summary'!$D$5:$D$14,MATCH($A1569,'Cohort Summary'!$A$5:$A$14,0)))/INDEX('Cohort Summary'!$E$5:$E$14,MATCH($A1569,'Cohort Summary'!$A$5:$A$14,0))</f>
        <v>-0.900000000000001</v>
      </c>
      <c r="J1569" s="42" t="n">
        <f aca="false">(E1569-INDEX('Cohort Summary'!$F$5:$F$14,MATCH($A1569,'Cohort Summary'!$A$5:$A$14,0)))/INDEX('Cohort Summary'!$G$5:$G$14,MATCH($A1569,'Cohort Summary'!$A$5:$A$14,0))</f>
        <v>-0.329949238578681</v>
      </c>
      <c r="K1569" s="42" t="n">
        <f aca="false">(F1569-INDEX('Cohort Summary'!$H$5:$H$14,MATCH($A1569,'Cohort Summary'!$A$5:$A$14,0)))/INDEX('Cohort Summary'!$I$5:$I$14,MATCH($A1569,'Cohort Summary'!$A$5:$A$14,0))</f>
        <v>-0.285714285714286</v>
      </c>
      <c r="L1569" s="42" t="n">
        <f aca="false">(G1569-INDEX('Cohort Summary'!$J$5:$J$14,MATCH($A1569,'Cohort Summary'!$A$5:$A$14,0)))/INDEX('Cohort Summary'!$K$5:$K$14,MATCH($A1569,'Cohort Summary'!$A$5:$A$14,0))</f>
        <v>0.155172413793097</v>
      </c>
      <c r="M1569" s="42" t="n">
        <f aca="false">MAX(I1569:K1569)</f>
        <v>-0.285714285714286</v>
      </c>
      <c r="N1569" s="27" t="s">
        <v>197</v>
      </c>
      <c r="O1569" s="27"/>
      <c r="P1569" s="27" t="str">
        <f aca="false">A1569&amp;"|"&amp;N1569</f>
        <v>NURSE-08|normal</v>
      </c>
    </row>
    <row r="1570" customFormat="false" ht="15" hidden="false" customHeight="true" outlineLevel="0" collapsed="false">
      <c r="A1570" s="27" t="s">
        <v>98</v>
      </c>
      <c r="B1570" s="41" t="n">
        <v>46303.35</v>
      </c>
      <c r="C1570" s="27" t="s">
        <v>200</v>
      </c>
      <c r="D1570" s="27" t="n">
        <v>34.4</v>
      </c>
      <c r="E1570" s="27" t="n">
        <v>15.9</v>
      </c>
      <c r="F1570" s="27" t="n">
        <v>32.4</v>
      </c>
      <c r="G1570" s="27" t="n">
        <v>33.1</v>
      </c>
      <c r="H1570" s="27" t="s">
        <v>196</v>
      </c>
      <c r="I1570" s="42" t="n">
        <f aca="false">(D1570-INDEX('Cohort Summary'!$D$5:$D$14,MATCH($A1570,'Cohort Summary'!$A$5:$A$14,0)))/INDEX('Cohort Summary'!$E$5:$E$14,MATCH($A1570,'Cohort Summary'!$A$5:$A$14,0))</f>
        <v>-1.29285714285714</v>
      </c>
      <c r="J1570" s="42" t="n">
        <f aca="false">(E1570-INDEX('Cohort Summary'!$F$5:$F$14,MATCH($A1570,'Cohort Summary'!$A$5:$A$14,0)))/INDEX('Cohort Summary'!$G$5:$G$14,MATCH($A1570,'Cohort Summary'!$A$5:$A$14,0))</f>
        <v>-0.83756345177665</v>
      </c>
      <c r="K1570" s="42" t="n">
        <f aca="false">(F1570-INDEX('Cohort Summary'!$H$5:$H$14,MATCH($A1570,'Cohort Summary'!$A$5:$A$14,0)))/INDEX('Cohort Summary'!$I$5:$I$14,MATCH($A1570,'Cohort Summary'!$A$5:$A$14,0))</f>
        <v>0.462585034013605</v>
      </c>
      <c r="L1570" s="42" t="n">
        <f aca="false">(G1570-INDEX('Cohort Summary'!$J$5:$J$14,MATCH($A1570,'Cohort Summary'!$A$5:$A$14,0)))/INDEX('Cohort Summary'!$K$5:$K$14,MATCH($A1570,'Cohort Summary'!$A$5:$A$14,0))</f>
        <v>0.499999999999999</v>
      </c>
      <c r="M1570" s="42" t="n">
        <f aca="false">MAX(I1570:K1570)</f>
        <v>0.462585034013605</v>
      </c>
      <c r="N1570" s="27" t="s">
        <v>197</v>
      </c>
      <c r="O1570" s="27"/>
      <c r="P1570" s="27" t="str">
        <f aca="false">A1570&amp;"|"&amp;N1570</f>
        <v>NURSE-08|normal</v>
      </c>
    </row>
    <row r="1571" customFormat="false" ht="15" hidden="false" customHeight="true" outlineLevel="0" collapsed="false">
      <c r="A1571" s="27" t="s">
        <v>98</v>
      </c>
      <c r="B1571" s="41" t="n">
        <v>46303.3503472222</v>
      </c>
      <c r="C1571" s="27" t="s">
        <v>200</v>
      </c>
      <c r="D1571" s="27" t="n">
        <v>40.8</v>
      </c>
      <c r="E1571" s="27" t="n">
        <v>18.9</v>
      </c>
      <c r="F1571" s="27" t="n">
        <v>35.9</v>
      </c>
      <c r="G1571" s="27" t="n">
        <v>32.8</v>
      </c>
      <c r="H1571" s="27" t="s">
        <v>198</v>
      </c>
      <c r="I1571" s="42" t="n">
        <f aca="false">(D1571-INDEX('Cohort Summary'!$D$5:$D$14,MATCH($A1571,'Cohort Summary'!$A$5:$A$14,0)))/INDEX('Cohort Summary'!$E$5:$E$14,MATCH($A1571,'Cohort Summary'!$A$5:$A$14,0))</f>
        <v>0.992857142857141</v>
      </c>
      <c r="J1571" s="42" t="n">
        <f aca="false">(E1571-INDEX('Cohort Summary'!$F$5:$F$14,MATCH($A1571,'Cohort Summary'!$A$5:$A$14,0)))/INDEX('Cohort Summary'!$G$5:$G$14,MATCH($A1571,'Cohort Summary'!$A$5:$A$14,0))</f>
        <v>0.685279187817258</v>
      </c>
      <c r="K1571" s="42" t="n">
        <f aca="false">(F1571-INDEX('Cohort Summary'!$H$5:$H$14,MATCH($A1571,'Cohort Summary'!$A$5:$A$14,0)))/INDEX('Cohort Summary'!$I$5:$I$14,MATCH($A1571,'Cohort Summary'!$A$5:$A$14,0))</f>
        <v>1.6530612244898</v>
      </c>
      <c r="L1571" s="42" t="n">
        <f aca="false">(G1571-INDEX('Cohort Summary'!$J$5:$J$14,MATCH($A1571,'Cohort Summary'!$A$5:$A$14,0)))/INDEX('Cohort Summary'!$K$5:$K$14,MATCH($A1571,'Cohort Summary'!$A$5:$A$14,0))</f>
        <v>-0.0172413793103537</v>
      </c>
      <c r="M1571" s="42" t="n">
        <f aca="false">MAX(I1571:K1571)</f>
        <v>1.6530612244898</v>
      </c>
      <c r="N1571" s="27" t="s">
        <v>197</v>
      </c>
      <c r="O1571" s="27"/>
      <c r="P1571" s="27" t="str">
        <f aca="false">A1571&amp;"|"&amp;N1571</f>
        <v>NURSE-08|normal</v>
      </c>
    </row>
    <row r="1572" customFormat="false" ht="15" hidden="false" customHeight="true" outlineLevel="0" collapsed="false">
      <c r="A1572" s="27" t="s">
        <v>98</v>
      </c>
      <c r="B1572" s="41" t="n">
        <v>46303.3506944445</v>
      </c>
      <c r="C1572" s="27" t="s">
        <v>200</v>
      </c>
      <c r="D1572" s="27" t="n">
        <v>35.1</v>
      </c>
      <c r="E1572" s="27" t="n">
        <v>15.3</v>
      </c>
      <c r="F1572" s="27" t="n">
        <v>29.9</v>
      </c>
      <c r="G1572" s="27" t="n">
        <v>32.7</v>
      </c>
      <c r="H1572" s="27" t="s">
        <v>196</v>
      </c>
      <c r="I1572" s="42" t="n">
        <f aca="false">(D1572-INDEX('Cohort Summary'!$D$5:$D$14,MATCH($A1572,'Cohort Summary'!$A$5:$A$14,0)))/INDEX('Cohort Summary'!$E$5:$E$14,MATCH($A1572,'Cohort Summary'!$A$5:$A$14,0))</f>
        <v>-1.04285714285714</v>
      </c>
      <c r="J1572" s="42" t="n">
        <f aca="false">(E1572-INDEX('Cohort Summary'!$F$5:$F$14,MATCH($A1572,'Cohort Summary'!$A$5:$A$14,0)))/INDEX('Cohort Summary'!$G$5:$G$14,MATCH($A1572,'Cohort Summary'!$A$5:$A$14,0))</f>
        <v>-1.14213197969543</v>
      </c>
      <c r="K1572" s="42" t="n">
        <f aca="false">(F1572-INDEX('Cohort Summary'!$H$5:$H$14,MATCH($A1572,'Cohort Summary'!$A$5:$A$14,0)))/INDEX('Cohort Summary'!$I$5:$I$14,MATCH($A1572,'Cohort Summary'!$A$5:$A$14,0))</f>
        <v>-0.387755102040817</v>
      </c>
      <c r="L1572" s="42" t="n">
        <f aca="false">(G1572-INDEX('Cohort Summary'!$J$5:$J$14,MATCH($A1572,'Cohort Summary'!$A$5:$A$14,0)))/INDEX('Cohort Summary'!$K$5:$K$14,MATCH($A1572,'Cohort Summary'!$A$5:$A$14,0))</f>
        <v>-0.189655172413792</v>
      </c>
      <c r="M1572" s="42" t="n">
        <f aca="false">MAX(I1572:K1572)</f>
        <v>-0.387755102040817</v>
      </c>
      <c r="N1572" s="27" t="s">
        <v>197</v>
      </c>
      <c r="O1572" s="27"/>
      <c r="P1572" s="27" t="str">
        <f aca="false">A1572&amp;"|"&amp;N1572</f>
        <v>NURSE-08|normal</v>
      </c>
    </row>
    <row r="1573" customFormat="false" ht="15" hidden="false" customHeight="true" outlineLevel="0" collapsed="false">
      <c r="A1573" s="27" t="s">
        <v>98</v>
      </c>
      <c r="B1573" s="41" t="n">
        <v>46303.3510416667</v>
      </c>
      <c r="C1573" s="27" t="s">
        <v>200</v>
      </c>
      <c r="D1573" s="27" t="n">
        <v>41.9</v>
      </c>
      <c r="E1573" s="27" t="n">
        <v>18.6</v>
      </c>
      <c r="F1573" s="27" t="n">
        <v>26.9</v>
      </c>
      <c r="G1573" s="27" t="n">
        <v>32.2</v>
      </c>
      <c r="H1573" s="27" t="s">
        <v>196</v>
      </c>
      <c r="I1573" s="42" t="n">
        <f aca="false">(D1573-INDEX('Cohort Summary'!$D$5:$D$14,MATCH($A1573,'Cohort Summary'!$A$5:$A$14,0)))/INDEX('Cohort Summary'!$E$5:$E$14,MATCH($A1573,'Cohort Summary'!$A$5:$A$14,0))</f>
        <v>1.38571428571428</v>
      </c>
      <c r="J1573" s="42" t="n">
        <f aca="false">(E1573-INDEX('Cohort Summary'!$F$5:$F$14,MATCH($A1573,'Cohort Summary'!$A$5:$A$14,0)))/INDEX('Cohort Summary'!$G$5:$G$14,MATCH($A1573,'Cohort Summary'!$A$5:$A$14,0))</f>
        <v>0.532994923857868</v>
      </c>
      <c r="K1573" s="42" t="n">
        <f aca="false">(F1573-INDEX('Cohort Summary'!$H$5:$H$14,MATCH($A1573,'Cohort Summary'!$A$5:$A$14,0)))/INDEX('Cohort Summary'!$I$5:$I$14,MATCH($A1573,'Cohort Summary'!$A$5:$A$14,0))</f>
        <v>-1.40816326530612</v>
      </c>
      <c r="L1573" s="42" t="n">
        <f aca="false">(G1573-INDEX('Cohort Summary'!$J$5:$J$14,MATCH($A1573,'Cohort Summary'!$A$5:$A$14,0)))/INDEX('Cohort Summary'!$K$5:$K$14,MATCH($A1573,'Cohort Summary'!$A$5:$A$14,0))</f>
        <v>-1.05172413793103</v>
      </c>
      <c r="M1573" s="42" t="n">
        <f aca="false">MAX(I1573:K1573)</f>
        <v>1.38571428571428</v>
      </c>
      <c r="N1573" s="27" t="s">
        <v>197</v>
      </c>
      <c r="O1573" s="27"/>
      <c r="P1573" s="27" t="str">
        <f aca="false">A1573&amp;"|"&amp;N1573</f>
        <v>NURSE-08|normal</v>
      </c>
    </row>
    <row r="1574" customFormat="false" ht="15" hidden="false" customHeight="true" outlineLevel="0" collapsed="false">
      <c r="A1574" s="27" t="s">
        <v>98</v>
      </c>
      <c r="B1574" s="41" t="n">
        <v>46303.3513888889</v>
      </c>
      <c r="C1574" s="27" t="s">
        <v>200</v>
      </c>
      <c r="D1574" s="27" t="n">
        <v>42.3</v>
      </c>
      <c r="E1574" s="27" t="n">
        <v>14.1</v>
      </c>
      <c r="F1574" s="27" t="n">
        <v>32.7</v>
      </c>
      <c r="G1574" s="27" t="n">
        <v>32.9</v>
      </c>
      <c r="H1574" s="27" t="s">
        <v>196</v>
      </c>
      <c r="I1574" s="42" t="n">
        <f aca="false">(D1574-INDEX('Cohort Summary'!$D$5:$D$14,MATCH($A1574,'Cohort Summary'!$A$5:$A$14,0)))/INDEX('Cohort Summary'!$E$5:$E$14,MATCH($A1574,'Cohort Summary'!$A$5:$A$14,0))</f>
        <v>1.52857142857143</v>
      </c>
      <c r="J1574" s="42" t="n">
        <f aca="false">(E1574-INDEX('Cohort Summary'!$F$5:$F$14,MATCH($A1574,'Cohort Summary'!$A$5:$A$14,0)))/INDEX('Cohort Summary'!$G$5:$G$14,MATCH($A1574,'Cohort Summary'!$A$5:$A$14,0))</f>
        <v>-1.751269035533</v>
      </c>
      <c r="K1574" s="42" t="n">
        <f aca="false">(F1574-INDEX('Cohort Summary'!$H$5:$H$14,MATCH($A1574,'Cohort Summary'!$A$5:$A$14,0)))/INDEX('Cohort Summary'!$I$5:$I$14,MATCH($A1574,'Cohort Summary'!$A$5:$A$14,0))</f>
        <v>0.564625850340137</v>
      </c>
      <c r="L1574" s="42" t="n">
        <f aca="false">(G1574-INDEX('Cohort Summary'!$J$5:$J$14,MATCH($A1574,'Cohort Summary'!$A$5:$A$14,0)))/INDEX('Cohort Summary'!$K$5:$K$14,MATCH($A1574,'Cohort Summary'!$A$5:$A$14,0))</f>
        <v>0.155172413793097</v>
      </c>
      <c r="M1574" s="42" t="n">
        <f aca="false">MAX(I1574:K1574)</f>
        <v>1.52857142857143</v>
      </c>
      <c r="N1574" s="27" t="s">
        <v>197</v>
      </c>
      <c r="O1574" s="27"/>
      <c r="P1574" s="27" t="str">
        <f aca="false">A1574&amp;"|"&amp;N1574</f>
        <v>NURSE-08|normal</v>
      </c>
    </row>
    <row r="1575" customFormat="false" ht="15" hidden="false" customHeight="true" outlineLevel="0" collapsed="false">
      <c r="A1575" s="27" t="s">
        <v>98</v>
      </c>
      <c r="B1575" s="41" t="n">
        <v>46303.3517361111</v>
      </c>
      <c r="C1575" s="27" t="s">
        <v>200</v>
      </c>
      <c r="D1575" s="27" t="n">
        <v>40.5</v>
      </c>
      <c r="E1575" s="27" t="n">
        <v>14.7</v>
      </c>
      <c r="F1575" s="27" t="n">
        <v>29.7</v>
      </c>
      <c r="G1575" s="27" t="n">
        <v>33.7</v>
      </c>
      <c r="H1575" s="27" t="s">
        <v>199</v>
      </c>
      <c r="I1575" s="42" t="n">
        <f aca="false">(D1575-INDEX('Cohort Summary'!$D$5:$D$14,MATCH($A1575,'Cohort Summary'!$A$5:$A$14,0)))/INDEX('Cohort Summary'!$E$5:$E$14,MATCH($A1575,'Cohort Summary'!$A$5:$A$14,0))</f>
        <v>0.885714285714285</v>
      </c>
      <c r="J1575" s="42" t="n">
        <f aca="false">(E1575-INDEX('Cohort Summary'!$F$5:$F$14,MATCH($A1575,'Cohort Summary'!$A$5:$A$14,0)))/INDEX('Cohort Summary'!$G$5:$G$14,MATCH($A1575,'Cohort Summary'!$A$5:$A$14,0))</f>
        <v>-1.44670050761421</v>
      </c>
      <c r="K1575" s="42" t="n">
        <f aca="false">(F1575-INDEX('Cohort Summary'!$H$5:$H$14,MATCH($A1575,'Cohort Summary'!$A$5:$A$14,0)))/INDEX('Cohort Summary'!$I$5:$I$14,MATCH($A1575,'Cohort Summary'!$A$5:$A$14,0))</f>
        <v>-0.45578231292517</v>
      </c>
      <c r="L1575" s="42" t="n">
        <f aca="false">(G1575-INDEX('Cohort Summary'!$J$5:$J$14,MATCH($A1575,'Cohort Summary'!$A$5:$A$14,0)))/INDEX('Cohort Summary'!$K$5:$K$14,MATCH($A1575,'Cohort Summary'!$A$5:$A$14,0))</f>
        <v>1.53448275862069</v>
      </c>
      <c r="M1575" s="42" t="n">
        <f aca="false">MAX(I1575:K1575)</f>
        <v>0.885714285714285</v>
      </c>
      <c r="N1575" s="27" t="s">
        <v>197</v>
      </c>
      <c r="O1575" s="27"/>
      <c r="P1575" s="27" t="str">
        <f aca="false">A1575&amp;"|"&amp;N1575</f>
        <v>NURSE-08|normal</v>
      </c>
    </row>
    <row r="1576" customFormat="false" ht="15" hidden="false" customHeight="true" outlineLevel="0" collapsed="false">
      <c r="A1576" s="27" t="s">
        <v>98</v>
      </c>
      <c r="B1576" s="41" t="n">
        <v>46303.3520833333</v>
      </c>
      <c r="C1576" s="27" t="s">
        <v>200</v>
      </c>
      <c r="D1576" s="27" t="n">
        <v>38.3</v>
      </c>
      <c r="E1576" s="27" t="n">
        <v>16.4</v>
      </c>
      <c r="F1576" s="27" t="n">
        <v>35.5</v>
      </c>
      <c r="G1576" s="27" t="n">
        <v>32.6</v>
      </c>
      <c r="H1576" s="27" t="s">
        <v>199</v>
      </c>
      <c r="I1576" s="42" t="n">
        <f aca="false">(D1576-INDEX('Cohort Summary'!$D$5:$D$14,MATCH($A1576,'Cohort Summary'!$A$5:$A$14,0)))/INDEX('Cohort Summary'!$E$5:$E$14,MATCH($A1576,'Cohort Summary'!$A$5:$A$14,0))</f>
        <v>0.0999999999999979</v>
      </c>
      <c r="J1576" s="42" t="n">
        <f aca="false">(E1576-INDEX('Cohort Summary'!$F$5:$F$14,MATCH($A1576,'Cohort Summary'!$A$5:$A$14,0)))/INDEX('Cohort Summary'!$G$5:$G$14,MATCH($A1576,'Cohort Summary'!$A$5:$A$14,0))</f>
        <v>-0.583756345177666</v>
      </c>
      <c r="K1576" s="42" t="n">
        <f aca="false">(F1576-INDEX('Cohort Summary'!$H$5:$H$14,MATCH($A1576,'Cohort Summary'!$A$5:$A$14,0)))/INDEX('Cohort Summary'!$I$5:$I$14,MATCH($A1576,'Cohort Summary'!$A$5:$A$14,0))</f>
        <v>1.51700680272109</v>
      </c>
      <c r="L1576" s="42" t="n">
        <f aca="false">(G1576-INDEX('Cohort Summary'!$J$5:$J$14,MATCH($A1576,'Cohort Summary'!$A$5:$A$14,0)))/INDEX('Cohort Summary'!$K$5:$K$14,MATCH($A1576,'Cohort Summary'!$A$5:$A$14,0))</f>
        <v>-0.362068965517243</v>
      </c>
      <c r="M1576" s="42" t="n">
        <f aca="false">MAX(I1576:K1576)</f>
        <v>1.51700680272109</v>
      </c>
      <c r="N1576" s="27" t="s">
        <v>197</v>
      </c>
      <c r="O1576" s="27"/>
      <c r="P1576" s="27" t="str">
        <f aca="false">A1576&amp;"|"&amp;N1576</f>
        <v>NURSE-08|normal</v>
      </c>
    </row>
    <row r="1577" customFormat="false" ht="15" hidden="false" customHeight="true" outlineLevel="0" collapsed="false">
      <c r="A1577" s="27" t="s">
        <v>98</v>
      </c>
      <c r="B1577" s="41" t="n">
        <v>46303.3524305556</v>
      </c>
      <c r="C1577" s="27" t="s">
        <v>200</v>
      </c>
      <c r="D1577" s="27" t="n">
        <v>38.6</v>
      </c>
      <c r="E1577" s="27" t="n">
        <v>21</v>
      </c>
      <c r="F1577" s="27" t="n">
        <v>32.9</v>
      </c>
      <c r="G1577" s="27" t="n">
        <v>32.1</v>
      </c>
      <c r="H1577" s="27" t="s">
        <v>196</v>
      </c>
      <c r="I1577" s="42" t="n">
        <f aca="false">(D1577-INDEX('Cohort Summary'!$D$5:$D$14,MATCH($A1577,'Cohort Summary'!$A$5:$A$14,0)))/INDEX('Cohort Summary'!$E$5:$E$14,MATCH($A1577,'Cohort Summary'!$A$5:$A$14,0))</f>
        <v>0.207142857142857</v>
      </c>
      <c r="J1577" s="42" t="n">
        <f aca="false">(E1577-INDEX('Cohort Summary'!$F$5:$F$14,MATCH($A1577,'Cohort Summary'!$A$5:$A$14,0)))/INDEX('Cohort Summary'!$G$5:$G$14,MATCH($A1577,'Cohort Summary'!$A$5:$A$14,0))</f>
        <v>1.75126903553299</v>
      </c>
      <c r="K1577" s="42" t="n">
        <f aca="false">(F1577-INDEX('Cohort Summary'!$H$5:$H$14,MATCH($A1577,'Cohort Summary'!$A$5:$A$14,0)))/INDEX('Cohort Summary'!$I$5:$I$14,MATCH($A1577,'Cohort Summary'!$A$5:$A$14,0))</f>
        <v>0.63265306122449</v>
      </c>
      <c r="L1577" s="42" t="n">
        <f aca="false">(G1577-INDEX('Cohort Summary'!$J$5:$J$14,MATCH($A1577,'Cohort Summary'!$A$5:$A$14,0)))/INDEX('Cohort Summary'!$K$5:$K$14,MATCH($A1577,'Cohort Summary'!$A$5:$A$14,0))</f>
        <v>-1.22413793103448</v>
      </c>
      <c r="M1577" s="42" t="n">
        <f aca="false">MAX(I1577:K1577)</f>
        <v>1.75126903553299</v>
      </c>
      <c r="N1577" s="27" t="s">
        <v>197</v>
      </c>
      <c r="O1577" s="27"/>
      <c r="P1577" s="27" t="str">
        <f aca="false">A1577&amp;"|"&amp;N1577</f>
        <v>NURSE-08|normal</v>
      </c>
    </row>
    <row r="1578" customFormat="false" ht="15" hidden="false" customHeight="true" outlineLevel="0" collapsed="false">
      <c r="A1578" s="27" t="s">
        <v>98</v>
      </c>
      <c r="B1578" s="41" t="n">
        <v>46303.3527777778</v>
      </c>
      <c r="C1578" s="27" t="s">
        <v>200</v>
      </c>
      <c r="D1578" s="27" t="n">
        <v>38.4</v>
      </c>
      <c r="E1578" s="27" t="n">
        <v>19</v>
      </c>
      <c r="F1578" s="27" t="n">
        <v>32.4</v>
      </c>
      <c r="G1578" s="27" t="n">
        <v>33.7</v>
      </c>
      <c r="H1578" s="27" t="s">
        <v>199</v>
      </c>
      <c r="I1578" s="42" t="n">
        <f aca="false">(D1578-INDEX('Cohort Summary'!$D$5:$D$14,MATCH($A1578,'Cohort Summary'!$A$5:$A$14,0)))/INDEX('Cohort Summary'!$E$5:$E$14,MATCH($A1578,'Cohort Summary'!$A$5:$A$14,0))</f>
        <v>0.135714285714284</v>
      </c>
      <c r="J1578" s="42" t="n">
        <f aca="false">(E1578-INDEX('Cohort Summary'!$F$5:$F$14,MATCH($A1578,'Cohort Summary'!$A$5:$A$14,0)))/INDEX('Cohort Summary'!$G$5:$G$14,MATCH($A1578,'Cohort Summary'!$A$5:$A$14,0))</f>
        <v>0.736040609137056</v>
      </c>
      <c r="K1578" s="42" t="n">
        <f aca="false">(F1578-INDEX('Cohort Summary'!$H$5:$H$14,MATCH($A1578,'Cohort Summary'!$A$5:$A$14,0)))/INDEX('Cohort Summary'!$I$5:$I$14,MATCH($A1578,'Cohort Summary'!$A$5:$A$14,0))</f>
        <v>0.462585034013605</v>
      </c>
      <c r="L1578" s="42" t="n">
        <f aca="false">(G1578-INDEX('Cohort Summary'!$J$5:$J$14,MATCH($A1578,'Cohort Summary'!$A$5:$A$14,0)))/INDEX('Cohort Summary'!$K$5:$K$14,MATCH($A1578,'Cohort Summary'!$A$5:$A$14,0))</f>
        <v>1.53448275862069</v>
      </c>
      <c r="M1578" s="42" t="n">
        <f aca="false">MAX(I1578:K1578)</f>
        <v>0.736040609137056</v>
      </c>
      <c r="N1578" s="27" t="s">
        <v>197</v>
      </c>
      <c r="O1578" s="27"/>
      <c r="P1578" s="27" t="str">
        <f aca="false">A1578&amp;"|"&amp;N1578</f>
        <v>NURSE-08|normal</v>
      </c>
    </row>
    <row r="1579" customFormat="false" ht="15" hidden="false" customHeight="true" outlineLevel="0" collapsed="false">
      <c r="A1579" s="27" t="s">
        <v>98</v>
      </c>
      <c r="B1579" s="41" t="n">
        <v>46303.353125</v>
      </c>
      <c r="C1579" s="27" t="s">
        <v>200</v>
      </c>
      <c r="D1579" s="27" t="n">
        <v>40.6</v>
      </c>
      <c r="E1579" s="27" t="n">
        <v>15.5</v>
      </c>
      <c r="F1579" s="27" t="n">
        <v>31.7</v>
      </c>
      <c r="G1579" s="27" t="n">
        <v>32.7</v>
      </c>
      <c r="H1579" s="27" t="s">
        <v>198</v>
      </c>
      <c r="I1579" s="42" t="n">
        <f aca="false">(D1579-INDEX('Cohort Summary'!$D$5:$D$14,MATCH($A1579,'Cohort Summary'!$A$5:$A$14,0)))/INDEX('Cohort Summary'!$E$5:$E$14,MATCH($A1579,'Cohort Summary'!$A$5:$A$14,0))</f>
        <v>0.921428571428571</v>
      </c>
      <c r="J1579" s="42" t="n">
        <f aca="false">(E1579-INDEX('Cohort Summary'!$F$5:$F$14,MATCH($A1579,'Cohort Summary'!$A$5:$A$14,0)))/INDEX('Cohort Summary'!$G$5:$G$14,MATCH($A1579,'Cohort Summary'!$A$5:$A$14,0))</f>
        <v>-1.04060913705584</v>
      </c>
      <c r="K1579" s="42" t="n">
        <f aca="false">(F1579-INDEX('Cohort Summary'!$H$5:$H$14,MATCH($A1579,'Cohort Summary'!$A$5:$A$14,0)))/INDEX('Cohort Summary'!$I$5:$I$14,MATCH($A1579,'Cohort Summary'!$A$5:$A$14,0))</f>
        <v>0.224489795918367</v>
      </c>
      <c r="L1579" s="42" t="n">
        <f aca="false">(G1579-INDEX('Cohort Summary'!$J$5:$J$14,MATCH($A1579,'Cohort Summary'!$A$5:$A$14,0)))/INDEX('Cohort Summary'!$K$5:$K$14,MATCH($A1579,'Cohort Summary'!$A$5:$A$14,0))</f>
        <v>-0.189655172413792</v>
      </c>
      <c r="M1579" s="42" t="n">
        <f aca="false">MAX(I1579:K1579)</f>
        <v>0.921428571428571</v>
      </c>
      <c r="N1579" s="27" t="s">
        <v>197</v>
      </c>
      <c r="O1579" s="27"/>
      <c r="P1579" s="27" t="str">
        <f aca="false">A1579&amp;"|"&amp;N1579</f>
        <v>NURSE-08|normal</v>
      </c>
    </row>
    <row r="1580" customFormat="false" ht="15" hidden="false" customHeight="true" outlineLevel="0" collapsed="false">
      <c r="A1580" s="27" t="s">
        <v>98</v>
      </c>
      <c r="B1580" s="41" t="n">
        <v>46303.3534722222</v>
      </c>
      <c r="C1580" s="27" t="s">
        <v>200</v>
      </c>
      <c r="D1580" s="27" t="n">
        <v>37.3</v>
      </c>
      <c r="E1580" s="27" t="n">
        <v>17.3</v>
      </c>
      <c r="F1580" s="27" t="n">
        <v>33.4</v>
      </c>
      <c r="G1580" s="27" t="n">
        <v>31.9</v>
      </c>
      <c r="H1580" s="27" t="s">
        <v>199</v>
      </c>
      <c r="I1580" s="42" t="n">
        <f aca="false">(D1580-INDEX('Cohort Summary'!$D$5:$D$14,MATCH($A1580,'Cohort Summary'!$A$5:$A$14,0)))/INDEX('Cohort Summary'!$E$5:$E$14,MATCH($A1580,'Cohort Summary'!$A$5:$A$14,0))</f>
        <v>-0.257142857142859</v>
      </c>
      <c r="J1580" s="42" t="n">
        <f aca="false">(E1580-INDEX('Cohort Summary'!$F$5:$F$14,MATCH($A1580,'Cohort Summary'!$A$5:$A$14,0)))/INDEX('Cohort Summary'!$G$5:$G$14,MATCH($A1580,'Cohort Summary'!$A$5:$A$14,0))</f>
        <v>-0.126903553299492</v>
      </c>
      <c r="K1580" s="42" t="n">
        <f aca="false">(F1580-INDEX('Cohort Summary'!$H$5:$H$14,MATCH($A1580,'Cohort Summary'!$A$5:$A$14,0)))/INDEX('Cohort Summary'!$I$5:$I$14,MATCH($A1580,'Cohort Summary'!$A$5:$A$14,0))</f>
        <v>0.802721088435374</v>
      </c>
      <c r="L1580" s="42" t="n">
        <f aca="false">(G1580-INDEX('Cohort Summary'!$J$5:$J$14,MATCH($A1580,'Cohort Summary'!$A$5:$A$14,0)))/INDEX('Cohort Summary'!$K$5:$K$14,MATCH($A1580,'Cohort Summary'!$A$5:$A$14,0))</f>
        <v>-1.56896551724139</v>
      </c>
      <c r="M1580" s="42" t="n">
        <f aca="false">MAX(I1580:K1580)</f>
        <v>0.802721088435374</v>
      </c>
      <c r="N1580" s="27" t="s">
        <v>197</v>
      </c>
      <c r="O1580" s="27"/>
      <c r="P1580" s="27" t="str">
        <f aca="false">A1580&amp;"|"&amp;N1580</f>
        <v>NURSE-08|normal</v>
      </c>
    </row>
    <row r="1581" customFormat="false" ht="15" hidden="false" customHeight="true" outlineLevel="0" collapsed="false">
      <c r="A1581" s="27" t="s">
        <v>98</v>
      </c>
      <c r="B1581" s="41" t="n">
        <v>46303.3538194444</v>
      </c>
      <c r="C1581" s="27" t="s">
        <v>200</v>
      </c>
      <c r="D1581" s="27" t="n">
        <v>37.1</v>
      </c>
      <c r="E1581" s="27" t="n">
        <v>15.9</v>
      </c>
      <c r="F1581" s="27" t="n">
        <v>29</v>
      </c>
      <c r="G1581" s="27" t="n">
        <v>33.7</v>
      </c>
      <c r="H1581" s="27" t="s">
        <v>199</v>
      </c>
      <c r="I1581" s="42" t="n">
        <f aca="false">(D1581-INDEX('Cohort Summary'!$D$5:$D$14,MATCH($A1581,'Cohort Summary'!$A$5:$A$14,0)))/INDEX('Cohort Summary'!$E$5:$E$14,MATCH($A1581,'Cohort Summary'!$A$5:$A$14,0))</f>
        <v>-0.328571428571429</v>
      </c>
      <c r="J1581" s="42" t="n">
        <f aca="false">(E1581-INDEX('Cohort Summary'!$F$5:$F$14,MATCH($A1581,'Cohort Summary'!$A$5:$A$14,0)))/INDEX('Cohort Summary'!$G$5:$G$14,MATCH($A1581,'Cohort Summary'!$A$5:$A$14,0))</f>
        <v>-0.83756345177665</v>
      </c>
      <c r="K1581" s="42" t="n">
        <f aca="false">(F1581-INDEX('Cohort Summary'!$H$5:$H$14,MATCH($A1581,'Cohort Summary'!$A$5:$A$14,0)))/INDEX('Cohort Summary'!$I$5:$I$14,MATCH($A1581,'Cohort Summary'!$A$5:$A$14,0))</f>
        <v>-0.693877551020408</v>
      </c>
      <c r="L1581" s="42" t="n">
        <f aca="false">(G1581-INDEX('Cohort Summary'!$J$5:$J$14,MATCH($A1581,'Cohort Summary'!$A$5:$A$14,0)))/INDEX('Cohort Summary'!$K$5:$K$14,MATCH($A1581,'Cohort Summary'!$A$5:$A$14,0))</f>
        <v>1.53448275862069</v>
      </c>
      <c r="M1581" s="42" t="n">
        <f aca="false">MAX(I1581:K1581)</f>
        <v>-0.328571428571429</v>
      </c>
      <c r="N1581" s="27" t="s">
        <v>197</v>
      </c>
      <c r="O1581" s="27"/>
      <c r="P1581" s="27" t="str">
        <f aca="false">A1581&amp;"|"&amp;N1581</f>
        <v>NURSE-08|normal</v>
      </c>
    </row>
    <row r="1582" customFormat="false" ht="15" hidden="false" customHeight="true" outlineLevel="0" collapsed="false">
      <c r="A1582" s="27" t="s">
        <v>98</v>
      </c>
      <c r="B1582" s="41" t="n">
        <v>46303.3541666667</v>
      </c>
      <c r="C1582" s="27" t="s">
        <v>200</v>
      </c>
      <c r="D1582" s="27" t="n">
        <v>41</v>
      </c>
      <c r="E1582" s="27" t="n">
        <v>15.8</v>
      </c>
      <c r="F1582" s="27" t="n">
        <v>32.7</v>
      </c>
      <c r="G1582" s="27" t="n">
        <v>32.8</v>
      </c>
      <c r="H1582" s="27" t="s">
        <v>198</v>
      </c>
      <c r="I1582" s="42" t="n">
        <f aca="false">(D1582-INDEX('Cohort Summary'!$D$5:$D$14,MATCH($A1582,'Cohort Summary'!$A$5:$A$14,0)))/INDEX('Cohort Summary'!$E$5:$E$14,MATCH($A1582,'Cohort Summary'!$A$5:$A$14,0))</f>
        <v>1.06428571428571</v>
      </c>
      <c r="J1582" s="42" t="n">
        <f aca="false">(E1582-INDEX('Cohort Summary'!$F$5:$F$14,MATCH($A1582,'Cohort Summary'!$A$5:$A$14,0)))/INDEX('Cohort Summary'!$G$5:$G$14,MATCH($A1582,'Cohort Summary'!$A$5:$A$14,0))</f>
        <v>-0.888324873096447</v>
      </c>
      <c r="K1582" s="42" t="n">
        <f aca="false">(F1582-INDEX('Cohort Summary'!$H$5:$H$14,MATCH($A1582,'Cohort Summary'!$A$5:$A$14,0)))/INDEX('Cohort Summary'!$I$5:$I$14,MATCH($A1582,'Cohort Summary'!$A$5:$A$14,0))</f>
        <v>0.564625850340137</v>
      </c>
      <c r="L1582" s="42" t="n">
        <f aca="false">(G1582-INDEX('Cohort Summary'!$J$5:$J$14,MATCH($A1582,'Cohort Summary'!$A$5:$A$14,0)))/INDEX('Cohort Summary'!$K$5:$K$14,MATCH($A1582,'Cohort Summary'!$A$5:$A$14,0))</f>
        <v>-0.0172413793103537</v>
      </c>
      <c r="M1582" s="42" t="n">
        <f aca="false">MAX(I1582:K1582)</f>
        <v>1.06428571428571</v>
      </c>
      <c r="N1582" s="27" t="s">
        <v>197</v>
      </c>
      <c r="O1582" s="27"/>
      <c r="P1582" s="27" t="str">
        <f aca="false">A1582&amp;"|"&amp;N1582</f>
        <v>NURSE-08|normal</v>
      </c>
    </row>
    <row r="1583" customFormat="false" ht="15" hidden="false" customHeight="true" outlineLevel="0" collapsed="false">
      <c r="A1583" s="27" t="s">
        <v>98</v>
      </c>
      <c r="B1583" s="41" t="n">
        <v>46303.3545138889</v>
      </c>
      <c r="C1583" s="27" t="s">
        <v>200</v>
      </c>
      <c r="D1583" s="27" t="n">
        <v>37.5</v>
      </c>
      <c r="E1583" s="27" t="n">
        <v>16.5</v>
      </c>
      <c r="F1583" s="27" t="n">
        <v>26.3</v>
      </c>
      <c r="G1583" s="27" t="n">
        <v>32.7</v>
      </c>
      <c r="H1583" s="27" t="s">
        <v>196</v>
      </c>
      <c r="I1583" s="42" t="n">
        <f aca="false">(D1583-INDEX('Cohort Summary'!$D$5:$D$14,MATCH($A1583,'Cohort Summary'!$A$5:$A$14,0)))/INDEX('Cohort Summary'!$E$5:$E$14,MATCH($A1583,'Cohort Summary'!$A$5:$A$14,0))</f>
        <v>-0.185714285714287</v>
      </c>
      <c r="J1583" s="42" t="n">
        <f aca="false">(E1583-INDEX('Cohort Summary'!$F$5:$F$14,MATCH($A1583,'Cohort Summary'!$A$5:$A$14,0)))/INDEX('Cohort Summary'!$G$5:$G$14,MATCH($A1583,'Cohort Summary'!$A$5:$A$14,0))</f>
        <v>-0.532994923857868</v>
      </c>
      <c r="K1583" s="42" t="n">
        <f aca="false">(F1583-INDEX('Cohort Summary'!$H$5:$H$14,MATCH($A1583,'Cohort Summary'!$A$5:$A$14,0)))/INDEX('Cohort Summary'!$I$5:$I$14,MATCH($A1583,'Cohort Summary'!$A$5:$A$14,0))</f>
        <v>-1.61224489795918</v>
      </c>
      <c r="L1583" s="42" t="n">
        <f aca="false">(G1583-INDEX('Cohort Summary'!$J$5:$J$14,MATCH($A1583,'Cohort Summary'!$A$5:$A$14,0)))/INDEX('Cohort Summary'!$K$5:$K$14,MATCH($A1583,'Cohort Summary'!$A$5:$A$14,0))</f>
        <v>-0.189655172413792</v>
      </c>
      <c r="M1583" s="42" t="n">
        <f aca="false">MAX(I1583:K1583)</f>
        <v>-0.185714285714287</v>
      </c>
      <c r="N1583" s="27" t="s">
        <v>197</v>
      </c>
      <c r="O1583" s="27"/>
      <c r="P1583" s="27" t="str">
        <f aca="false">A1583&amp;"|"&amp;N1583</f>
        <v>NURSE-08|normal</v>
      </c>
    </row>
    <row r="1584" customFormat="false" ht="15" hidden="false" customHeight="true" outlineLevel="0" collapsed="false">
      <c r="A1584" s="27" t="s">
        <v>98</v>
      </c>
      <c r="B1584" s="41" t="n">
        <v>46303.3548611111</v>
      </c>
      <c r="C1584" s="27" t="s">
        <v>200</v>
      </c>
      <c r="D1584" s="27" t="n">
        <v>41.3</v>
      </c>
      <c r="E1584" s="27" t="n">
        <v>16.1</v>
      </c>
      <c r="F1584" s="27" t="n">
        <v>30.9</v>
      </c>
      <c r="G1584" s="27" t="n">
        <v>31.9</v>
      </c>
      <c r="H1584" s="27" t="s">
        <v>198</v>
      </c>
      <c r="I1584" s="42" t="n">
        <f aca="false">(D1584-INDEX('Cohort Summary'!$D$5:$D$14,MATCH($A1584,'Cohort Summary'!$A$5:$A$14,0)))/INDEX('Cohort Summary'!$E$5:$E$14,MATCH($A1584,'Cohort Summary'!$A$5:$A$14,0))</f>
        <v>1.17142857142857</v>
      </c>
      <c r="J1584" s="42" t="n">
        <f aca="false">(E1584-INDEX('Cohort Summary'!$F$5:$F$14,MATCH($A1584,'Cohort Summary'!$A$5:$A$14,0)))/INDEX('Cohort Summary'!$G$5:$G$14,MATCH($A1584,'Cohort Summary'!$A$5:$A$14,0))</f>
        <v>-0.736040609137056</v>
      </c>
      <c r="K1584" s="42" t="n">
        <f aca="false">(F1584-INDEX('Cohort Summary'!$H$5:$H$14,MATCH($A1584,'Cohort Summary'!$A$5:$A$14,0)))/INDEX('Cohort Summary'!$I$5:$I$14,MATCH($A1584,'Cohort Summary'!$A$5:$A$14,0))</f>
        <v>-0.0476190476190478</v>
      </c>
      <c r="L1584" s="42" t="n">
        <f aca="false">(G1584-INDEX('Cohort Summary'!$J$5:$J$14,MATCH($A1584,'Cohort Summary'!$A$5:$A$14,0)))/INDEX('Cohort Summary'!$K$5:$K$14,MATCH($A1584,'Cohort Summary'!$A$5:$A$14,0))</f>
        <v>-1.56896551724139</v>
      </c>
      <c r="M1584" s="42" t="n">
        <f aca="false">MAX(I1584:K1584)</f>
        <v>1.17142857142857</v>
      </c>
      <c r="N1584" s="27" t="s">
        <v>197</v>
      </c>
      <c r="O1584" s="27"/>
      <c r="P1584" s="27" t="str">
        <f aca="false">A1584&amp;"|"&amp;N1584</f>
        <v>NURSE-08|normal</v>
      </c>
    </row>
    <row r="1585" customFormat="false" ht="15" hidden="false" customHeight="true" outlineLevel="0" collapsed="false">
      <c r="A1585" s="27" t="s">
        <v>98</v>
      </c>
      <c r="B1585" s="41" t="n">
        <v>46303.3552083333</v>
      </c>
      <c r="C1585" s="27" t="s">
        <v>200</v>
      </c>
      <c r="D1585" s="27" t="n">
        <v>37.4</v>
      </c>
      <c r="E1585" s="27" t="n">
        <v>20.8</v>
      </c>
      <c r="F1585" s="27" t="n">
        <v>30.8</v>
      </c>
      <c r="G1585" s="27" t="n">
        <v>32.4</v>
      </c>
      <c r="H1585" s="27" t="s">
        <v>199</v>
      </c>
      <c r="I1585" s="42" t="n">
        <f aca="false">(D1585-INDEX('Cohort Summary'!$D$5:$D$14,MATCH($A1585,'Cohort Summary'!$A$5:$A$14,0)))/INDEX('Cohort Summary'!$E$5:$E$14,MATCH($A1585,'Cohort Summary'!$A$5:$A$14,0))</f>
        <v>-0.221428571428573</v>
      </c>
      <c r="J1585" s="42" t="n">
        <f aca="false">(E1585-INDEX('Cohort Summary'!$F$5:$F$14,MATCH($A1585,'Cohort Summary'!$A$5:$A$14,0)))/INDEX('Cohort Summary'!$G$5:$G$14,MATCH($A1585,'Cohort Summary'!$A$5:$A$14,0))</f>
        <v>1.6497461928934</v>
      </c>
      <c r="K1585" s="42" t="n">
        <f aca="false">(F1585-INDEX('Cohort Summary'!$H$5:$H$14,MATCH($A1585,'Cohort Summary'!$A$5:$A$14,0)))/INDEX('Cohort Summary'!$I$5:$I$14,MATCH($A1585,'Cohort Summary'!$A$5:$A$14,0))</f>
        <v>-0.081632653061224</v>
      </c>
      <c r="L1585" s="42" t="n">
        <f aca="false">(G1585-INDEX('Cohort Summary'!$J$5:$J$14,MATCH($A1585,'Cohort Summary'!$A$5:$A$14,0)))/INDEX('Cohort Summary'!$K$5:$K$14,MATCH($A1585,'Cohort Summary'!$A$5:$A$14,0))</f>
        <v>-0.706896551724144</v>
      </c>
      <c r="M1585" s="42" t="n">
        <f aca="false">MAX(I1585:K1585)</f>
        <v>1.6497461928934</v>
      </c>
      <c r="N1585" s="27" t="s">
        <v>197</v>
      </c>
      <c r="O1585" s="27"/>
      <c r="P1585" s="27" t="str">
        <f aca="false">A1585&amp;"|"&amp;N1585</f>
        <v>NURSE-08|normal</v>
      </c>
    </row>
    <row r="1586" customFormat="false" ht="15" hidden="false" customHeight="true" outlineLevel="0" collapsed="false">
      <c r="A1586" s="27" t="s">
        <v>98</v>
      </c>
      <c r="B1586" s="41" t="n">
        <v>46303.3555555556</v>
      </c>
      <c r="C1586" s="27" t="s">
        <v>200</v>
      </c>
      <c r="D1586" s="27" t="n">
        <v>36.9</v>
      </c>
      <c r="E1586" s="27" t="n">
        <v>14.9</v>
      </c>
      <c r="F1586" s="27" t="n">
        <v>26.2</v>
      </c>
      <c r="G1586" s="27" t="n">
        <v>32.9</v>
      </c>
      <c r="H1586" s="27" t="s">
        <v>199</v>
      </c>
      <c r="I1586" s="42" t="n">
        <f aca="false">(D1586-INDEX('Cohort Summary'!$D$5:$D$14,MATCH($A1586,'Cohort Summary'!$A$5:$A$14,0)))/INDEX('Cohort Summary'!$E$5:$E$14,MATCH($A1586,'Cohort Summary'!$A$5:$A$14,0))</f>
        <v>-0.400000000000002</v>
      </c>
      <c r="J1586" s="42" t="n">
        <f aca="false">(E1586-INDEX('Cohort Summary'!$F$5:$F$14,MATCH($A1586,'Cohort Summary'!$A$5:$A$14,0)))/INDEX('Cohort Summary'!$G$5:$G$14,MATCH($A1586,'Cohort Summary'!$A$5:$A$14,0))</f>
        <v>-1.34517766497462</v>
      </c>
      <c r="K1586" s="42" t="n">
        <f aca="false">(F1586-INDEX('Cohort Summary'!$H$5:$H$14,MATCH($A1586,'Cohort Summary'!$A$5:$A$14,0)))/INDEX('Cohort Summary'!$I$5:$I$14,MATCH($A1586,'Cohort Summary'!$A$5:$A$14,0))</f>
        <v>-1.64625850340136</v>
      </c>
      <c r="L1586" s="42" t="n">
        <f aca="false">(G1586-INDEX('Cohort Summary'!$J$5:$J$14,MATCH($A1586,'Cohort Summary'!$A$5:$A$14,0)))/INDEX('Cohort Summary'!$K$5:$K$14,MATCH($A1586,'Cohort Summary'!$A$5:$A$14,0))</f>
        <v>0.155172413793097</v>
      </c>
      <c r="M1586" s="42" t="n">
        <f aca="false">MAX(I1586:K1586)</f>
        <v>-0.400000000000002</v>
      </c>
      <c r="N1586" s="27" t="s">
        <v>197</v>
      </c>
      <c r="O1586" s="27"/>
      <c r="P1586" s="27" t="str">
        <f aca="false">A1586&amp;"|"&amp;N1586</f>
        <v>NURSE-08|normal</v>
      </c>
    </row>
    <row r="1587" customFormat="false" ht="15" hidden="false" customHeight="true" outlineLevel="0" collapsed="false">
      <c r="A1587" s="27" t="s">
        <v>98</v>
      </c>
      <c r="B1587" s="41" t="n">
        <v>46303.3559027778</v>
      </c>
      <c r="C1587" s="27" t="s">
        <v>200</v>
      </c>
      <c r="D1587" s="27" t="n">
        <v>35.8</v>
      </c>
      <c r="E1587" s="27" t="n">
        <v>16.5</v>
      </c>
      <c r="F1587" s="27" t="n">
        <v>29.2</v>
      </c>
      <c r="G1587" s="27" t="n">
        <v>33.3</v>
      </c>
      <c r="H1587" s="27" t="s">
        <v>199</v>
      </c>
      <c r="I1587" s="42" t="n">
        <f aca="false">(D1587-INDEX('Cohort Summary'!$D$5:$D$14,MATCH($A1587,'Cohort Summary'!$A$5:$A$14,0)))/INDEX('Cohort Summary'!$E$5:$E$14,MATCH($A1587,'Cohort Summary'!$A$5:$A$14,0))</f>
        <v>-0.792857142857145</v>
      </c>
      <c r="J1587" s="42" t="n">
        <f aca="false">(E1587-INDEX('Cohort Summary'!$F$5:$F$14,MATCH($A1587,'Cohort Summary'!$A$5:$A$14,0)))/INDEX('Cohort Summary'!$G$5:$G$14,MATCH($A1587,'Cohort Summary'!$A$5:$A$14,0))</f>
        <v>-0.532994923857868</v>
      </c>
      <c r="K1587" s="42" t="n">
        <f aca="false">(F1587-INDEX('Cohort Summary'!$H$5:$H$14,MATCH($A1587,'Cohort Summary'!$A$5:$A$14,0)))/INDEX('Cohort Summary'!$I$5:$I$14,MATCH($A1587,'Cohort Summary'!$A$5:$A$14,0))</f>
        <v>-0.625850340136054</v>
      </c>
      <c r="L1587" s="42" t="n">
        <f aca="false">(G1587-INDEX('Cohort Summary'!$J$5:$J$14,MATCH($A1587,'Cohort Summary'!$A$5:$A$14,0)))/INDEX('Cohort Summary'!$K$5:$K$14,MATCH($A1587,'Cohort Summary'!$A$5:$A$14,0))</f>
        <v>0.844827586206888</v>
      </c>
      <c r="M1587" s="42" t="n">
        <f aca="false">MAX(I1587:K1587)</f>
        <v>-0.532994923857868</v>
      </c>
      <c r="N1587" s="27" t="s">
        <v>197</v>
      </c>
      <c r="O1587" s="27"/>
      <c r="P1587" s="27" t="str">
        <f aca="false">A1587&amp;"|"&amp;N1587</f>
        <v>NURSE-08|normal</v>
      </c>
    </row>
    <row r="1588" customFormat="false" ht="15" hidden="false" customHeight="true" outlineLevel="0" collapsed="false">
      <c r="A1588" s="27" t="s">
        <v>98</v>
      </c>
      <c r="B1588" s="41" t="n">
        <v>46303.35625</v>
      </c>
      <c r="C1588" s="27" t="s">
        <v>200</v>
      </c>
      <c r="D1588" s="27" t="n">
        <v>39</v>
      </c>
      <c r="E1588" s="27" t="n">
        <v>19.7</v>
      </c>
      <c r="F1588" s="27" t="n">
        <v>27.5</v>
      </c>
      <c r="G1588" s="27" t="n">
        <v>33.7</v>
      </c>
      <c r="H1588" s="27" t="s">
        <v>199</v>
      </c>
      <c r="I1588" s="42" t="n">
        <f aca="false">(D1588-INDEX('Cohort Summary'!$D$5:$D$14,MATCH($A1588,'Cohort Summary'!$A$5:$A$14,0)))/INDEX('Cohort Summary'!$E$5:$E$14,MATCH($A1588,'Cohort Summary'!$A$5:$A$14,0))</f>
        <v>0.349999999999999</v>
      </c>
      <c r="J1588" s="42" t="n">
        <f aca="false">(E1588-INDEX('Cohort Summary'!$F$5:$F$14,MATCH($A1588,'Cohort Summary'!$A$5:$A$14,0)))/INDEX('Cohort Summary'!$G$5:$G$14,MATCH($A1588,'Cohort Summary'!$A$5:$A$14,0))</f>
        <v>1.09137055837563</v>
      </c>
      <c r="K1588" s="42" t="n">
        <f aca="false">(F1588-INDEX('Cohort Summary'!$H$5:$H$14,MATCH($A1588,'Cohort Summary'!$A$5:$A$14,0)))/INDEX('Cohort Summary'!$I$5:$I$14,MATCH($A1588,'Cohort Summary'!$A$5:$A$14,0))</f>
        <v>-1.20408163265306</v>
      </c>
      <c r="L1588" s="42" t="n">
        <f aca="false">(G1588-INDEX('Cohort Summary'!$J$5:$J$14,MATCH($A1588,'Cohort Summary'!$A$5:$A$14,0)))/INDEX('Cohort Summary'!$K$5:$K$14,MATCH($A1588,'Cohort Summary'!$A$5:$A$14,0))</f>
        <v>1.53448275862069</v>
      </c>
      <c r="M1588" s="42" t="n">
        <f aca="false">MAX(I1588:K1588)</f>
        <v>1.09137055837563</v>
      </c>
      <c r="N1588" s="27" t="s">
        <v>197</v>
      </c>
      <c r="O1588" s="27"/>
      <c r="P1588" s="27" t="str">
        <f aca="false">A1588&amp;"|"&amp;N1588</f>
        <v>NURSE-08|normal</v>
      </c>
    </row>
    <row r="1589" customFormat="false" ht="15" hidden="false" customHeight="true" outlineLevel="0" collapsed="false">
      <c r="A1589" s="27" t="s">
        <v>98</v>
      </c>
      <c r="B1589" s="41" t="n">
        <v>46303.3565972222</v>
      </c>
      <c r="C1589" s="27" t="s">
        <v>200</v>
      </c>
      <c r="D1589" s="27" t="n">
        <v>35.2</v>
      </c>
      <c r="E1589" s="27" t="n">
        <v>16.3</v>
      </c>
      <c r="F1589" s="27" t="n">
        <v>27.3</v>
      </c>
      <c r="G1589" s="27" t="n">
        <v>32.9</v>
      </c>
      <c r="H1589" s="27" t="s">
        <v>196</v>
      </c>
      <c r="I1589" s="42" t="n">
        <f aca="false">(D1589-INDEX('Cohort Summary'!$D$5:$D$14,MATCH($A1589,'Cohort Summary'!$A$5:$A$14,0)))/INDEX('Cohort Summary'!$E$5:$E$14,MATCH($A1589,'Cohort Summary'!$A$5:$A$14,0))</f>
        <v>-1.00714285714286</v>
      </c>
      <c r="J1589" s="42" t="n">
        <f aca="false">(E1589-INDEX('Cohort Summary'!$F$5:$F$14,MATCH($A1589,'Cohort Summary'!$A$5:$A$14,0)))/INDEX('Cohort Summary'!$G$5:$G$14,MATCH($A1589,'Cohort Summary'!$A$5:$A$14,0))</f>
        <v>-0.634517766497462</v>
      </c>
      <c r="K1589" s="42" t="n">
        <f aca="false">(F1589-INDEX('Cohort Summary'!$H$5:$H$14,MATCH($A1589,'Cohort Summary'!$A$5:$A$14,0)))/INDEX('Cohort Summary'!$I$5:$I$14,MATCH($A1589,'Cohort Summary'!$A$5:$A$14,0))</f>
        <v>-1.27210884353741</v>
      </c>
      <c r="L1589" s="42" t="n">
        <f aca="false">(G1589-INDEX('Cohort Summary'!$J$5:$J$14,MATCH($A1589,'Cohort Summary'!$A$5:$A$14,0)))/INDEX('Cohort Summary'!$K$5:$K$14,MATCH($A1589,'Cohort Summary'!$A$5:$A$14,0))</f>
        <v>0.155172413793097</v>
      </c>
      <c r="M1589" s="42" t="n">
        <f aca="false">MAX(I1589:K1589)</f>
        <v>-0.634517766497462</v>
      </c>
      <c r="N1589" s="27" t="s">
        <v>197</v>
      </c>
      <c r="O1589" s="27"/>
      <c r="P1589" s="27" t="str">
        <f aca="false">A1589&amp;"|"&amp;N1589</f>
        <v>NURSE-08|normal</v>
      </c>
    </row>
    <row r="1590" customFormat="false" ht="15" hidden="false" customHeight="true" outlineLevel="0" collapsed="false">
      <c r="A1590" s="27" t="s">
        <v>98</v>
      </c>
      <c r="B1590" s="41" t="n">
        <v>46303.3569444444</v>
      </c>
      <c r="C1590" s="27" t="s">
        <v>200</v>
      </c>
      <c r="D1590" s="27" t="n">
        <v>38.8</v>
      </c>
      <c r="E1590" s="27" t="n">
        <v>20.7</v>
      </c>
      <c r="F1590" s="27" t="n">
        <v>32.4</v>
      </c>
      <c r="G1590" s="27" t="n">
        <v>33</v>
      </c>
      <c r="H1590" s="27" t="s">
        <v>198</v>
      </c>
      <c r="I1590" s="42" t="n">
        <f aca="false">(D1590-INDEX('Cohort Summary'!$D$5:$D$14,MATCH($A1590,'Cohort Summary'!$A$5:$A$14,0)))/INDEX('Cohort Summary'!$E$5:$E$14,MATCH($A1590,'Cohort Summary'!$A$5:$A$14,0))</f>
        <v>0.278571428571426</v>
      </c>
      <c r="J1590" s="42" t="n">
        <f aca="false">(E1590-INDEX('Cohort Summary'!$F$5:$F$14,MATCH($A1590,'Cohort Summary'!$A$5:$A$14,0)))/INDEX('Cohort Summary'!$G$5:$G$14,MATCH($A1590,'Cohort Summary'!$A$5:$A$14,0))</f>
        <v>1.5989847715736</v>
      </c>
      <c r="K1590" s="42" t="n">
        <f aca="false">(F1590-INDEX('Cohort Summary'!$H$5:$H$14,MATCH($A1590,'Cohort Summary'!$A$5:$A$14,0)))/INDEX('Cohort Summary'!$I$5:$I$14,MATCH($A1590,'Cohort Summary'!$A$5:$A$14,0))</f>
        <v>0.462585034013605</v>
      </c>
      <c r="L1590" s="42" t="n">
        <f aca="false">(G1590-INDEX('Cohort Summary'!$J$5:$J$14,MATCH($A1590,'Cohort Summary'!$A$5:$A$14,0)))/INDEX('Cohort Summary'!$K$5:$K$14,MATCH($A1590,'Cohort Summary'!$A$5:$A$14,0))</f>
        <v>0.327586206896548</v>
      </c>
      <c r="M1590" s="42" t="n">
        <f aca="false">MAX(I1590:K1590)</f>
        <v>1.5989847715736</v>
      </c>
      <c r="N1590" s="27" t="s">
        <v>197</v>
      </c>
      <c r="O1590" s="27"/>
      <c r="P1590" s="27" t="str">
        <f aca="false">A1590&amp;"|"&amp;N1590</f>
        <v>NURSE-08|normal</v>
      </c>
    </row>
    <row r="1591" customFormat="false" ht="15" hidden="false" customHeight="true" outlineLevel="0" collapsed="false">
      <c r="A1591" s="27" t="s">
        <v>98</v>
      </c>
      <c r="B1591" s="41" t="n">
        <v>46303.3572916667</v>
      </c>
      <c r="C1591" s="27" t="s">
        <v>200</v>
      </c>
      <c r="D1591" s="27" t="n">
        <v>36.3</v>
      </c>
      <c r="E1591" s="27" t="n">
        <v>14.3</v>
      </c>
      <c r="F1591" s="27" t="n">
        <v>35.6</v>
      </c>
      <c r="G1591" s="27" t="n">
        <v>32.9</v>
      </c>
      <c r="H1591" s="27" t="s">
        <v>196</v>
      </c>
      <c r="I1591" s="42" t="n">
        <f aca="false">(D1591-INDEX('Cohort Summary'!$D$5:$D$14,MATCH($A1591,'Cohort Summary'!$A$5:$A$14,0)))/INDEX('Cohort Summary'!$E$5:$E$14,MATCH($A1591,'Cohort Summary'!$A$5:$A$14,0))</f>
        <v>-0.614285714285716</v>
      </c>
      <c r="J1591" s="42" t="n">
        <f aca="false">(E1591-INDEX('Cohort Summary'!$F$5:$F$14,MATCH($A1591,'Cohort Summary'!$A$5:$A$14,0)))/INDEX('Cohort Summary'!$G$5:$G$14,MATCH($A1591,'Cohort Summary'!$A$5:$A$14,0))</f>
        <v>-1.6497461928934</v>
      </c>
      <c r="K1591" s="42" t="n">
        <f aca="false">(F1591-INDEX('Cohort Summary'!$H$5:$H$14,MATCH($A1591,'Cohort Summary'!$A$5:$A$14,0)))/INDEX('Cohort Summary'!$I$5:$I$14,MATCH($A1591,'Cohort Summary'!$A$5:$A$14,0))</f>
        <v>1.55102040816327</v>
      </c>
      <c r="L1591" s="42" t="n">
        <f aca="false">(G1591-INDEX('Cohort Summary'!$J$5:$J$14,MATCH($A1591,'Cohort Summary'!$A$5:$A$14,0)))/INDEX('Cohort Summary'!$K$5:$K$14,MATCH($A1591,'Cohort Summary'!$A$5:$A$14,0))</f>
        <v>0.155172413793097</v>
      </c>
      <c r="M1591" s="42" t="n">
        <f aca="false">MAX(I1591:K1591)</f>
        <v>1.55102040816327</v>
      </c>
      <c r="N1591" s="27" t="s">
        <v>197</v>
      </c>
      <c r="O1591" s="27"/>
      <c r="P1591" s="27" t="str">
        <f aca="false">A1591&amp;"|"&amp;N1591</f>
        <v>NURSE-08|normal</v>
      </c>
    </row>
    <row r="1592" customFormat="false" ht="15" hidden="false" customHeight="true" outlineLevel="0" collapsed="false">
      <c r="A1592" s="27" t="s">
        <v>98</v>
      </c>
      <c r="B1592" s="41" t="n">
        <v>46303.3576388889</v>
      </c>
      <c r="C1592" s="27" t="s">
        <v>200</v>
      </c>
      <c r="D1592" s="27" t="n">
        <v>38.6</v>
      </c>
      <c r="E1592" s="27" t="n">
        <v>20.3</v>
      </c>
      <c r="F1592" s="27" t="n">
        <v>29.1</v>
      </c>
      <c r="G1592" s="27" t="n">
        <v>32.6</v>
      </c>
      <c r="H1592" s="27" t="s">
        <v>199</v>
      </c>
      <c r="I1592" s="42" t="n">
        <f aca="false">(D1592-INDEX('Cohort Summary'!$D$5:$D$14,MATCH($A1592,'Cohort Summary'!$A$5:$A$14,0)))/INDEX('Cohort Summary'!$E$5:$E$14,MATCH($A1592,'Cohort Summary'!$A$5:$A$14,0))</f>
        <v>0.207142857142857</v>
      </c>
      <c r="J1592" s="42" t="n">
        <f aca="false">(E1592-INDEX('Cohort Summary'!$F$5:$F$14,MATCH($A1592,'Cohort Summary'!$A$5:$A$14,0)))/INDEX('Cohort Summary'!$G$5:$G$14,MATCH($A1592,'Cohort Summary'!$A$5:$A$14,0))</f>
        <v>1.39593908629442</v>
      </c>
      <c r="K1592" s="42" t="n">
        <f aca="false">(F1592-INDEX('Cohort Summary'!$H$5:$H$14,MATCH($A1592,'Cohort Summary'!$A$5:$A$14,0)))/INDEX('Cohort Summary'!$I$5:$I$14,MATCH($A1592,'Cohort Summary'!$A$5:$A$14,0))</f>
        <v>-0.659863945578231</v>
      </c>
      <c r="L1592" s="42" t="n">
        <f aca="false">(G1592-INDEX('Cohort Summary'!$J$5:$J$14,MATCH($A1592,'Cohort Summary'!$A$5:$A$14,0)))/INDEX('Cohort Summary'!$K$5:$K$14,MATCH($A1592,'Cohort Summary'!$A$5:$A$14,0))</f>
        <v>-0.362068965517243</v>
      </c>
      <c r="M1592" s="42" t="n">
        <f aca="false">MAX(I1592:K1592)</f>
        <v>1.39593908629442</v>
      </c>
      <c r="N1592" s="27" t="s">
        <v>197</v>
      </c>
      <c r="O1592" s="27"/>
      <c r="P1592" s="27" t="str">
        <f aca="false">A1592&amp;"|"&amp;N1592</f>
        <v>NURSE-08|normal</v>
      </c>
    </row>
    <row r="1593" customFormat="false" ht="15" hidden="false" customHeight="true" outlineLevel="0" collapsed="false">
      <c r="A1593" s="27" t="s">
        <v>98</v>
      </c>
      <c r="B1593" s="41" t="n">
        <v>46303.3579861111</v>
      </c>
      <c r="C1593" s="27" t="s">
        <v>200</v>
      </c>
      <c r="D1593" s="27" t="n">
        <v>35.8</v>
      </c>
      <c r="E1593" s="27" t="n">
        <v>20.4</v>
      </c>
      <c r="F1593" s="27" t="n">
        <v>29.7</v>
      </c>
      <c r="G1593" s="27" t="n">
        <v>32.4</v>
      </c>
      <c r="H1593" s="27" t="s">
        <v>198</v>
      </c>
      <c r="I1593" s="42" t="n">
        <f aca="false">(D1593-INDEX('Cohort Summary'!$D$5:$D$14,MATCH($A1593,'Cohort Summary'!$A$5:$A$14,0)))/INDEX('Cohort Summary'!$E$5:$E$14,MATCH($A1593,'Cohort Summary'!$A$5:$A$14,0))</f>
        <v>-0.792857142857145</v>
      </c>
      <c r="J1593" s="42" t="n">
        <f aca="false">(E1593-INDEX('Cohort Summary'!$F$5:$F$14,MATCH($A1593,'Cohort Summary'!$A$5:$A$14,0)))/INDEX('Cohort Summary'!$G$5:$G$14,MATCH($A1593,'Cohort Summary'!$A$5:$A$14,0))</f>
        <v>1.44670050761421</v>
      </c>
      <c r="K1593" s="42" t="n">
        <f aca="false">(F1593-INDEX('Cohort Summary'!$H$5:$H$14,MATCH($A1593,'Cohort Summary'!$A$5:$A$14,0)))/INDEX('Cohort Summary'!$I$5:$I$14,MATCH($A1593,'Cohort Summary'!$A$5:$A$14,0))</f>
        <v>-0.45578231292517</v>
      </c>
      <c r="L1593" s="42" t="n">
        <f aca="false">(G1593-INDEX('Cohort Summary'!$J$5:$J$14,MATCH($A1593,'Cohort Summary'!$A$5:$A$14,0)))/INDEX('Cohort Summary'!$K$5:$K$14,MATCH($A1593,'Cohort Summary'!$A$5:$A$14,0))</f>
        <v>-0.706896551724144</v>
      </c>
      <c r="M1593" s="42" t="n">
        <f aca="false">MAX(I1593:K1593)</f>
        <v>1.44670050761421</v>
      </c>
      <c r="N1593" s="27" t="s">
        <v>197</v>
      </c>
      <c r="O1593" s="27"/>
      <c r="P1593" s="27" t="str">
        <f aca="false">A1593&amp;"|"&amp;N1593</f>
        <v>NURSE-08|normal</v>
      </c>
    </row>
    <row r="1594" customFormat="false" ht="15" hidden="false" customHeight="true" outlineLevel="0" collapsed="false">
      <c r="A1594" s="27" t="s">
        <v>98</v>
      </c>
      <c r="B1594" s="41" t="n">
        <v>46303.3583333333</v>
      </c>
      <c r="C1594" s="27" t="s">
        <v>200</v>
      </c>
      <c r="D1594" s="27" t="n">
        <v>35.2</v>
      </c>
      <c r="E1594" s="27" t="n">
        <v>15.9</v>
      </c>
      <c r="F1594" s="27" t="n">
        <v>30.9</v>
      </c>
      <c r="G1594" s="27" t="n">
        <v>33.8</v>
      </c>
      <c r="H1594" s="27" t="s">
        <v>198</v>
      </c>
      <c r="I1594" s="42" t="n">
        <f aca="false">(D1594-INDEX('Cohort Summary'!$D$5:$D$14,MATCH($A1594,'Cohort Summary'!$A$5:$A$14,0)))/INDEX('Cohort Summary'!$E$5:$E$14,MATCH($A1594,'Cohort Summary'!$A$5:$A$14,0))</f>
        <v>-1.00714285714286</v>
      </c>
      <c r="J1594" s="42" t="n">
        <f aca="false">(E1594-INDEX('Cohort Summary'!$F$5:$F$14,MATCH($A1594,'Cohort Summary'!$A$5:$A$14,0)))/INDEX('Cohort Summary'!$G$5:$G$14,MATCH($A1594,'Cohort Summary'!$A$5:$A$14,0))</f>
        <v>-0.83756345177665</v>
      </c>
      <c r="K1594" s="42" t="n">
        <f aca="false">(F1594-INDEX('Cohort Summary'!$H$5:$H$14,MATCH($A1594,'Cohort Summary'!$A$5:$A$14,0)))/INDEX('Cohort Summary'!$I$5:$I$14,MATCH($A1594,'Cohort Summary'!$A$5:$A$14,0))</f>
        <v>-0.0476190476190478</v>
      </c>
      <c r="L1594" s="42" t="n">
        <f aca="false">(G1594-INDEX('Cohort Summary'!$J$5:$J$14,MATCH($A1594,'Cohort Summary'!$A$5:$A$14,0)))/INDEX('Cohort Summary'!$K$5:$K$14,MATCH($A1594,'Cohort Summary'!$A$5:$A$14,0))</f>
        <v>1.70689655172413</v>
      </c>
      <c r="M1594" s="42" t="n">
        <f aca="false">MAX(I1594:K1594)</f>
        <v>-0.0476190476190478</v>
      </c>
      <c r="N1594" s="27" t="s">
        <v>197</v>
      </c>
      <c r="O1594" s="27"/>
      <c r="P1594" s="27" t="str">
        <f aca="false">A1594&amp;"|"&amp;N1594</f>
        <v>NURSE-08|normal</v>
      </c>
    </row>
    <row r="1595" customFormat="false" ht="15" hidden="false" customHeight="true" outlineLevel="0" collapsed="false">
      <c r="A1595" s="27" t="s">
        <v>98</v>
      </c>
      <c r="B1595" s="41" t="n">
        <v>46303.3586805556</v>
      </c>
      <c r="C1595" s="27" t="s">
        <v>200</v>
      </c>
      <c r="D1595" s="27" t="n">
        <v>42.5</v>
      </c>
      <c r="E1595" s="27" t="n">
        <v>17.3</v>
      </c>
      <c r="F1595" s="27" t="n">
        <v>34.7</v>
      </c>
      <c r="G1595" s="27" t="n">
        <v>33.8</v>
      </c>
      <c r="H1595" s="27" t="s">
        <v>196</v>
      </c>
      <c r="I1595" s="42" t="n">
        <f aca="false">(D1595-INDEX('Cohort Summary'!$D$5:$D$14,MATCH($A1595,'Cohort Summary'!$A$5:$A$14,0)))/INDEX('Cohort Summary'!$E$5:$E$14,MATCH($A1595,'Cohort Summary'!$A$5:$A$14,0))</f>
        <v>1.6</v>
      </c>
      <c r="J1595" s="42" t="n">
        <f aca="false">(E1595-INDEX('Cohort Summary'!$F$5:$F$14,MATCH($A1595,'Cohort Summary'!$A$5:$A$14,0)))/INDEX('Cohort Summary'!$G$5:$G$14,MATCH($A1595,'Cohort Summary'!$A$5:$A$14,0))</f>
        <v>-0.126903553299492</v>
      </c>
      <c r="K1595" s="42" t="n">
        <f aca="false">(F1595-INDEX('Cohort Summary'!$H$5:$H$14,MATCH($A1595,'Cohort Summary'!$A$5:$A$14,0)))/INDEX('Cohort Summary'!$I$5:$I$14,MATCH($A1595,'Cohort Summary'!$A$5:$A$14,0))</f>
        <v>1.24489795918367</v>
      </c>
      <c r="L1595" s="42" t="n">
        <f aca="false">(G1595-INDEX('Cohort Summary'!$J$5:$J$14,MATCH($A1595,'Cohort Summary'!$A$5:$A$14,0)))/INDEX('Cohort Summary'!$K$5:$K$14,MATCH($A1595,'Cohort Summary'!$A$5:$A$14,0))</f>
        <v>1.70689655172413</v>
      </c>
      <c r="M1595" s="42" t="n">
        <f aca="false">MAX(I1595:K1595)</f>
        <v>1.6</v>
      </c>
      <c r="N1595" s="27" t="s">
        <v>197</v>
      </c>
      <c r="O1595" s="27"/>
      <c r="P1595" s="27" t="str">
        <f aca="false">A1595&amp;"|"&amp;N1595</f>
        <v>NURSE-08|normal</v>
      </c>
    </row>
    <row r="1596" customFormat="false" ht="15" hidden="false" customHeight="true" outlineLevel="0" collapsed="false">
      <c r="A1596" s="27" t="s">
        <v>98</v>
      </c>
      <c r="B1596" s="41" t="n">
        <v>46303.3590277778</v>
      </c>
      <c r="C1596" s="27" t="s">
        <v>200</v>
      </c>
      <c r="D1596" s="27" t="n">
        <v>40.8</v>
      </c>
      <c r="E1596" s="27" t="n">
        <v>19</v>
      </c>
      <c r="F1596" s="27" t="n">
        <v>33.9</v>
      </c>
      <c r="G1596" s="27" t="n">
        <v>32</v>
      </c>
      <c r="H1596" s="27" t="s">
        <v>198</v>
      </c>
      <c r="I1596" s="42" t="n">
        <f aca="false">(D1596-INDEX('Cohort Summary'!$D$5:$D$14,MATCH($A1596,'Cohort Summary'!$A$5:$A$14,0)))/INDEX('Cohort Summary'!$E$5:$E$14,MATCH($A1596,'Cohort Summary'!$A$5:$A$14,0))</f>
        <v>0.992857142857141</v>
      </c>
      <c r="J1596" s="42" t="n">
        <f aca="false">(E1596-INDEX('Cohort Summary'!$F$5:$F$14,MATCH($A1596,'Cohort Summary'!$A$5:$A$14,0)))/INDEX('Cohort Summary'!$G$5:$G$14,MATCH($A1596,'Cohort Summary'!$A$5:$A$14,0))</f>
        <v>0.736040609137056</v>
      </c>
      <c r="K1596" s="42" t="n">
        <f aca="false">(F1596-INDEX('Cohort Summary'!$H$5:$H$14,MATCH($A1596,'Cohort Summary'!$A$5:$A$14,0)))/INDEX('Cohort Summary'!$I$5:$I$14,MATCH($A1596,'Cohort Summary'!$A$5:$A$14,0))</f>
        <v>0.972789115646258</v>
      </c>
      <c r="L1596" s="42" t="n">
        <f aca="false">(G1596-INDEX('Cohort Summary'!$J$5:$J$14,MATCH($A1596,'Cohort Summary'!$A$5:$A$14,0)))/INDEX('Cohort Summary'!$K$5:$K$14,MATCH($A1596,'Cohort Summary'!$A$5:$A$14,0))</f>
        <v>-1.39655172413794</v>
      </c>
      <c r="M1596" s="42" t="n">
        <f aca="false">MAX(I1596:K1596)</f>
        <v>0.992857142857141</v>
      </c>
      <c r="N1596" s="27" t="s">
        <v>197</v>
      </c>
      <c r="O1596" s="27"/>
      <c r="P1596" s="27" t="str">
        <f aca="false">A1596&amp;"|"&amp;N1596</f>
        <v>NURSE-08|normal</v>
      </c>
    </row>
    <row r="1597" customFormat="false" ht="15" hidden="false" customHeight="true" outlineLevel="0" collapsed="false">
      <c r="A1597" s="27" t="s">
        <v>98</v>
      </c>
      <c r="B1597" s="41" t="n">
        <v>46303.359375</v>
      </c>
      <c r="C1597" s="27" t="s">
        <v>200</v>
      </c>
      <c r="D1597" s="27" t="n">
        <v>36.6</v>
      </c>
      <c r="E1597" s="27" t="n">
        <v>19.7</v>
      </c>
      <c r="F1597" s="27" t="n">
        <v>30.7</v>
      </c>
      <c r="G1597" s="27" t="n">
        <v>33.6</v>
      </c>
      <c r="H1597" s="27" t="s">
        <v>199</v>
      </c>
      <c r="I1597" s="42" t="n">
        <f aca="false">(D1597-INDEX('Cohort Summary'!$D$5:$D$14,MATCH($A1597,'Cohort Summary'!$A$5:$A$14,0)))/INDEX('Cohort Summary'!$E$5:$E$14,MATCH($A1597,'Cohort Summary'!$A$5:$A$14,0))</f>
        <v>-0.507142857142858</v>
      </c>
      <c r="J1597" s="42" t="n">
        <f aca="false">(E1597-INDEX('Cohort Summary'!$F$5:$F$14,MATCH($A1597,'Cohort Summary'!$A$5:$A$14,0)))/INDEX('Cohort Summary'!$G$5:$G$14,MATCH($A1597,'Cohort Summary'!$A$5:$A$14,0))</f>
        <v>1.09137055837563</v>
      </c>
      <c r="K1597" s="42" t="n">
        <f aca="false">(F1597-INDEX('Cohort Summary'!$H$5:$H$14,MATCH($A1597,'Cohort Summary'!$A$5:$A$14,0)))/INDEX('Cohort Summary'!$I$5:$I$14,MATCH($A1597,'Cohort Summary'!$A$5:$A$14,0))</f>
        <v>-0.115646258503401</v>
      </c>
      <c r="L1597" s="42" t="n">
        <f aca="false">(G1597-INDEX('Cohort Summary'!$J$5:$J$14,MATCH($A1597,'Cohort Summary'!$A$5:$A$14,0)))/INDEX('Cohort Summary'!$K$5:$K$14,MATCH($A1597,'Cohort Summary'!$A$5:$A$14,0))</f>
        <v>1.36206896551724</v>
      </c>
      <c r="M1597" s="42" t="n">
        <f aca="false">MAX(I1597:K1597)</f>
        <v>1.09137055837563</v>
      </c>
      <c r="N1597" s="27" t="s">
        <v>197</v>
      </c>
      <c r="O1597" s="27"/>
      <c r="P1597" s="27" t="str">
        <f aca="false">A1597&amp;"|"&amp;N1597</f>
        <v>NURSE-08|normal</v>
      </c>
    </row>
    <row r="1598" customFormat="false" ht="15" hidden="false" customHeight="true" outlineLevel="0" collapsed="false">
      <c r="A1598" s="27" t="s">
        <v>98</v>
      </c>
      <c r="B1598" s="41" t="n">
        <v>46303.3597222222</v>
      </c>
      <c r="C1598" s="27" t="s">
        <v>200</v>
      </c>
      <c r="D1598" s="27" t="n">
        <v>36.7</v>
      </c>
      <c r="E1598" s="27" t="n">
        <v>20</v>
      </c>
      <c r="F1598" s="27" t="n">
        <v>35.1</v>
      </c>
      <c r="G1598" s="27" t="n">
        <v>32.1</v>
      </c>
      <c r="H1598" s="27" t="s">
        <v>198</v>
      </c>
      <c r="I1598" s="42" t="n">
        <f aca="false">(D1598-INDEX('Cohort Summary'!$D$5:$D$14,MATCH($A1598,'Cohort Summary'!$A$5:$A$14,0)))/INDEX('Cohort Summary'!$E$5:$E$14,MATCH($A1598,'Cohort Summary'!$A$5:$A$14,0))</f>
        <v>-0.471428571428572</v>
      </c>
      <c r="J1598" s="42" t="n">
        <f aca="false">(E1598-INDEX('Cohort Summary'!$F$5:$F$14,MATCH($A1598,'Cohort Summary'!$A$5:$A$14,0)))/INDEX('Cohort Summary'!$G$5:$G$14,MATCH($A1598,'Cohort Summary'!$A$5:$A$14,0))</f>
        <v>1.24365482233503</v>
      </c>
      <c r="K1598" s="42" t="n">
        <f aca="false">(F1598-INDEX('Cohort Summary'!$H$5:$H$14,MATCH($A1598,'Cohort Summary'!$A$5:$A$14,0)))/INDEX('Cohort Summary'!$I$5:$I$14,MATCH($A1598,'Cohort Summary'!$A$5:$A$14,0))</f>
        <v>1.38095238095238</v>
      </c>
      <c r="L1598" s="42" t="n">
        <f aca="false">(G1598-INDEX('Cohort Summary'!$J$5:$J$14,MATCH($A1598,'Cohort Summary'!$A$5:$A$14,0)))/INDEX('Cohort Summary'!$K$5:$K$14,MATCH($A1598,'Cohort Summary'!$A$5:$A$14,0))</f>
        <v>-1.22413793103448</v>
      </c>
      <c r="M1598" s="42" t="n">
        <f aca="false">MAX(I1598:K1598)</f>
        <v>1.38095238095238</v>
      </c>
      <c r="N1598" s="27" t="s">
        <v>197</v>
      </c>
      <c r="O1598" s="27"/>
      <c r="P1598" s="27" t="str">
        <f aca="false">A1598&amp;"|"&amp;N1598</f>
        <v>NURSE-08|normal</v>
      </c>
    </row>
    <row r="1599" customFormat="false" ht="15" hidden="false" customHeight="true" outlineLevel="0" collapsed="false">
      <c r="A1599" s="27" t="s">
        <v>98</v>
      </c>
      <c r="B1599" s="41" t="n">
        <v>46303.3600694445</v>
      </c>
      <c r="C1599" s="27" t="s">
        <v>200</v>
      </c>
      <c r="D1599" s="27" t="n">
        <v>40</v>
      </c>
      <c r="E1599" s="27" t="n">
        <v>15.4</v>
      </c>
      <c r="F1599" s="27" t="n">
        <v>31</v>
      </c>
      <c r="G1599" s="27" t="n">
        <v>33</v>
      </c>
      <c r="H1599" s="27" t="s">
        <v>198</v>
      </c>
      <c r="I1599" s="42" t="n">
        <f aca="false">(D1599-INDEX('Cohort Summary'!$D$5:$D$14,MATCH($A1599,'Cohort Summary'!$A$5:$A$14,0)))/INDEX('Cohort Summary'!$E$5:$E$14,MATCH($A1599,'Cohort Summary'!$A$5:$A$14,0))</f>
        <v>0.707142857142856</v>
      </c>
      <c r="J1599" s="42" t="n">
        <f aca="false">(E1599-INDEX('Cohort Summary'!$F$5:$F$14,MATCH($A1599,'Cohort Summary'!$A$5:$A$14,0)))/INDEX('Cohort Summary'!$G$5:$G$14,MATCH($A1599,'Cohort Summary'!$A$5:$A$14,0))</f>
        <v>-1.09137055837563</v>
      </c>
      <c r="K1599" s="42" t="n">
        <f aca="false">(F1599-INDEX('Cohort Summary'!$H$5:$H$14,MATCH($A1599,'Cohort Summary'!$A$5:$A$14,0)))/INDEX('Cohort Summary'!$I$5:$I$14,MATCH($A1599,'Cohort Summary'!$A$5:$A$14,0))</f>
        <v>-0.0136054421768705</v>
      </c>
      <c r="L1599" s="42" t="n">
        <f aca="false">(G1599-INDEX('Cohort Summary'!$J$5:$J$14,MATCH($A1599,'Cohort Summary'!$A$5:$A$14,0)))/INDEX('Cohort Summary'!$K$5:$K$14,MATCH($A1599,'Cohort Summary'!$A$5:$A$14,0))</f>
        <v>0.327586206896548</v>
      </c>
      <c r="M1599" s="42" t="n">
        <f aca="false">MAX(I1599:K1599)</f>
        <v>0.707142857142856</v>
      </c>
      <c r="N1599" s="27" t="s">
        <v>197</v>
      </c>
      <c r="O1599" s="27"/>
      <c r="P1599" s="27" t="str">
        <f aca="false">A1599&amp;"|"&amp;N1599</f>
        <v>NURSE-08|normal</v>
      </c>
    </row>
    <row r="1600" customFormat="false" ht="15" hidden="false" customHeight="true" outlineLevel="0" collapsed="false">
      <c r="A1600" s="27" t="s">
        <v>98</v>
      </c>
      <c r="B1600" s="41" t="n">
        <v>46303.3604166667</v>
      </c>
      <c r="C1600" s="27" t="s">
        <v>200</v>
      </c>
      <c r="D1600" s="27" t="n">
        <v>37.8</v>
      </c>
      <c r="E1600" s="27" t="n">
        <v>17.3</v>
      </c>
      <c r="F1600" s="27" t="n">
        <v>27.1</v>
      </c>
      <c r="G1600" s="27" t="n">
        <v>32.3</v>
      </c>
      <c r="H1600" s="27" t="s">
        <v>196</v>
      </c>
      <c r="I1600" s="42" t="n">
        <f aca="false">(D1600-INDEX('Cohort Summary'!$D$5:$D$14,MATCH($A1600,'Cohort Summary'!$A$5:$A$14,0)))/INDEX('Cohort Summary'!$E$5:$E$14,MATCH($A1600,'Cohort Summary'!$A$5:$A$14,0))</f>
        <v>-0.0785714285714307</v>
      </c>
      <c r="J1600" s="42" t="n">
        <f aca="false">(E1600-INDEX('Cohort Summary'!$F$5:$F$14,MATCH($A1600,'Cohort Summary'!$A$5:$A$14,0)))/INDEX('Cohort Summary'!$G$5:$G$14,MATCH($A1600,'Cohort Summary'!$A$5:$A$14,0))</f>
        <v>-0.126903553299492</v>
      </c>
      <c r="K1600" s="42" t="n">
        <f aca="false">(F1600-INDEX('Cohort Summary'!$H$5:$H$14,MATCH($A1600,'Cohort Summary'!$A$5:$A$14,0)))/INDEX('Cohort Summary'!$I$5:$I$14,MATCH($A1600,'Cohort Summary'!$A$5:$A$14,0))</f>
        <v>-1.34013605442177</v>
      </c>
      <c r="L1600" s="42" t="n">
        <f aca="false">(G1600-INDEX('Cohort Summary'!$J$5:$J$14,MATCH($A1600,'Cohort Summary'!$A$5:$A$14,0)))/INDEX('Cohort Summary'!$K$5:$K$14,MATCH($A1600,'Cohort Summary'!$A$5:$A$14,0))</f>
        <v>-0.879310344827595</v>
      </c>
      <c r="M1600" s="42" t="n">
        <f aca="false">MAX(I1600:K1600)</f>
        <v>-0.0785714285714307</v>
      </c>
      <c r="N1600" s="27" t="s">
        <v>197</v>
      </c>
      <c r="O1600" s="27"/>
      <c r="P1600" s="27" t="str">
        <f aca="false">A1600&amp;"|"&amp;N1600</f>
        <v>NURSE-08|normal</v>
      </c>
    </row>
    <row r="1601" customFormat="false" ht="15" hidden="false" customHeight="true" outlineLevel="0" collapsed="false">
      <c r="A1601" s="27" t="s">
        <v>98</v>
      </c>
      <c r="B1601" s="41" t="n">
        <v>46303.3607638889</v>
      </c>
      <c r="C1601" s="27" t="s">
        <v>200</v>
      </c>
      <c r="D1601" s="27" t="n">
        <v>40.2</v>
      </c>
      <c r="E1601" s="27" t="n">
        <v>17.6</v>
      </c>
      <c r="F1601" s="27" t="n">
        <v>32.1</v>
      </c>
      <c r="G1601" s="27" t="n">
        <v>33.5</v>
      </c>
      <c r="H1601" s="27" t="s">
        <v>199</v>
      </c>
      <c r="I1601" s="42" t="n">
        <f aca="false">(D1601-INDEX('Cohort Summary'!$D$5:$D$14,MATCH($A1601,'Cohort Summary'!$A$5:$A$14,0)))/INDEX('Cohort Summary'!$E$5:$E$14,MATCH($A1601,'Cohort Summary'!$A$5:$A$14,0))</f>
        <v>0.778571428571429</v>
      </c>
      <c r="J1601" s="42" t="n">
        <f aca="false">(E1601-INDEX('Cohort Summary'!$F$5:$F$14,MATCH($A1601,'Cohort Summary'!$A$5:$A$14,0)))/INDEX('Cohort Summary'!$G$5:$G$14,MATCH($A1601,'Cohort Summary'!$A$5:$A$14,0))</f>
        <v>0.0253807106598988</v>
      </c>
      <c r="K1601" s="42" t="n">
        <f aca="false">(F1601-INDEX('Cohort Summary'!$H$5:$H$14,MATCH($A1601,'Cohort Summary'!$A$5:$A$14,0)))/INDEX('Cohort Summary'!$I$5:$I$14,MATCH($A1601,'Cohort Summary'!$A$5:$A$14,0))</f>
        <v>0.360544217687076</v>
      </c>
      <c r="L1601" s="42" t="n">
        <f aca="false">(G1601-INDEX('Cohort Summary'!$J$5:$J$14,MATCH($A1601,'Cohort Summary'!$A$5:$A$14,0)))/INDEX('Cohort Summary'!$K$5:$K$14,MATCH($A1601,'Cohort Summary'!$A$5:$A$14,0))</f>
        <v>1.18965517241379</v>
      </c>
      <c r="M1601" s="42" t="n">
        <f aca="false">MAX(I1601:K1601)</f>
        <v>0.778571428571429</v>
      </c>
      <c r="N1601" s="27" t="s">
        <v>197</v>
      </c>
      <c r="O1601" s="27"/>
      <c r="P1601" s="27" t="str">
        <f aca="false">A1601&amp;"|"&amp;N1601</f>
        <v>NURSE-08|normal</v>
      </c>
    </row>
    <row r="1602" customFormat="false" ht="15" hidden="false" customHeight="true" outlineLevel="0" collapsed="false">
      <c r="A1602" s="27" t="s">
        <v>100</v>
      </c>
      <c r="B1602" s="41" t="n">
        <v>46303.2916666667</v>
      </c>
      <c r="C1602" s="27" t="s">
        <v>195</v>
      </c>
      <c r="D1602" s="27" t="n">
        <v>41.9</v>
      </c>
      <c r="E1602" s="27" t="n">
        <v>15.4</v>
      </c>
      <c r="F1602" s="27" t="n">
        <v>34.7</v>
      </c>
      <c r="G1602" s="27" t="n">
        <v>32.4</v>
      </c>
      <c r="H1602" s="27" t="s">
        <v>198</v>
      </c>
      <c r="I1602" s="42" t="n">
        <f aca="false">(D1602-INDEX('Cohort Summary'!$D$5:$D$14,MATCH($A1602,'Cohort Summary'!$A$5:$A$14,0)))/INDEX('Cohort Summary'!$E$5:$E$14,MATCH($A1602,'Cohort Summary'!$A$5:$A$14,0))</f>
        <v>0.355172413793104</v>
      </c>
      <c r="J1602" s="42" t="n">
        <f aca="false">(E1602-INDEX('Cohort Summary'!$F$5:$F$14,MATCH($A1602,'Cohort Summary'!$A$5:$A$14,0)))/INDEX('Cohort Summary'!$G$5:$G$14,MATCH($A1602,'Cohort Summary'!$A$5:$A$14,0))</f>
        <v>-1.2970297029703</v>
      </c>
      <c r="K1602" s="42" t="n">
        <f aca="false">(F1602-INDEX('Cohort Summary'!$H$5:$H$14,MATCH($A1602,'Cohort Summary'!$A$5:$A$14,0)))/INDEX('Cohort Summary'!$I$5:$I$14,MATCH($A1602,'Cohort Summary'!$A$5:$A$14,0))</f>
        <v>1.20186335403727</v>
      </c>
      <c r="L1602" s="42" t="n">
        <f aca="false">(G1602-INDEX('Cohort Summary'!$J$5:$J$14,MATCH($A1602,'Cohort Summary'!$A$5:$A$14,0)))/INDEX('Cohort Summary'!$K$5:$K$14,MATCH($A1602,'Cohort Summary'!$A$5:$A$14,0))</f>
        <v>-1.11475409836066</v>
      </c>
      <c r="M1602" s="42" t="n">
        <f aca="false">MAX(I1602:K1602)</f>
        <v>1.20186335403727</v>
      </c>
      <c r="N1602" s="27" t="s">
        <v>197</v>
      </c>
      <c r="O1602" s="27"/>
      <c r="P1602" s="27" t="str">
        <f aca="false">A1602&amp;"|"&amp;N1602</f>
        <v>NURSE-09|normal</v>
      </c>
    </row>
    <row r="1603" customFormat="false" ht="15" hidden="false" customHeight="true" outlineLevel="0" collapsed="false">
      <c r="A1603" s="27" t="s">
        <v>100</v>
      </c>
      <c r="B1603" s="41" t="n">
        <v>46303.2920138889</v>
      </c>
      <c r="C1603" s="27" t="s">
        <v>195</v>
      </c>
      <c r="D1603" s="27" t="n">
        <v>42.4</v>
      </c>
      <c r="E1603" s="27" t="n">
        <v>19.3</v>
      </c>
      <c r="F1603" s="27" t="n">
        <v>35.1</v>
      </c>
      <c r="G1603" s="27" t="n">
        <v>34</v>
      </c>
      <c r="H1603" s="27" t="s">
        <v>198</v>
      </c>
      <c r="I1603" s="42" t="n">
        <f aca="false">(D1603-INDEX('Cohort Summary'!$D$5:$D$14,MATCH($A1603,'Cohort Summary'!$A$5:$A$14,0)))/INDEX('Cohort Summary'!$E$5:$E$14,MATCH($A1603,'Cohort Summary'!$A$5:$A$14,0))</f>
        <v>0.527586206896552</v>
      </c>
      <c r="J1603" s="42" t="n">
        <f aca="false">(E1603-INDEX('Cohort Summary'!$F$5:$F$14,MATCH($A1603,'Cohort Summary'!$A$5:$A$14,0)))/INDEX('Cohort Summary'!$G$5:$G$14,MATCH($A1603,'Cohort Summary'!$A$5:$A$14,0))</f>
        <v>0.633663366336634</v>
      </c>
      <c r="K1603" s="42" t="n">
        <f aca="false">(F1603-INDEX('Cohort Summary'!$H$5:$H$14,MATCH($A1603,'Cohort Summary'!$A$5:$A$14,0)))/INDEX('Cohort Summary'!$I$5:$I$14,MATCH($A1603,'Cohort Summary'!$A$5:$A$14,0))</f>
        <v>1.32608695652174</v>
      </c>
      <c r="L1603" s="42" t="n">
        <f aca="false">(G1603-INDEX('Cohort Summary'!$J$5:$J$14,MATCH($A1603,'Cohort Summary'!$A$5:$A$14,0)))/INDEX('Cohort Summary'!$K$5:$K$14,MATCH($A1603,'Cohort Summary'!$A$5:$A$14,0))</f>
        <v>1.50819672131148</v>
      </c>
      <c r="M1603" s="42" t="n">
        <f aca="false">MAX(I1603:K1603)</f>
        <v>1.32608695652174</v>
      </c>
      <c r="N1603" s="27" t="s">
        <v>197</v>
      </c>
      <c r="O1603" s="27"/>
      <c r="P1603" s="27" t="str">
        <f aca="false">A1603&amp;"|"&amp;N1603</f>
        <v>NURSE-09|normal</v>
      </c>
    </row>
    <row r="1604" customFormat="false" ht="15" hidden="false" customHeight="true" outlineLevel="0" collapsed="false">
      <c r="A1604" s="27" t="s">
        <v>100</v>
      </c>
      <c r="B1604" s="41" t="n">
        <v>46303.2923611111</v>
      </c>
      <c r="C1604" s="27" t="s">
        <v>195</v>
      </c>
      <c r="D1604" s="27" t="n">
        <v>40.7</v>
      </c>
      <c r="E1604" s="27" t="n">
        <v>16</v>
      </c>
      <c r="F1604" s="27" t="n">
        <v>33.2</v>
      </c>
      <c r="G1604" s="27" t="n">
        <v>33.2</v>
      </c>
      <c r="H1604" s="27" t="s">
        <v>199</v>
      </c>
      <c r="I1604" s="42" t="n">
        <f aca="false">(D1604-INDEX('Cohort Summary'!$D$5:$D$14,MATCH($A1604,'Cohort Summary'!$A$5:$A$14,0)))/INDEX('Cohort Summary'!$E$5:$E$14,MATCH($A1604,'Cohort Summary'!$A$5:$A$14,0))</f>
        <v>-0.0586206896551706</v>
      </c>
      <c r="J1604" s="42" t="n">
        <f aca="false">(E1604-INDEX('Cohort Summary'!$F$5:$F$14,MATCH($A1604,'Cohort Summary'!$A$5:$A$14,0)))/INDEX('Cohort Summary'!$G$5:$G$14,MATCH($A1604,'Cohort Summary'!$A$5:$A$14,0))</f>
        <v>-1</v>
      </c>
      <c r="K1604" s="42" t="n">
        <f aca="false">(F1604-INDEX('Cohort Summary'!$H$5:$H$14,MATCH($A1604,'Cohort Summary'!$A$5:$A$14,0)))/INDEX('Cohort Summary'!$I$5:$I$14,MATCH($A1604,'Cohort Summary'!$A$5:$A$14,0))</f>
        <v>0.736024844720498</v>
      </c>
      <c r="L1604" s="42" t="n">
        <f aca="false">(G1604-INDEX('Cohort Summary'!$J$5:$J$14,MATCH($A1604,'Cohort Summary'!$A$5:$A$14,0)))/INDEX('Cohort Summary'!$K$5:$K$14,MATCH($A1604,'Cohort Summary'!$A$5:$A$14,0))</f>
        <v>0.196721311475417</v>
      </c>
      <c r="M1604" s="42" t="n">
        <f aca="false">MAX(I1604:K1604)</f>
        <v>0.736024844720498</v>
      </c>
      <c r="N1604" s="27" t="s">
        <v>197</v>
      </c>
      <c r="O1604" s="27"/>
      <c r="P1604" s="27" t="str">
        <f aca="false">A1604&amp;"|"&amp;N1604</f>
        <v>NURSE-09|normal</v>
      </c>
    </row>
    <row r="1605" customFormat="false" ht="15" hidden="false" customHeight="true" outlineLevel="0" collapsed="false">
      <c r="A1605" s="27" t="s">
        <v>100</v>
      </c>
      <c r="B1605" s="41" t="n">
        <v>46303.2927083333</v>
      </c>
      <c r="C1605" s="27" t="s">
        <v>195</v>
      </c>
      <c r="D1605" s="27" t="n">
        <v>38.9</v>
      </c>
      <c r="E1605" s="27" t="n">
        <v>21.5</v>
      </c>
      <c r="F1605" s="27" t="n">
        <v>26.5</v>
      </c>
      <c r="G1605" s="27" t="n">
        <v>32.7</v>
      </c>
      <c r="H1605" s="27" t="s">
        <v>199</v>
      </c>
      <c r="I1605" s="42" t="n">
        <f aca="false">(D1605-INDEX('Cohort Summary'!$D$5:$D$14,MATCH($A1605,'Cohort Summary'!$A$5:$A$14,0)))/INDEX('Cohort Summary'!$E$5:$E$14,MATCH($A1605,'Cohort Summary'!$A$5:$A$14,0))</f>
        <v>-0.679310344827586</v>
      </c>
      <c r="J1605" s="42" t="n">
        <f aca="false">(E1605-INDEX('Cohort Summary'!$F$5:$F$14,MATCH($A1605,'Cohort Summary'!$A$5:$A$14,0)))/INDEX('Cohort Summary'!$G$5:$G$14,MATCH($A1605,'Cohort Summary'!$A$5:$A$14,0))</f>
        <v>1.72277227722772</v>
      </c>
      <c r="K1605" s="42" t="n">
        <f aca="false">(F1605-INDEX('Cohort Summary'!$H$5:$H$14,MATCH($A1605,'Cohort Summary'!$A$5:$A$14,0)))/INDEX('Cohort Summary'!$I$5:$I$14,MATCH($A1605,'Cohort Summary'!$A$5:$A$14,0))</f>
        <v>-1.34472049689441</v>
      </c>
      <c r="L1605" s="42" t="n">
        <f aca="false">(G1605-INDEX('Cohort Summary'!$J$5:$J$14,MATCH($A1605,'Cohort Summary'!$A$5:$A$14,0)))/INDEX('Cohort Summary'!$K$5:$K$14,MATCH($A1605,'Cohort Summary'!$A$5:$A$14,0))</f>
        <v>-0.622950819672124</v>
      </c>
      <c r="M1605" s="42" t="n">
        <f aca="false">MAX(I1605:K1605)</f>
        <v>1.72277227722772</v>
      </c>
      <c r="N1605" s="27" t="s">
        <v>197</v>
      </c>
      <c r="O1605" s="27"/>
      <c r="P1605" s="27" t="str">
        <f aca="false">A1605&amp;"|"&amp;N1605</f>
        <v>NURSE-09|normal</v>
      </c>
    </row>
    <row r="1606" customFormat="false" ht="15" hidden="false" customHeight="true" outlineLevel="0" collapsed="false">
      <c r="A1606" s="27" t="s">
        <v>100</v>
      </c>
      <c r="B1606" s="41" t="n">
        <v>46303.2930555556</v>
      </c>
      <c r="C1606" s="27" t="s">
        <v>195</v>
      </c>
      <c r="D1606" s="27" t="n">
        <v>36.7</v>
      </c>
      <c r="E1606" s="27" t="n">
        <v>17.7</v>
      </c>
      <c r="F1606" s="27" t="n">
        <v>30.5</v>
      </c>
      <c r="G1606" s="27" t="n">
        <v>32.6</v>
      </c>
      <c r="H1606" s="27" t="s">
        <v>196</v>
      </c>
      <c r="I1606" s="42" t="n">
        <f aca="false">(D1606-INDEX('Cohort Summary'!$D$5:$D$14,MATCH($A1606,'Cohort Summary'!$A$5:$A$14,0)))/INDEX('Cohort Summary'!$E$5:$E$14,MATCH($A1606,'Cohort Summary'!$A$5:$A$14,0))</f>
        <v>-1.43793103448276</v>
      </c>
      <c r="J1606" s="42" t="n">
        <f aca="false">(E1606-INDEX('Cohort Summary'!$F$5:$F$14,MATCH($A1606,'Cohort Summary'!$A$5:$A$14,0)))/INDEX('Cohort Summary'!$G$5:$G$14,MATCH($A1606,'Cohort Summary'!$A$5:$A$14,0))</f>
        <v>-0.158415841584159</v>
      </c>
      <c r="K1606" s="42" t="n">
        <f aca="false">(F1606-INDEX('Cohort Summary'!$H$5:$H$14,MATCH($A1606,'Cohort Summary'!$A$5:$A$14,0)))/INDEX('Cohort Summary'!$I$5:$I$14,MATCH($A1606,'Cohort Summary'!$A$5:$A$14,0))</f>
        <v>-0.102484472049689</v>
      </c>
      <c r="L1606" s="42" t="n">
        <f aca="false">(G1606-INDEX('Cohort Summary'!$J$5:$J$14,MATCH($A1606,'Cohort Summary'!$A$5:$A$14,0)))/INDEX('Cohort Summary'!$K$5:$K$14,MATCH($A1606,'Cohort Summary'!$A$5:$A$14,0))</f>
        <v>-0.786885245901634</v>
      </c>
      <c r="M1606" s="42" t="n">
        <f aca="false">MAX(I1606:K1606)</f>
        <v>-0.102484472049689</v>
      </c>
      <c r="N1606" s="27" t="s">
        <v>197</v>
      </c>
      <c r="O1606" s="27"/>
      <c r="P1606" s="27" t="str">
        <f aca="false">A1606&amp;"|"&amp;N1606</f>
        <v>NURSE-09|normal</v>
      </c>
    </row>
    <row r="1607" customFormat="false" ht="15" hidden="false" customHeight="true" outlineLevel="0" collapsed="false">
      <c r="A1607" s="27" t="s">
        <v>100</v>
      </c>
      <c r="B1607" s="41" t="n">
        <v>46303.2934027778</v>
      </c>
      <c r="C1607" s="27" t="s">
        <v>195</v>
      </c>
      <c r="D1607" s="27" t="n">
        <v>44.7</v>
      </c>
      <c r="E1607" s="27" t="n">
        <v>15.8</v>
      </c>
      <c r="F1607" s="27" t="n">
        <v>28.5</v>
      </c>
      <c r="G1607" s="27" t="n">
        <v>34</v>
      </c>
      <c r="H1607" s="27" t="s">
        <v>198</v>
      </c>
      <c r="I1607" s="42" t="n">
        <f aca="false">(D1607-INDEX('Cohort Summary'!$D$5:$D$14,MATCH($A1607,'Cohort Summary'!$A$5:$A$14,0)))/INDEX('Cohort Summary'!$E$5:$E$14,MATCH($A1607,'Cohort Summary'!$A$5:$A$14,0))</f>
        <v>1.32068965517242</v>
      </c>
      <c r="J1607" s="42" t="n">
        <f aca="false">(E1607-INDEX('Cohort Summary'!$F$5:$F$14,MATCH($A1607,'Cohort Summary'!$A$5:$A$14,0)))/INDEX('Cohort Summary'!$G$5:$G$14,MATCH($A1607,'Cohort Summary'!$A$5:$A$14,0))</f>
        <v>-1.0990099009901</v>
      </c>
      <c r="K1607" s="42" t="n">
        <f aca="false">(F1607-INDEX('Cohort Summary'!$H$5:$H$14,MATCH($A1607,'Cohort Summary'!$A$5:$A$14,0)))/INDEX('Cohort Summary'!$I$5:$I$14,MATCH($A1607,'Cohort Summary'!$A$5:$A$14,0))</f>
        <v>-0.723602484472049</v>
      </c>
      <c r="L1607" s="42" t="n">
        <f aca="false">(G1607-INDEX('Cohort Summary'!$J$5:$J$14,MATCH($A1607,'Cohort Summary'!$A$5:$A$14,0)))/INDEX('Cohort Summary'!$K$5:$K$14,MATCH($A1607,'Cohort Summary'!$A$5:$A$14,0))</f>
        <v>1.50819672131148</v>
      </c>
      <c r="M1607" s="42" t="n">
        <f aca="false">MAX(I1607:K1607)</f>
        <v>1.32068965517242</v>
      </c>
      <c r="N1607" s="27" t="s">
        <v>197</v>
      </c>
      <c r="O1607" s="27"/>
      <c r="P1607" s="27" t="str">
        <f aca="false">A1607&amp;"|"&amp;N1607</f>
        <v>NURSE-09|normal</v>
      </c>
    </row>
    <row r="1608" customFormat="false" ht="15" hidden="false" customHeight="true" outlineLevel="0" collapsed="false">
      <c r="A1608" s="27" t="s">
        <v>100</v>
      </c>
      <c r="B1608" s="41" t="n">
        <v>46303.29375</v>
      </c>
      <c r="C1608" s="27" t="s">
        <v>195</v>
      </c>
      <c r="D1608" s="27" t="n">
        <v>44.9</v>
      </c>
      <c r="E1608" s="27" t="n">
        <v>18.2</v>
      </c>
      <c r="F1608" s="27" t="n">
        <v>27</v>
      </c>
      <c r="G1608" s="27" t="n">
        <v>33</v>
      </c>
      <c r="H1608" s="27" t="s">
        <v>196</v>
      </c>
      <c r="I1608" s="42" t="n">
        <f aca="false">(D1608-INDEX('Cohort Summary'!$D$5:$D$14,MATCH($A1608,'Cohort Summary'!$A$5:$A$14,0)))/INDEX('Cohort Summary'!$E$5:$E$14,MATCH($A1608,'Cohort Summary'!$A$5:$A$14,0))</f>
        <v>1.38965517241379</v>
      </c>
      <c r="J1608" s="42" t="n">
        <f aca="false">(E1608-INDEX('Cohort Summary'!$F$5:$F$14,MATCH($A1608,'Cohort Summary'!$A$5:$A$14,0)))/INDEX('Cohort Summary'!$G$5:$G$14,MATCH($A1608,'Cohort Summary'!$A$5:$A$14,0))</f>
        <v>0.089108910891089</v>
      </c>
      <c r="K1608" s="42" t="n">
        <f aca="false">(F1608-INDEX('Cohort Summary'!$H$5:$H$14,MATCH($A1608,'Cohort Summary'!$A$5:$A$14,0)))/INDEX('Cohort Summary'!$I$5:$I$14,MATCH($A1608,'Cohort Summary'!$A$5:$A$14,0))</f>
        <v>-1.18944099378882</v>
      </c>
      <c r="L1608" s="42" t="n">
        <f aca="false">(G1608-INDEX('Cohort Summary'!$J$5:$J$14,MATCH($A1608,'Cohort Summary'!$A$5:$A$14,0)))/INDEX('Cohort Summary'!$K$5:$K$14,MATCH($A1608,'Cohort Summary'!$A$5:$A$14,0))</f>
        <v>-0.131147540983604</v>
      </c>
      <c r="M1608" s="42" t="n">
        <f aca="false">MAX(I1608:K1608)</f>
        <v>1.38965517241379</v>
      </c>
      <c r="N1608" s="27" t="s">
        <v>197</v>
      </c>
      <c r="O1608" s="27"/>
      <c r="P1608" s="27" t="str">
        <f aca="false">A1608&amp;"|"&amp;N1608</f>
        <v>NURSE-09|normal</v>
      </c>
    </row>
    <row r="1609" customFormat="false" ht="15" hidden="false" customHeight="true" outlineLevel="0" collapsed="false">
      <c r="A1609" s="27" t="s">
        <v>100</v>
      </c>
      <c r="B1609" s="41" t="n">
        <v>46303.2940972222</v>
      </c>
      <c r="C1609" s="27" t="s">
        <v>195</v>
      </c>
      <c r="D1609" s="27" t="n">
        <v>39.8</v>
      </c>
      <c r="E1609" s="27" t="n">
        <v>16.3</v>
      </c>
      <c r="F1609" s="27" t="n">
        <v>27.5</v>
      </c>
      <c r="G1609" s="27" t="n">
        <v>34</v>
      </c>
      <c r="H1609" s="27" t="s">
        <v>199</v>
      </c>
      <c r="I1609" s="42" t="n">
        <f aca="false">(D1609-INDEX('Cohort Summary'!$D$5:$D$14,MATCH($A1609,'Cohort Summary'!$A$5:$A$14,0)))/INDEX('Cohort Summary'!$E$5:$E$14,MATCH($A1609,'Cohort Summary'!$A$5:$A$14,0))</f>
        <v>-0.368965517241379</v>
      </c>
      <c r="J1609" s="42" t="n">
        <f aca="false">(E1609-INDEX('Cohort Summary'!$F$5:$F$14,MATCH($A1609,'Cohort Summary'!$A$5:$A$14,0)))/INDEX('Cohort Summary'!$G$5:$G$14,MATCH($A1609,'Cohort Summary'!$A$5:$A$14,0))</f>
        <v>-0.851485148514851</v>
      </c>
      <c r="K1609" s="42" t="n">
        <f aca="false">(F1609-INDEX('Cohort Summary'!$H$5:$H$14,MATCH($A1609,'Cohort Summary'!$A$5:$A$14,0)))/INDEX('Cohort Summary'!$I$5:$I$14,MATCH($A1609,'Cohort Summary'!$A$5:$A$14,0))</f>
        <v>-1.03416149068323</v>
      </c>
      <c r="L1609" s="42" t="n">
        <f aca="false">(G1609-INDEX('Cohort Summary'!$J$5:$J$14,MATCH($A1609,'Cohort Summary'!$A$5:$A$14,0)))/INDEX('Cohort Summary'!$K$5:$K$14,MATCH($A1609,'Cohort Summary'!$A$5:$A$14,0))</f>
        <v>1.50819672131148</v>
      </c>
      <c r="M1609" s="42" t="n">
        <f aca="false">MAX(I1609:K1609)</f>
        <v>-0.368965517241379</v>
      </c>
      <c r="N1609" s="27" t="s">
        <v>197</v>
      </c>
      <c r="O1609" s="27"/>
      <c r="P1609" s="27" t="str">
        <f aca="false">A1609&amp;"|"&amp;N1609</f>
        <v>NURSE-09|normal</v>
      </c>
    </row>
    <row r="1610" customFormat="false" ht="15" hidden="false" customHeight="true" outlineLevel="0" collapsed="false">
      <c r="A1610" s="27" t="s">
        <v>100</v>
      </c>
      <c r="B1610" s="41" t="n">
        <v>46303.2944444444</v>
      </c>
      <c r="C1610" s="27" t="s">
        <v>195</v>
      </c>
      <c r="D1610" s="27" t="n">
        <v>36.1</v>
      </c>
      <c r="E1610" s="27" t="n">
        <v>19.3</v>
      </c>
      <c r="F1610" s="27" t="n">
        <v>26.9</v>
      </c>
      <c r="G1610" s="27" t="n">
        <v>33.6</v>
      </c>
      <c r="H1610" s="27" t="s">
        <v>199</v>
      </c>
      <c r="I1610" s="42" t="n">
        <f aca="false">(D1610-INDEX('Cohort Summary'!$D$5:$D$14,MATCH($A1610,'Cohort Summary'!$A$5:$A$14,0)))/INDEX('Cohort Summary'!$E$5:$E$14,MATCH($A1610,'Cohort Summary'!$A$5:$A$14,0))</f>
        <v>-1.6448275862069</v>
      </c>
      <c r="J1610" s="42" t="n">
        <f aca="false">(E1610-INDEX('Cohort Summary'!$F$5:$F$14,MATCH($A1610,'Cohort Summary'!$A$5:$A$14,0)))/INDEX('Cohort Summary'!$G$5:$G$14,MATCH($A1610,'Cohort Summary'!$A$5:$A$14,0))</f>
        <v>0.633663366336634</v>
      </c>
      <c r="K1610" s="42" t="n">
        <f aca="false">(F1610-INDEX('Cohort Summary'!$H$5:$H$14,MATCH($A1610,'Cohort Summary'!$A$5:$A$14,0)))/INDEX('Cohort Summary'!$I$5:$I$14,MATCH($A1610,'Cohort Summary'!$A$5:$A$14,0))</f>
        <v>-1.22049689440994</v>
      </c>
      <c r="L1610" s="42" t="n">
        <f aca="false">(G1610-INDEX('Cohort Summary'!$J$5:$J$14,MATCH($A1610,'Cohort Summary'!$A$5:$A$14,0)))/INDEX('Cohort Summary'!$K$5:$K$14,MATCH($A1610,'Cohort Summary'!$A$5:$A$14,0))</f>
        <v>0.852459016393448</v>
      </c>
      <c r="M1610" s="42" t="n">
        <f aca="false">MAX(I1610:K1610)</f>
        <v>0.633663366336634</v>
      </c>
      <c r="N1610" s="27" t="s">
        <v>197</v>
      </c>
      <c r="O1610" s="27"/>
      <c r="P1610" s="27" t="str">
        <f aca="false">A1610&amp;"|"&amp;N1610</f>
        <v>NURSE-09|normal</v>
      </c>
    </row>
    <row r="1611" customFormat="false" ht="15" hidden="false" customHeight="true" outlineLevel="0" collapsed="false">
      <c r="A1611" s="27" t="s">
        <v>100</v>
      </c>
      <c r="B1611" s="41" t="n">
        <v>46303.2947916667</v>
      </c>
      <c r="C1611" s="27" t="s">
        <v>195</v>
      </c>
      <c r="D1611" s="27" t="n">
        <v>46</v>
      </c>
      <c r="E1611" s="27" t="n">
        <v>16.1</v>
      </c>
      <c r="F1611" s="27" t="n">
        <v>33.4</v>
      </c>
      <c r="G1611" s="27" t="n">
        <v>32.3</v>
      </c>
      <c r="H1611" s="27" t="s">
        <v>198</v>
      </c>
      <c r="I1611" s="42" t="n">
        <f aca="false">(D1611-INDEX('Cohort Summary'!$D$5:$D$14,MATCH($A1611,'Cohort Summary'!$A$5:$A$14,0)))/INDEX('Cohort Summary'!$E$5:$E$14,MATCH($A1611,'Cohort Summary'!$A$5:$A$14,0))</f>
        <v>1.76896551724138</v>
      </c>
      <c r="J1611" s="42" t="n">
        <f aca="false">(E1611-INDEX('Cohort Summary'!$F$5:$F$14,MATCH($A1611,'Cohort Summary'!$A$5:$A$14,0)))/INDEX('Cohort Summary'!$G$5:$G$14,MATCH($A1611,'Cohort Summary'!$A$5:$A$14,0))</f>
        <v>-0.95049504950495</v>
      </c>
      <c r="K1611" s="42" t="n">
        <f aca="false">(F1611-INDEX('Cohort Summary'!$H$5:$H$14,MATCH($A1611,'Cohort Summary'!$A$5:$A$14,0)))/INDEX('Cohort Summary'!$I$5:$I$14,MATCH($A1611,'Cohort Summary'!$A$5:$A$14,0))</f>
        <v>0.798136645962733</v>
      </c>
      <c r="L1611" s="42" t="n">
        <f aca="false">(G1611-INDEX('Cohort Summary'!$J$5:$J$14,MATCH($A1611,'Cohort Summary'!$A$5:$A$14,0)))/INDEX('Cohort Summary'!$K$5:$K$14,MATCH($A1611,'Cohort Summary'!$A$5:$A$14,0))</f>
        <v>-1.27868852459017</v>
      </c>
      <c r="M1611" s="42" t="n">
        <f aca="false">MAX(I1611:K1611)</f>
        <v>1.76896551724138</v>
      </c>
      <c r="N1611" s="27" t="s">
        <v>197</v>
      </c>
      <c r="O1611" s="27"/>
      <c r="P1611" s="27" t="str">
        <f aca="false">A1611&amp;"|"&amp;N1611</f>
        <v>NURSE-09|normal</v>
      </c>
    </row>
    <row r="1612" customFormat="false" ht="15" hidden="false" customHeight="true" outlineLevel="0" collapsed="false">
      <c r="A1612" s="27" t="s">
        <v>100</v>
      </c>
      <c r="B1612" s="41" t="n">
        <v>46303.2951388889</v>
      </c>
      <c r="C1612" s="27" t="s">
        <v>195</v>
      </c>
      <c r="D1612" s="27" t="n">
        <v>36.5</v>
      </c>
      <c r="E1612" s="27" t="n">
        <v>15.6</v>
      </c>
      <c r="F1612" s="27" t="n">
        <v>26.8</v>
      </c>
      <c r="G1612" s="27" t="n">
        <v>32.9</v>
      </c>
      <c r="H1612" s="27" t="s">
        <v>196</v>
      </c>
      <c r="I1612" s="42" t="n">
        <f aca="false">(D1612-INDEX('Cohort Summary'!$D$5:$D$14,MATCH($A1612,'Cohort Summary'!$A$5:$A$14,0)))/INDEX('Cohort Summary'!$E$5:$E$14,MATCH($A1612,'Cohort Summary'!$A$5:$A$14,0))</f>
        <v>-1.50689655172414</v>
      </c>
      <c r="J1612" s="42" t="n">
        <f aca="false">(E1612-INDEX('Cohort Summary'!$F$5:$F$14,MATCH($A1612,'Cohort Summary'!$A$5:$A$14,0)))/INDEX('Cohort Summary'!$G$5:$G$14,MATCH($A1612,'Cohort Summary'!$A$5:$A$14,0))</f>
        <v>-1.1980198019802</v>
      </c>
      <c r="K1612" s="42" t="n">
        <f aca="false">(F1612-INDEX('Cohort Summary'!$H$5:$H$14,MATCH($A1612,'Cohort Summary'!$A$5:$A$14,0)))/INDEX('Cohort Summary'!$I$5:$I$14,MATCH($A1612,'Cohort Summary'!$A$5:$A$14,0))</f>
        <v>-1.25155279503106</v>
      </c>
      <c r="L1612" s="42" t="n">
        <f aca="false">(G1612-INDEX('Cohort Summary'!$J$5:$J$14,MATCH($A1612,'Cohort Summary'!$A$5:$A$14,0)))/INDEX('Cohort Summary'!$K$5:$K$14,MATCH($A1612,'Cohort Summary'!$A$5:$A$14,0))</f>
        <v>-0.295081967213114</v>
      </c>
      <c r="M1612" s="42" t="n">
        <f aca="false">MAX(I1612:K1612)</f>
        <v>-1.1980198019802</v>
      </c>
      <c r="N1612" s="27" t="s">
        <v>197</v>
      </c>
      <c r="O1612" s="27"/>
      <c r="P1612" s="27" t="str">
        <f aca="false">A1612&amp;"|"&amp;N1612</f>
        <v>NURSE-09|normal</v>
      </c>
    </row>
    <row r="1613" customFormat="false" ht="15" hidden="false" customHeight="true" outlineLevel="0" collapsed="false">
      <c r="A1613" s="27" t="s">
        <v>100</v>
      </c>
      <c r="B1613" s="41" t="n">
        <v>46303.2954861111</v>
      </c>
      <c r="C1613" s="27" t="s">
        <v>195</v>
      </c>
      <c r="D1613" s="27" t="n">
        <v>39.5</v>
      </c>
      <c r="E1613" s="27" t="n">
        <v>20</v>
      </c>
      <c r="F1613" s="27" t="n">
        <v>26.3</v>
      </c>
      <c r="G1613" s="27" t="n">
        <v>33.1</v>
      </c>
      <c r="H1613" s="27" t="s">
        <v>196</v>
      </c>
      <c r="I1613" s="42" t="n">
        <f aca="false">(D1613-INDEX('Cohort Summary'!$D$5:$D$14,MATCH($A1613,'Cohort Summary'!$A$5:$A$14,0)))/INDEX('Cohort Summary'!$E$5:$E$14,MATCH($A1613,'Cohort Summary'!$A$5:$A$14,0))</f>
        <v>-0.472413793103447</v>
      </c>
      <c r="J1613" s="42" t="n">
        <f aca="false">(E1613-INDEX('Cohort Summary'!$F$5:$F$14,MATCH($A1613,'Cohort Summary'!$A$5:$A$14,0)))/INDEX('Cohort Summary'!$G$5:$G$14,MATCH($A1613,'Cohort Summary'!$A$5:$A$14,0))</f>
        <v>0.98019801980198</v>
      </c>
      <c r="K1613" s="42" t="n">
        <f aca="false">(F1613-INDEX('Cohort Summary'!$H$5:$H$14,MATCH($A1613,'Cohort Summary'!$A$5:$A$14,0)))/INDEX('Cohort Summary'!$I$5:$I$14,MATCH($A1613,'Cohort Summary'!$A$5:$A$14,0))</f>
        <v>-1.40683229813665</v>
      </c>
      <c r="L1613" s="42" t="n">
        <f aca="false">(G1613-INDEX('Cohort Summary'!$J$5:$J$14,MATCH($A1613,'Cohort Summary'!$A$5:$A$14,0)))/INDEX('Cohort Summary'!$K$5:$K$14,MATCH($A1613,'Cohort Summary'!$A$5:$A$14,0))</f>
        <v>0.0327868852459068</v>
      </c>
      <c r="M1613" s="42" t="n">
        <f aca="false">MAX(I1613:K1613)</f>
        <v>0.98019801980198</v>
      </c>
      <c r="N1613" s="27" t="s">
        <v>197</v>
      </c>
      <c r="O1613" s="27"/>
      <c r="P1613" s="27" t="str">
        <f aca="false">A1613&amp;"|"&amp;N1613</f>
        <v>NURSE-09|normal</v>
      </c>
    </row>
    <row r="1614" customFormat="false" ht="15" hidden="false" customHeight="true" outlineLevel="0" collapsed="false">
      <c r="A1614" s="27" t="s">
        <v>100</v>
      </c>
      <c r="B1614" s="41" t="n">
        <v>46303.2958333333</v>
      </c>
      <c r="C1614" s="27" t="s">
        <v>195</v>
      </c>
      <c r="D1614" s="27" t="n">
        <v>41.1</v>
      </c>
      <c r="E1614" s="27" t="n">
        <v>18.3</v>
      </c>
      <c r="F1614" s="27" t="n">
        <v>33.5</v>
      </c>
      <c r="G1614" s="27" t="n">
        <v>33.8</v>
      </c>
      <c r="H1614" s="27" t="s">
        <v>198</v>
      </c>
      <c r="I1614" s="42" t="n">
        <f aca="false">(D1614-INDEX('Cohort Summary'!$D$5:$D$14,MATCH($A1614,'Cohort Summary'!$A$5:$A$14,0)))/INDEX('Cohort Summary'!$E$5:$E$14,MATCH($A1614,'Cohort Summary'!$A$5:$A$14,0))</f>
        <v>0.0793103448275876</v>
      </c>
      <c r="J1614" s="42" t="n">
        <f aca="false">(E1614-INDEX('Cohort Summary'!$F$5:$F$14,MATCH($A1614,'Cohort Summary'!$A$5:$A$14,0)))/INDEX('Cohort Summary'!$G$5:$G$14,MATCH($A1614,'Cohort Summary'!$A$5:$A$14,0))</f>
        <v>0.138613861386139</v>
      </c>
      <c r="K1614" s="42" t="n">
        <f aca="false">(F1614-INDEX('Cohort Summary'!$H$5:$H$14,MATCH($A1614,'Cohort Summary'!$A$5:$A$14,0)))/INDEX('Cohort Summary'!$I$5:$I$14,MATCH($A1614,'Cohort Summary'!$A$5:$A$14,0))</f>
        <v>0.829192546583851</v>
      </c>
      <c r="L1614" s="42" t="n">
        <f aca="false">(G1614-INDEX('Cohort Summary'!$J$5:$J$14,MATCH($A1614,'Cohort Summary'!$A$5:$A$14,0)))/INDEX('Cohort Summary'!$K$5:$K$14,MATCH($A1614,'Cohort Summary'!$A$5:$A$14,0))</f>
        <v>1.18032786885246</v>
      </c>
      <c r="M1614" s="42" t="n">
        <f aca="false">MAX(I1614:K1614)</f>
        <v>0.829192546583851</v>
      </c>
      <c r="N1614" s="27" t="s">
        <v>197</v>
      </c>
      <c r="O1614" s="27"/>
      <c r="P1614" s="27" t="str">
        <f aca="false">A1614&amp;"|"&amp;N1614</f>
        <v>NURSE-09|normal</v>
      </c>
    </row>
    <row r="1615" customFormat="false" ht="15" hidden="false" customHeight="true" outlineLevel="0" collapsed="false">
      <c r="A1615" s="27" t="s">
        <v>100</v>
      </c>
      <c r="B1615" s="41" t="n">
        <v>46303.2961805556</v>
      </c>
      <c r="C1615" s="27" t="s">
        <v>195</v>
      </c>
      <c r="D1615" s="27" t="n">
        <v>44.3</v>
      </c>
      <c r="E1615" s="27" t="n">
        <v>19.8</v>
      </c>
      <c r="F1615" s="27" t="n">
        <v>27.2</v>
      </c>
      <c r="G1615" s="27" t="n">
        <v>32.3</v>
      </c>
      <c r="H1615" s="27" t="s">
        <v>198</v>
      </c>
      <c r="I1615" s="42" t="n">
        <f aca="false">(D1615-INDEX('Cohort Summary'!$D$5:$D$14,MATCH($A1615,'Cohort Summary'!$A$5:$A$14,0)))/INDEX('Cohort Summary'!$E$5:$E$14,MATCH($A1615,'Cohort Summary'!$A$5:$A$14,0))</f>
        <v>1.18275862068966</v>
      </c>
      <c r="J1615" s="42" t="n">
        <f aca="false">(E1615-INDEX('Cohort Summary'!$F$5:$F$14,MATCH($A1615,'Cohort Summary'!$A$5:$A$14,0)))/INDEX('Cohort Summary'!$G$5:$G$14,MATCH($A1615,'Cohort Summary'!$A$5:$A$14,0))</f>
        <v>0.881188118811882</v>
      </c>
      <c r="K1615" s="42" t="n">
        <f aca="false">(F1615-INDEX('Cohort Summary'!$H$5:$H$14,MATCH($A1615,'Cohort Summary'!$A$5:$A$14,0)))/INDEX('Cohort Summary'!$I$5:$I$14,MATCH($A1615,'Cohort Summary'!$A$5:$A$14,0))</f>
        <v>-1.12732919254658</v>
      </c>
      <c r="L1615" s="42" t="n">
        <f aca="false">(G1615-INDEX('Cohort Summary'!$J$5:$J$14,MATCH($A1615,'Cohort Summary'!$A$5:$A$14,0)))/INDEX('Cohort Summary'!$K$5:$K$14,MATCH($A1615,'Cohort Summary'!$A$5:$A$14,0))</f>
        <v>-1.27868852459017</v>
      </c>
      <c r="M1615" s="42" t="n">
        <f aca="false">MAX(I1615:K1615)</f>
        <v>1.18275862068966</v>
      </c>
      <c r="N1615" s="27" t="s">
        <v>197</v>
      </c>
      <c r="O1615" s="27"/>
      <c r="P1615" s="27" t="str">
        <f aca="false">A1615&amp;"|"&amp;N1615</f>
        <v>NURSE-09|normal</v>
      </c>
    </row>
    <row r="1616" customFormat="false" ht="15" hidden="false" customHeight="true" outlineLevel="0" collapsed="false">
      <c r="A1616" s="27" t="s">
        <v>100</v>
      </c>
      <c r="B1616" s="41" t="n">
        <v>46303.2965277778</v>
      </c>
      <c r="C1616" s="27" t="s">
        <v>195</v>
      </c>
      <c r="D1616" s="27" t="n">
        <v>38.4</v>
      </c>
      <c r="E1616" s="27" t="n">
        <v>19.2</v>
      </c>
      <c r="F1616" s="27" t="n">
        <v>31.6</v>
      </c>
      <c r="G1616" s="27" t="n">
        <v>32.2</v>
      </c>
      <c r="H1616" s="27" t="s">
        <v>199</v>
      </c>
      <c r="I1616" s="42" t="n">
        <f aca="false">(D1616-INDEX('Cohort Summary'!$D$5:$D$14,MATCH($A1616,'Cohort Summary'!$A$5:$A$14,0)))/INDEX('Cohort Summary'!$E$5:$E$14,MATCH($A1616,'Cohort Summary'!$A$5:$A$14,0))</f>
        <v>-0.851724137931034</v>
      </c>
      <c r="J1616" s="42" t="n">
        <f aca="false">(E1616-INDEX('Cohort Summary'!$F$5:$F$14,MATCH($A1616,'Cohort Summary'!$A$5:$A$14,0)))/INDEX('Cohort Summary'!$G$5:$G$14,MATCH($A1616,'Cohort Summary'!$A$5:$A$14,0))</f>
        <v>0.584158415841584</v>
      </c>
      <c r="K1616" s="42" t="n">
        <f aca="false">(F1616-INDEX('Cohort Summary'!$H$5:$H$14,MATCH($A1616,'Cohort Summary'!$A$5:$A$14,0)))/INDEX('Cohort Summary'!$I$5:$I$14,MATCH($A1616,'Cohort Summary'!$A$5:$A$14,0))</f>
        <v>0.23913043478261</v>
      </c>
      <c r="L1616" s="42" t="n">
        <f aca="false">(G1616-INDEX('Cohort Summary'!$J$5:$J$14,MATCH($A1616,'Cohort Summary'!$A$5:$A$14,0)))/INDEX('Cohort Summary'!$K$5:$K$14,MATCH($A1616,'Cohort Summary'!$A$5:$A$14,0))</f>
        <v>-1.44262295081966</v>
      </c>
      <c r="M1616" s="42" t="n">
        <f aca="false">MAX(I1616:K1616)</f>
        <v>0.584158415841584</v>
      </c>
      <c r="N1616" s="27" t="s">
        <v>197</v>
      </c>
      <c r="O1616" s="27"/>
      <c r="P1616" s="27" t="str">
        <f aca="false">A1616&amp;"|"&amp;N1616</f>
        <v>NURSE-09|normal</v>
      </c>
    </row>
    <row r="1617" customFormat="false" ht="15" hidden="false" customHeight="true" outlineLevel="0" collapsed="false">
      <c r="A1617" s="27" t="s">
        <v>100</v>
      </c>
      <c r="B1617" s="41" t="n">
        <v>46303.296875</v>
      </c>
      <c r="C1617" s="27" t="s">
        <v>195</v>
      </c>
      <c r="D1617" s="27" t="n">
        <v>44.6</v>
      </c>
      <c r="E1617" s="27" t="n">
        <v>15.9</v>
      </c>
      <c r="F1617" s="27" t="n">
        <v>33.9</v>
      </c>
      <c r="G1617" s="27" t="n">
        <v>33.6</v>
      </c>
      <c r="H1617" s="27" t="s">
        <v>199</v>
      </c>
      <c r="I1617" s="42" t="n">
        <f aca="false">(D1617-INDEX('Cohort Summary'!$D$5:$D$14,MATCH($A1617,'Cohort Summary'!$A$5:$A$14,0)))/INDEX('Cohort Summary'!$E$5:$E$14,MATCH($A1617,'Cohort Summary'!$A$5:$A$14,0))</f>
        <v>1.28620689655173</v>
      </c>
      <c r="J1617" s="42" t="n">
        <f aca="false">(E1617-INDEX('Cohort Summary'!$F$5:$F$14,MATCH($A1617,'Cohort Summary'!$A$5:$A$14,0)))/INDEX('Cohort Summary'!$G$5:$G$14,MATCH($A1617,'Cohort Summary'!$A$5:$A$14,0))</f>
        <v>-1.04950495049505</v>
      </c>
      <c r="K1617" s="42" t="n">
        <f aca="false">(F1617-INDEX('Cohort Summary'!$H$5:$H$14,MATCH($A1617,'Cohort Summary'!$A$5:$A$14,0)))/INDEX('Cohort Summary'!$I$5:$I$14,MATCH($A1617,'Cohort Summary'!$A$5:$A$14,0))</f>
        <v>0.953416149068323</v>
      </c>
      <c r="L1617" s="42" t="n">
        <f aca="false">(G1617-INDEX('Cohort Summary'!$J$5:$J$14,MATCH($A1617,'Cohort Summary'!$A$5:$A$14,0)))/INDEX('Cohort Summary'!$K$5:$K$14,MATCH($A1617,'Cohort Summary'!$A$5:$A$14,0))</f>
        <v>0.852459016393448</v>
      </c>
      <c r="M1617" s="42" t="n">
        <f aca="false">MAX(I1617:K1617)</f>
        <v>1.28620689655173</v>
      </c>
      <c r="N1617" s="27" t="s">
        <v>197</v>
      </c>
      <c r="O1617" s="27"/>
      <c r="P1617" s="27" t="str">
        <f aca="false">A1617&amp;"|"&amp;N1617</f>
        <v>NURSE-09|normal</v>
      </c>
    </row>
    <row r="1618" customFormat="false" ht="15" hidden="false" customHeight="true" outlineLevel="0" collapsed="false">
      <c r="A1618" s="27" t="s">
        <v>100</v>
      </c>
      <c r="B1618" s="41" t="n">
        <v>46303.2972222222</v>
      </c>
      <c r="C1618" s="27" t="s">
        <v>195</v>
      </c>
      <c r="D1618" s="27" t="n">
        <v>45.6</v>
      </c>
      <c r="E1618" s="27" t="n">
        <v>16.7</v>
      </c>
      <c r="F1618" s="27" t="n">
        <v>30.9</v>
      </c>
      <c r="G1618" s="27" t="n">
        <v>32.5</v>
      </c>
      <c r="H1618" s="27" t="s">
        <v>196</v>
      </c>
      <c r="I1618" s="42" t="n">
        <f aca="false">(D1618-INDEX('Cohort Summary'!$D$5:$D$14,MATCH($A1618,'Cohort Summary'!$A$5:$A$14,0)))/INDEX('Cohort Summary'!$E$5:$E$14,MATCH($A1618,'Cohort Summary'!$A$5:$A$14,0))</f>
        <v>1.63103448275862</v>
      </c>
      <c r="J1618" s="42" t="n">
        <f aca="false">(E1618-INDEX('Cohort Summary'!$F$5:$F$14,MATCH($A1618,'Cohort Summary'!$A$5:$A$14,0)))/INDEX('Cohort Summary'!$G$5:$G$14,MATCH($A1618,'Cohort Summary'!$A$5:$A$14,0))</f>
        <v>-0.653465346534654</v>
      </c>
      <c r="K1618" s="42" t="n">
        <f aca="false">(F1618-INDEX('Cohort Summary'!$H$5:$H$14,MATCH($A1618,'Cohort Summary'!$A$5:$A$14,0)))/INDEX('Cohort Summary'!$I$5:$I$14,MATCH($A1618,'Cohort Summary'!$A$5:$A$14,0))</f>
        <v>0.0217391304347827</v>
      </c>
      <c r="L1618" s="42" t="n">
        <f aca="false">(G1618-INDEX('Cohort Summary'!$J$5:$J$14,MATCH($A1618,'Cohort Summary'!$A$5:$A$14,0)))/INDEX('Cohort Summary'!$K$5:$K$14,MATCH($A1618,'Cohort Summary'!$A$5:$A$14,0))</f>
        <v>-0.950819672131145</v>
      </c>
      <c r="M1618" s="42" t="n">
        <f aca="false">MAX(I1618:K1618)</f>
        <v>1.63103448275862</v>
      </c>
      <c r="N1618" s="27" t="s">
        <v>197</v>
      </c>
      <c r="O1618" s="27"/>
      <c r="P1618" s="27" t="str">
        <f aca="false">A1618&amp;"|"&amp;N1618</f>
        <v>NURSE-09|normal</v>
      </c>
    </row>
    <row r="1619" customFormat="false" ht="15" hidden="false" customHeight="true" outlineLevel="0" collapsed="false">
      <c r="A1619" s="27" t="s">
        <v>100</v>
      </c>
      <c r="B1619" s="41" t="n">
        <v>46303.2975694445</v>
      </c>
      <c r="C1619" s="27" t="s">
        <v>195</v>
      </c>
      <c r="D1619" s="27" t="n">
        <v>37.3</v>
      </c>
      <c r="E1619" s="27" t="n">
        <v>19.3</v>
      </c>
      <c r="F1619" s="27" t="n">
        <v>32.2</v>
      </c>
      <c r="G1619" s="27" t="n">
        <v>33.8</v>
      </c>
      <c r="H1619" s="27" t="s">
        <v>198</v>
      </c>
      <c r="I1619" s="42" t="n">
        <f aca="false">(D1619-INDEX('Cohort Summary'!$D$5:$D$14,MATCH($A1619,'Cohort Summary'!$A$5:$A$14,0)))/INDEX('Cohort Summary'!$E$5:$E$14,MATCH($A1619,'Cohort Summary'!$A$5:$A$14,0))</f>
        <v>-1.23103448275862</v>
      </c>
      <c r="J1619" s="42" t="n">
        <f aca="false">(E1619-INDEX('Cohort Summary'!$F$5:$F$14,MATCH($A1619,'Cohort Summary'!$A$5:$A$14,0)))/INDEX('Cohort Summary'!$G$5:$G$14,MATCH($A1619,'Cohort Summary'!$A$5:$A$14,0))</f>
        <v>0.633663366336634</v>
      </c>
      <c r="K1619" s="42" t="n">
        <f aca="false">(F1619-INDEX('Cohort Summary'!$H$5:$H$14,MATCH($A1619,'Cohort Summary'!$A$5:$A$14,0)))/INDEX('Cohort Summary'!$I$5:$I$14,MATCH($A1619,'Cohort Summary'!$A$5:$A$14,0))</f>
        <v>0.425465838509318</v>
      </c>
      <c r="L1619" s="42" t="n">
        <f aca="false">(G1619-INDEX('Cohort Summary'!$J$5:$J$14,MATCH($A1619,'Cohort Summary'!$A$5:$A$14,0)))/INDEX('Cohort Summary'!$K$5:$K$14,MATCH($A1619,'Cohort Summary'!$A$5:$A$14,0))</f>
        <v>1.18032786885246</v>
      </c>
      <c r="M1619" s="42" t="n">
        <f aca="false">MAX(I1619:K1619)</f>
        <v>0.633663366336634</v>
      </c>
      <c r="N1619" s="27" t="s">
        <v>197</v>
      </c>
      <c r="O1619" s="27"/>
      <c r="P1619" s="27" t="str">
        <f aca="false">A1619&amp;"|"&amp;N1619</f>
        <v>NURSE-09|normal</v>
      </c>
    </row>
    <row r="1620" customFormat="false" ht="15" hidden="false" customHeight="true" outlineLevel="0" collapsed="false">
      <c r="A1620" s="27" t="s">
        <v>100</v>
      </c>
      <c r="B1620" s="41" t="n">
        <v>46303.2979166667</v>
      </c>
      <c r="C1620" s="27" t="s">
        <v>195</v>
      </c>
      <c r="D1620" s="27" t="n">
        <v>45.6</v>
      </c>
      <c r="E1620" s="27" t="n">
        <v>15.5</v>
      </c>
      <c r="F1620" s="27" t="n">
        <v>27.8</v>
      </c>
      <c r="G1620" s="27" t="n">
        <v>33.2</v>
      </c>
      <c r="H1620" s="27" t="s">
        <v>198</v>
      </c>
      <c r="I1620" s="42" t="n">
        <f aca="false">(D1620-INDEX('Cohort Summary'!$D$5:$D$14,MATCH($A1620,'Cohort Summary'!$A$5:$A$14,0)))/INDEX('Cohort Summary'!$E$5:$E$14,MATCH($A1620,'Cohort Summary'!$A$5:$A$14,0))</f>
        <v>1.63103448275862</v>
      </c>
      <c r="J1620" s="42" t="n">
        <f aca="false">(E1620-INDEX('Cohort Summary'!$F$5:$F$14,MATCH($A1620,'Cohort Summary'!$A$5:$A$14,0)))/INDEX('Cohort Summary'!$G$5:$G$14,MATCH($A1620,'Cohort Summary'!$A$5:$A$14,0))</f>
        <v>-1.24752475247525</v>
      </c>
      <c r="K1620" s="42" t="n">
        <f aca="false">(F1620-INDEX('Cohort Summary'!$H$5:$H$14,MATCH($A1620,'Cohort Summary'!$A$5:$A$14,0)))/INDEX('Cohort Summary'!$I$5:$I$14,MATCH($A1620,'Cohort Summary'!$A$5:$A$14,0))</f>
        <v>-0.940993788819875</v>
      </c>
      <c r="L1620" s="42" t="n">
        <f aca="false">(G1620-INDEX('Cohort Summary'!$J$5:$J$14,MATCH($A1620,'Cohort Summary'!$A$5:$A$14,0)))/INDEX('Cohort Summary'!$K$5:$K$14,MATCH($A1620,'Cohort Summary'!$A$5:$A$14,0))</f>
        <v>0.196721311475417</v>
      </c>
      <c r="M1620" s="42" t="n">
        <f aca="false">MAX(I1620:K1620)</f>
        <v>1.63103448275862</v>
      </c>
      <c r="N1620" s="27" t="s">
        <v>197</v>
      </c>
      <c r="O1620" s="27"/>
      <c r="P1620" s="27" t="str">
        <f aca="false">A1620&amp;"|"&amp;N1620</f>
        <v>NURSE-09|normal</v>
      </c>
    </row>
    <row r="1621" customFormat="false" ht="15" hidden="false" customHeight="true" outlineLevel="0" collapsed="false">
      <c r="A1621" s="27" t="s">
        <v>100</v>
      </c>
      <c r="B1621" s="41" t="n">
        <v>46303.2982638889</v>
      </c>
      <c r="C1621" s="27" t="s">
        <v>195</v>
      </c>
      <c r="D1621" s="27" t="n">
        <v>44.7</v>
      </c>
      <c r="E1621" s="27" t="n">
        <v>15.8</v>
      </c>
      <c r="F1621" s="27" t="n">
        <v>33.9</v>
      </c>
      <c r="G1621" s="27" t="n">
        <v>33.9</v>
      </c>
      <c r="H1621" s="27" t="s">
        <v>196</v>
      </c>
      <c r="I1621" s="42" t="n">
        <f aca="false">(D1621-INDEX('Cohort Summary'!$D$5:$D$14,MATCH($A1621,'Cohort Summary'!$A$5:$A$14,0)))/INDEX('Cohort Summary'!$E$5:$E$14,MATCH($A1621,'Cohort Summary'!$A$5:$A$14,0))</f>
        <v>1.32068965517242</v>
      </c>
      <c r="J1621" s="42" t="n">
        <f aca="false">(E1621-INDEX('Cohort Summary'!$F$5:$F$14,MATCH($A1621,'Cohort Summary'!$A$5:$A$14,0)))/INDEX('Cohort Summary'!$G$5:$G$14,MATCH($A1621,'Cohort Summary'!$A$5:$A$14,0))</f>
        <v>-1.0990099009901</v>
      </c>
      <c r="K1621" s="42" t="n">
        <f aca="false">(F1621-INDEX('Cohort Summary'!$H$5:$H$14,MATCH($A1621,'Cohort Summary'!$A$5:$A$14,0)))/INDEX('Cohort Summary'!$I$5:$I$14,MATCH($A1621,'Cohort Summary'!$A$5:$A$14,0))</f>
        <v>0.953416149068323</v>
      </c>
      <c r="L1621" s="42" t="n">
        <f aca="false">(G1621-INDEX('Cohort Summary'!$J$5:$J$14,MATCH($A1621,'Cohort Summary'!$A$5:$A$14,0)))/INDEX('Cohort Summary'!$K$5:$K$14,MATCH($A1621,'Cohort Summary'!$A$5:$A$14,0))</f>
        <v>1.34426229508197</v>
      </c>
      <c r="M1621" s="42" t="n">
        <f aca="false">MAX(I1621:K1621)</f>
        <v>1.32068965517242</v>
      </c>
      <c r="N1621" s="27" t="s">
        <v>197</v>
      </c>
      <c r="O1621" s="27"/>
      <c r="P1621" s="27" t="str">
        <f aca="false">A1621&amp;"|"&amp;N1621</f>
        <v>NURSE-09|normal</v>
      </c>
    </row>
    <row r="1622" customFormat="false" ht="15" hidden="false" customHeight="true" outlineLevel="0" collapsed="false">
      <c r="A1622" s="27" t="s">
        <v>100</v>
      </c>
      <c r="B1622" s="41" t="n">
        <v>46303.2986111111</v>
      </c>
      <c r="C1622" s="27" t="s">
        <v>195</v>
      </c>
      <c r="D1622" s="27" t="n">
        <v>45.8</v>
      </c>
      <c r="E1622" s="27" t="n">
        <v>20.8</v>
      </c>
      <c r="F1622" s="27" t="n">
        <v>27.8</v>
      </c>
      <c r="G1622" s="27" t="n">
        <v>32.5</v>
      </c>
      <c r="H1622" s="27" t="s">
        <v>199</v>
      </c>
      <c r="I1622" s="42" t="n">
        <f aca="false">(D1622-INDEX('Cohort Summary'!$D$5:$D$14,MATCH($A1622,'Cohort Summary'!$A$5:$A$14,0)))/INDEX('Cohort Summary'!$E$5:$E$14,MATCH($A1622,'Cohort Summary'!$A$5:$A$14,0))</f>
        <v>1.7</v>
      </c>
      <c r="J1622" s="42" t="n">
        <f aca="false">(E1622-INDEX('Cohort Summary'!$F$5:$F$14,MATCH($A1622,'Cohort Summary'!$A$5:$A$14,0)))/INDEX('Cohort Summary'!$G$5:$G$14,MATCH($A1622,'Cohort Summary'!$A$5:$A$14,0))</f>
        <v>1.37623762376238</v>
      </c>
      <c r="K1622" s="42" t="n">
        <f aca="false">(F1622-INDEX('Cohort Summary'!$H$5:$H$14,MATCH($A1622,'Cohort Summary'!$A$5:$A$14,0)))/INDEX('Cohort Summary'!$I$5:$I$14,MATCH($A1622,'Cohort Summary'!$A$5:$A$14,0))</f>
        <v>-0.940993788819875</v>
      </c>
      <c r="L1622" s="42" t="n">
        <f aca="false">(G1622-INDEX('Cohort Summary'!$J$5:$J$14,MATCH($A1622,'Cohort Summary'!$A$5:$A$14,0)))/INDEX('Cohort Summary'!$K$5:$K$14,MATCH($A1622,'Cohort Summary'!$A$5:$A$14,0))</f>
        <v>-0.950819672131145</v>
      </c>
      <c r="M1622" s="42" t="n">
        <f aca="false">MAX(I1622:K1622)</f>
        <v>1.7</v>
      </c>
      <c r="N1622" s="27" t="s">
        <v>197</v>
      </c>
      <c r="O1622" s="27"/>
      <c r="P1622" s="27" t="str">
        <f aca="false">A1622&amp;"|"&amp;N1622</f>
        <v>NURSE-09|normal</v>
      </c>
    </row>
    <row r="1623" customFormat="false" ht="15" hidden="false" customHeight="true" outlineLevel="0" collapsed="false">
      <c r="A1623" s="27" t="s">
        <v>100</v>
      </c>
      <c r="B1623" s="41" t="n">
        <v>46303.2989583333</v>
      </c>
      <c r="C1623" s="27" t="s">
        <v>195</v>
      </c>
      <c r="D1623" s="27" t="n">
        <v>43.7</v>
      </c>
      <c r="E1623" s="27" t="n">
        <v>18.6</v>
      </c>
      <c r="F1623" s="27" t="n">
        <v>27.1</v>
      </c>
      <c r="G1623" s="27" t="n">
        <v>32.5</v>
      </c>
      <c r="H1623" s="27" t="s">
        <v>196</v>
      </c>
      <c r="I1623" s="42" t="n">
        <f aca="false">(D1623-INDEX('Cohort Summary'!$D$5:$D$14,MATCH($A1623,'Cohort Summary'!$A$5:$A$14,0)))/INDEX('Cohort Summary'!$E$5:$E$14,MATCH($A1623,'Cohort Summary'!$A$5:$A$14,0))</f>
        <v>0.975862068965519</v>
      </c>
      <c r="J1623" s="42" t="n">
        <f aca="false">(E1623-INDEX('Cohort Summary'!$F$5:$F$14,MATCH($A1623,'Cohort Summary'!$A$5:$A$14,0)))/INDEX('Cohort Summary'!$G$5:$G$14,MATCH($A1623,'Cohort Summary'!$A$5:$A$14,0))</f>
        <v>0.287128712871288</v>
      </c>
      <c r="K1623" s="42" t="n">
        <f aca="false">(F1623-INDEX('Cohort Summary'!$H$5:$H$14,MATCH($A1623,'Cohort Summary'!$A$5:$A$14,0)))/INDEX('Cohort Summary'!$I$5:$I$14,MATCH($A1623,'Cohort Summary'!$A$5:$A$14,0))</f>
        <v>-1.1583850931677</v>
      </c>
      <c r="L1623" s="42" t="n">
        <f aca="false">(G1623-INDEX('Cohort Summary'!$J$5:$J$14,MATCH($A1623,'Cohort Summary'!$A$5:$A$14,0)))/INDEX('Cohort Summary'!$K$5:$K$14,MATCH($A1623,'Cohort Summary'!$A$5:$A$14,0))</f>
        <v>-0.950819672131145</v>
      </c>
      <c r="M1623" s="42" t="n">
        <f aca="false">MAX(I1623:K1623)</f>
        <v>0.975862068965519</v>
      </c>
      <c r="N1623" s="27" t="s">
        <v>197</v>
      </c>
      <c r="O1623" s="27"/>
      <c r="P1623" s="27" t="str">
        <f aca="false">A1623&amp;"|"&amp;N1623</f>
        <v>NURSE-09|normal</v>
      </c>
    </row>
    <row r="1624" customFormat="false" ht="15" hidden="false" customHeight="true" outlineLevel="0" collapsed="false">
      <c r="A1624" s="27" t="s">
        <v>100</v>
      </c>
      <c r="B1624" s="41" t="n">
        <v>46303.2993055556</v>
      </c>
      <c r="C1624" s="27" t="s">
        <v>195</v>
      </c>
      <c r="D1624" s="27" t="n">
        <v>36.5</v>
      </c>
      <c r="E1624" s="27" t="n">
        <v>20.2</v>
      </c>
      <c r="F1624" s="27" t="n">
        <v>28.9</v>
      </c>
      <c r="G1624" s="27" t="n">
        <v>33.6</v>
      </c>
      <c r="H1624" s="27" t="s">
        <v>199</v>
      </c>
      <c r="I1624" s="42" t="n">
        <f aca="false">(D1624-INDEX('Cohort Summary'!$D$5:$D$14,MATCH($A1624,'Cohort Summary'!$A$5:$A$14,0)))/INDEX('Cohort Summary'!$E$5:$E$14,MATCH($A1624,'Cohort Summary'!$A$5:$A$14,0))</f>
        <v>-1.50689655172414</v>
      </c>
      <c r="J1624" s="42" t="n">
        <f aca="false">(E1624-INDEX('Cohort Summary'!$F$5:$F$14,MATCH($A1624,'Cohort Summary'!$A$5:$A$14,0)))/INDEX('Cohort Summary'!$G$5:$G$14,MATCH($A1624,'Cohort Summary'!$A$5:$A$14,0))</f>
        <v>1.07920792079208</v>
      </c>
      <c r="K1624" s="42" t="n">
        <f aca="false">(F1624-INDEX('Cohort Summary'!$H$5:$H$14,MATCH($A1624,'Cohort Summary'!$A$5:$A$14,0)))/INDEX('Cohort Summary'!$I$5:$I$14,MATCH($A1624,'Cohort Summary'!$A$5:$A$14,0))</f>
        <v>-0.599378881987578</v>
      </c>
      <c r="L1624" s="42" t="n">
        <f aca="false">(G1624-INDEX('Cohort Summary'!$J$5:$J$14,MATCH($A1624,'Cohort Summary'!$A$5:$A$14,0)))/INDEX('Cohort Summary'!$K$5:$K$14,MATCH($A1624,'Cohort Summary'!$A$5:$A$14,0))</f>
        <v>0.852459016393448</v>
      </c>
      <c r="M1624" s="42" t="n">
        <f aca="false">MAX(I1624:K1624)</f>
        <v>1.07920792079208</v>
      </c>
      <c r="N1624" s="27" t="s">
        <v>197</v>
      </c>
      <c r="O1624" s="27"/>
      <c r="P1624" s="27" t="str">
        <f aca="false">A1624&amp;"|"&amp;N1624</f>
        <v>NURSE-09|normal</v>
      </c>
    </row>
    <row r="1625" customFormat="false" ht="15" hidden="false" customHeight="true" outlineLevel="0" collapsed="false">
      <c r="A1625" s="27" t="s">
        <v>100</v>
      </c>
      <c r="B1625" s="41" t="n">
        <v>46303.2996527778</v>
      </c>
      <c r="C1625" s="27" t="s">
        <v>195</v>
      </c>
      <c r="D1625" s="27" t="n">
        <v>41.5</v>
      </c>
      <c r="E1625" s="27" t="n">
        <v>17.5</v>
      </c>
      <c r="F1625" s="27" t="n">
        <v>35.6</v>
      </c>
      <c r="G1625" s="27" t="n">
        <v>33.3</v>
      </c>
      <c r="H1625" s="27" t="s">
        <v>198</v>
      </c>
      <c r="I1625" s="42" t="n">
        <f aca="false">(D1625-INDEX('Cohort Summary'!$D$5:$D$14,MATCH($A1625,'Cohort Summary'!$A$5:$A$14,0)))/INDEX('Cohort Summary'!$E$5:$E$14,MATCH($A1625,'Cohort Summary'!$A$5:$A$14,0))</f>
        <v>0.217241379310346</v>
      </c>
      <c r="J1625" s="42" t="n">
        <f aca="false">(E1625-INDEX('Cohort Summary'!$F$5:$F$14,MATCH($A1625,'Cohort Summary'!$A$5:$A$14,0)))/INDEX('Cohort Summary'!$G$5:$G$14,MATCH($A1625,'Cohort Summary'!$A$5:$A$14,0))</f>
        <v>-0.257425742574257</v>
      </c>
      <c r="K1625" s="42" t="n">
        <f aca="false">(F1625-INDEX('Cohort Summary'!$H$5:$H$14,MATCH($A1625,'Cohort Summary'!$A$5:$A$14,0)))/INDEX('Cohort Summary'!$I$5:$I$14,MATCH($A1625,'Cohort Summary'!$A$5:$A$14,0))</f>
        <v>1.48136645962733</v>
      </c>
      <c r="L1625" s="42" t="n">
        <f aca="false">(G1625-INDEX('Cohort Summary'!$J$5:$J$14,MATCH($A1625,'Cohort Summary'!$A$5:$A$14,0)))/INDEX('Cohort Summary'!$K$5:$K$14,MATCH($A1625,'Cohort Summary'!$A$5:$A$14,0))</f>
        <v>0.360655737704916</v>
      </c>
      <c r="M1625" s="42" t="n">
        <f aca="false">MAX(I1625:K1625)</f>
        <v>1.48136645962733</v>
      </c>
      <c r="N1625" s="27" t="s">
        <v>197</v>
      </c>
      <c r="O1625" s="27"/>
      <c r="P1625" s="27" t="str">
        <f aca="false">A1625&amp;"|"&amp;N1625</f>
        <v>NURSE-09|normal</v>
      </c>
    </row>
    <row r="1626" customFormat="false" ht="15" hidden="false" customHeight="true" outlineLevel="0" collapsed="false">
      <c r="A1626" s="27" t="s">
        <v>100</v>
      </c>
      <c r="B1626" s="41" t="n">
        <v>46303.3</v>
      </c>
      <c r="C1626" s="27" t="s">
        <v>195</v>
      </c>
      <c r="D1626" s="27" t="n">
        <v>36.7</v>
      </c>
      <c r="E1626" s="27" t="n">
        <v>18.2</v>
      </c>
      <c r="F1626" s="27" t="n">
        <v>26.6</v>
      </c>
      <c r="G1626" s="27" t="n">
        <v>33.5</v>
      </c>
      <c r="H1626" s="27" t="s">
        <v>199</v>
      </c>
      <c r="I1626" s="42" t="n">
        <f aca="false">(D1626-INDEX('Cohort Summary'!$D$5:$D$14,MATCH($A1626,'Cohort Summary'!$A$5:$A$14,0)))/INDEX('Cohort Summary'!$E$5:$E$14,MATCH($A1626,'Cohort Summary'!$A$5:$A$14,0))</f>
        <v>-1.43793103448276</v>
      </c>
      <c r="J1626" s="42" t="n">
        <f aca="false">(E1626-INDEX('Cohort Summary'!$F$5:$F$14,MATCH($A1626,'Cohort Summary'!$A$5:$A$14,0)))/INDEX('Cohort Summary'!$G$5:$G$14,MATCH($A1626,'Cohort Summary'!$A$5:$A$14,0))</f>
        <v>0.089108910891089</v>
      </c>
      <c r="K1626" s="42" t="n">
        <f aca="false">(F1626-INDEX('Cohort Summary'!$H$5:$H$14,MATCH($A1626,'Cohort Summary'!$A$5:$A$14,0)))/INDEX('Cohort Summary'!$I$5:$I$14,MATCH($A1626,'Cohort Summary'!$A$5:$A$14,0))</f>
        <v>-1.31366459627329</v>
      </c>
      <c r="L1626" s="42" t="n">
        <f aca="false">(G1626-INDEX('Cohort Summary'!$J$5:$J$14,MATCH($A1626,'Cohort Summary'!$A$5:$A$14,0)))/INDEX('Cohort Summary'!$K$5:$K$14,MATCH($A1626,'Cohort Summary'!$A$5:$A$14,0))</f>
        <v>0.688524590163937</v>
      </c>
      <c r="M1626" s="42" t="n">
        <f aca="false">MAX(I1626:K1626)</f>
        <v>0.089108910891089</v>
      </c>
      <c r="N1626" s="27" t="s">
        <v>197</v>
      </c>
      <c r="O1626" s="27"/>
      <c r="P1626" s="27" t="str">
        <f aca="false">A1626&amp;"|"&amp;N1626</f>
        <v>NURSE-09|normal</v>
      </c>
    </row>
    <row r="1627" customFormat="false" ht="15" hidden="false" customHeight="true" outlineLevel="0" collapsed="false">
      <c r="A1627" s="27" t="s">
        <v>100</v>
      </c>
      <c r="B1627" s="41" t="n">
        <v>46303.3003472222</v>
      </c>
      <c r="C1627" s="27" t="s">
        <v>195</v>
      </c>
      <c r="D1627" s="27" t="n">
        <v>41.8</v>
      </c>
      <c r="E1627" s="27" t="n">
        <v>21.9</v>
      </c>
      <c r="F1627" s="27" t="n">
        <v>32.4</v>
      </c>
      <c r="G1627" s="27" t="n">
        <v>32.5</v>
      </c>
      <c r="H1627" s="27" t="s">
        <v>196</v>
      </c>
      <c r="I1627" s="42" t="n">
        <f aca="false">(D1627-INDEX('Cohort Summary'!$D$5:$D$14,MATCH($A1627,'Cohort Summary'!$A$5:$A$14,0)))/INDEX('Cohort Summary'!$E$5:$E$14,MATCH($A1627,'Cohort Summary'!$A$5:$A$14,0))</f>
        <v>0.320689655172414</v>
      </c>
      <c r="J1627" s="42" t="n">
        <f aca="false">(E1627-INDEX('Cohort Summary'!$F$5:$F$14,MATCH($A1627,'Cohort Summary'!$A$5:$A$14,0)))/INDEX('Cohort Summary'!$G$5:$G$14,MATCH($A1627,'Cohort Summary'!$A$5:$A$14,0))</f>
        <v>1.92079207920792</v>
      </c>
      <c r="K1627" s="42" t="n">
        <f aca="false">(F1627-INDEX('Cohort Summary'!$H$5:$H$14,MATCH($A1627,'Cohort Summary'!$A$5:$A$14,0)))/INDEX('Cohort Summary'!$I$5:$I$14,MATCH($A1627,'Cohort Summary'!$A$5:$A$14,0))</f>
        <v>0.487577639751553</v>
      </c>
      <c r="L1627" s="42" t="n">
        <f aca="false">(G1627-INDEX('Cohort Summary'!$J$5:$J$14,MATCH($A1627,'Cohort Summary'!$A$5:$A$14,0)))/INDEX('Cohort Summary'!$K$5:$K$14,MATCH($A1627,'Cohort Summary'!$A$5:$A$14,0))</f>
        <v>-0.950819672131145</v>
      </c>
      <c r="M1627" s="42" t="n">
        <f aca="false">MAX(I1627:K1627)</f>
        <v>1.92079207920792</v>
      </c>
      <c r="N1627" s="27" t="s">
        <v>197</v>
      </c>
      <c r="O1627" s="27"/>
      <c r="P1627" s="27" t="str">
        <f aca="false">A1627&amp;"|"&amp;N1627</f>
        <v>NURSE-09|normal</v>
      </c>
    </row>
    <row r="1628" customFormat="false" ht="15" hidden="false" customHeight="true" outlineLevel="0" collapsed="false">
      <c r="A1628" s="27" t="s">
        <v>100</v>
      </c>
      <c r="B1628" s="41" t="n">
        <v>46303.3006944444</v>
      </c>
      <c r="C1628" s="27" t="s">
        <v>195</v>
      </c>
      <c r="D1628" s="27" t="n">
        <v>44.4</v>
      </c>
      <c r="E1628" s="27" t="n">
        <v>19.1</v>
      </c>
      <c r="F1628" s="27" t="n">
        <v>26.1</v>
      </c>
      <c r="G1628" s="27" t="n">
        <v>32.4</v>
      </c>
      <c r="H1628" s="27" t="s">
        <v>196</v>
      </c>
      <c r="I1628" s="42" t="n">
        <f aca="false">(D1628-INDEX('Cohort Summary'!$D$5:$D$14,MATCH($A1628,'Cohort Summary'!$A$5:$A$14,0)))/INDEX('Cohort Summary'!$E$5:$E$14,MATCH($A1628,'Cohort Summary'!$A$5:$A$14,0))</f>
        <v>1.21724137931035</v>
      </c>
      <c r="J1628" s="42" t="n">
        <f aca="false">(E1628-INDEX('Cohort Summary'!$F$5:$F$14,MATCH($A1628,'Cohort Summary'!$A$5:$A$14,0)))/INDEX('Cohort Summary'!$G$5:$G$14,MATCH($A1628,'Cohort Summary'!$A$5:$A$14,0))</f>
        <v>0.534653465346536</v>
      </c>
      <c r="K1628" s="42" t="n">
        <f aca="false">(F1628-INDEX('Cohort Summary'!$H$5:$H$14,MATCH($A1628,'Cohort Summary'!$A$5:$A$14,0)))/INDEX('Cohort Summary'!$I$5:$I$14,MATCH($A1628,'Cohort Summary'!$A$5:$A$14,0))</f>
        <v>-1.46894409937888</v>
      </c>
      <c r="L1628" s="42" t="n">
        <f aca="false">(G1628-INDEX('Cohort Summary'!$J$5:$J$14,MATCH($A1628,'Cohort Summary'!$A$5:$A$14,0)))/INDEX('Cohort Summary'!$K$5:$K$14,MATCH($A1628,'Cohort Summary'!$A$5:$A$14,0))</f>
        <v>-1.11475409836066</v>
      </c>
      <c r="M1628" s="42" t="n">
        <f aca="false">MAX(I1628:K1628)</f>
        <v>1.21724137931035</v>
      </c>
      <c r="N1628" s="27" t="s">
        <v>197</v>
      </c>
      <c r="O1628" s="27"/>
      <c r="P1628" s="27" t="str">
        <f aca="false">A1628&amp;"|"&amp;N1628</f>
        <v>NURSE-09|normal</v>
      </c>
    </row>
    <row r="1629" customFormat="false" ht="15" hidden="false" customHeight="true" outlineLevel="0" collapsed="false">
      <c r="A1629" s="27" t="s">
        <v>100</v>
      </c>
      <c r="B1629" s="41" t="n">
        <v>46303.3010416667</v>
      </c>
      <c r="C1629" s="27" t="s">
        <v>195</v>
      </c>
      <c r="D1629" s="27" t="n">
        <v>38.6</v>
      </c>
      <c r="E1629" s="27" t="n">
        <v>18.7</v>
      </c>
      <c r="F1629" s="27" t="n">
        <v>31</v>
      </c>
      <c r="G1629" s="27" t="n">
        <v>33.8</v>
      </c>
      <c r="H1629" s="27" t="s">
        <v>196</v>
      </c>
      <c r="I1629" s="42" t="n">
        <f aca="false">(D1629-INDEX('Cohort Summary'!$D$5:$D$14,MATCH($A1629,'Cohort Summary'!$A$5:$A$14,0)))/INDEX('Cohort Summary'!$E$5:$E$14,MATCH($A1629,'Cohort Summary'!$A$5:$A$14,0))</f>
        <v>-0.782758620689654</v>
      </c>
      <c r="J1629" s="42" t="n">
        <f aca="false">(E1629-INDEX('Cohort Summary'!$F$5:$F$14,MATCH($A1629,'Cohort Summary'!$A$5:$A$14,0)))/INDEX('Cohort Summary'!$G$5:$G$14,MATCH($A1629,'Cohort Summary'!$A$5:$A$14,0))</f>
        <v>0.336633663366337</v>
      </c>
      <c r="K1629" s="42" t="n">
        <f aca="false">(F1629-INDEX('Cohort Summary'!$H$5:$H$14,MATCH($A1629,'Cohort Summary'!$A$5:$A$14,0)))/INDEX('Cohort Summary'!$I$5:$I$14,MATCH($A1629,'Cohort Summary'!$A$5:$A$14,0))</f>
        <v>0.0527950310559012</v>
      </c>
      <c r="L1629" s="42" t="n">
        <f aca="false">(G1629-INDEX('Cohort Summary'!$J$5:$J$14,MATCH($A1629,'Cohort Summary'!$A$5:$A$14,0)))/INDEX('Cohort Summary'!$K$5:$K$14,MATCH($A1629,'Cohort Summary'!$A$5:$A$14,0))</f>
        <v>1.18032786885246</v>
      </c>
      <c r="M1629" s="42" t="n">
        <f aca="false">MAX(I1629:K1629)</f>
        <v>0.336633663366337</v>
      </c>
      <c r="N1629" s="27" t="s">
        <v>197</v>
      </c>
      <c r="O1629" s="27"/>
      <c r="P1629" s="27" t="str">
        <f aca="false">A1629&amp;"|"&amp;N1629</f>
        <v>NURSE-09|normal</v>
      </c>
    </row>
    <row r="1630" customFormat="false" ht="15" hidden="false" customHeight="true" outlineLevel="0" collapsed="false">
      <c r="A1630" s="27" t="s">
        <v>100</v>
      </c>
      <c r="B1630" s="41" t="n">
        <v>46303.3013888889</v>
      </c>
      <c r="C1630" s="27" t="s">
        <v>195</v>
      </c>
      <c r="D1630" s="27" t="n">
        <v>36.9</v>
      </c>
      <c r="E1630" s="27" t="n">
        <v>15.8</v>
      </c>
      <c r="F1630" s="27" t="n">
        <v>27.3</v>
      </c>
      <c r="G1630" s="27" t="n">
        <v>32.2</v>
      </c>
      <c r="H1630" s="27" t="s">
        <v>198</v>
      </c>
      <c r="I1630" s="42" t="n">
        <f aca="false">(D1630-INDEX('Cohort Summary'!$D$5:$D$14,MATCH($A1630,'Cohort Summary'!$A$5:$A$14,0)))/INDEX('Cohort Summary'!$E$5:$E$14,MATCH($A1630,'Cohort Summary'!$A$5:$A$14,0))</f>
        <v>-1.36896551724138</v>
      </c>
      <c r="J1630" s="42" t="n">
        <f aca="false">(E1630-INDEX('Cohort Summary'!$F$5:$F$14,MATCH($A1630,'Cohort Summary'!$A$5:$A$14,0)))/INDEX('Cohort Summary'!$G$5:$G$14,MATCH($A1630,'Cohort Summary'!$A$5:$A$14,0))</f>
        <v>-1.0990099009901</v>
      </c>
      <c r="K1630" s="42" t="n">
        <f aca="false">(F1630-INDEX('Cohort Summary'!$H$5:$H$14,MATCH($A1630,'Cohort Summary'!$A$5:$A$14,0)))/INDEX('Cohort Summary'!$I$5:$I$14,MATCH($A1630,'Cohort Summary'!$A$5:$A$14,0))</f>
        <v>-1.09627329192547</v>
      </c>
      <c r="L1630" s="42" t="n">
        <f aca="false">(G1630-INDEX('Cohort Summary'!$J$5:$J$14,MATCH($A1630,'Cohort Summary'!$A$5:$A$14,0)))/INDEX('Cohort Summary'!$K$5:$K$14,MATCH($A1630,'Cohort Summary'!$A$5:$A$14,0))</f>
        <v>-1.44262295081966</v>
      </c>
      <c r="M1630" s="42" t="n">
        <f aca="false">MAX(I1630:K1630)</f>
        <v>-1.09627329192547</v>
      </c>
      <c r="N1630" s="27" t="s">
        <v>197</v>
      </c>
      <c r="O1630" s="27"/>
      <c r="P1630" s="27" t="str">
        <f aca="false">A1630&amp;"|"&amp;N1630</f>
        <v>NURSE-09|normal</v>
      </c>
    </row>
    <row r="1631" customFormat="false" ht="15" hidden="false" customHeight="true" outlineLevel="0" collapsed="false">
      <c r="A1631" s="27" t="s">
        <v>100</v>
      </c>
      <c r="B1631" s="41" t="n">
        <v>46303.3017361111</v>
      </c>
      <c r="C1631" s="27" t="s">
        <v>195</v>
      </c>
      <c r="D1631" s="27" t="n">
        <v>39.9</v>
      </c>
      <c r="E1631" s="27" t="n">
        <v>20.7</v>
      </c>
      <c r="F1631" s="27" t="n">
        <v>28.4</v>
      </c>
      <c r="G1631" s="27" t="n">
        <v>32.8</v>
      </c>
      <c r="H1631" s="27" t="s">
        <v>198</v>
      </c>
      <c r="I1631" s="42" t="n">
        <f aca="false">(D1631-INDEX('Cohort Summary'!$D$5:$D$14,MATCH($A1631,'Cohort Summary'!$A$5:$A$14,0)))/INDEX('Cohort Summary'!$E$5:$E$14,MATCH($A1631,'Cohort Summary'!$A$5:$A$14,0))</f>
        <v>-0.334482758620689</v>
      </c>
      <c r="J1631" s="42" t="n">
        <f aca="false">(E1631-INDEX('Cohort Summary'!$F$5:$F$14,MATCH($A1631,'Cohort Summary'!$A$5:$A$14,0)))/INDEX('Cohort Summary'!$G$5:$G$14,MATCH($A1631,'Cohort Summary'!$A$5:$A$14,0))</f>
        <v>1.32673267326733</v>
      </c>
      <c r="K1631" s="42" t="n">
        <f aca="false">(F1631-INDEX('Cohort Summary'!$H$5:$H$14,MATCH($A1631,'Cohort Summary'!$A$5:$A$14,0)))/INDEX('Cohort Summary'!$I$5:$I$14,MATCH($A1631,'Cohort Summary'!$A$5:$A$14,0))</f>
        <v>-0.754658385093168</v>
      </c>
      <c r="L1631" s="42" t="n">
        <f aca="false">(G1631-INDEX('Cohort Summary'!$J$5:$J$14,MATCH($A1631,'Cohort Summary'!$A$5:$A$14,0)))/INDEX('Cohort Summary'!$K$5:$K$14,MATCH($A1631,'Cohort Summary'!$A$5:$A$14,0))</f>
        <v>-0.459016393442625</v>
      </c>
      <c r="M1631" s="42" t="n">
        <f aca="false">MAX(I1631:K1631)</f>
        <v>1.32673267326733</v>
      </c>
      <c r="N1631" s="27" t="s">
        <v>197</v>
      </c>
      <c r="O1631" s="27"/>
      <c r="P1631" s="27" t="str">
        <f aca="false">A1631&amp;"|"&amp;N1631</f>
        <v>NURSE-09|normal</v>
      </c>
    </row>
    <row r="1632" customFormat="false" ht="15" hidden="false" customHeight="true" outlineLevel="0" collapsed="false">
      <c r="A1632" s="27" t="s">
        <v>100</v>
      </c>
      <c r="B1632" s="41" t="n">
        <v>46303.3020833333</v>
      </c>
      <c r="C1632" s="27" t="s">
        <v>195</v>
      </c>
      <c r="D1632" s="27" t="n">
        <v>44.4</v>
      </c>
      <c r="E1632" s="27" t="n">
        <v>21.3</v>
      </c>
      <c r="F1632" s="27" t="n">
        <v>35.4</v>
      </c>
      <c r="G1632" s="27" t="n">
        <v>32.6</v>
      </c>
      <c r="H1632" s="27" t="s">
        <v>198</v>
      </c>
      <c r="I1632" s="42" t="n">
        <f aca="false">(D1632-INDEX('Cohort Summary'!$D$5:$D$14,MATCH($A1632,'Cohort Summary'!$A$5:$A$14,0)))/INDEX('Cohort Summary'!$E$5:$E$14,MATCH($A1632,'Cohort Summary'!$A$5:$A$14,0))</f>
        <v>1.21724137931035</v>
      </c>
      <c r="J1632" s="42" t="n">
        <f aca="false">(E1632-INDEX('Cohort Summary'!$F$5:$F$14,MATCH($A1632,'Cohort Summary'!$A$5:$A$14,0)))/INDEX('Cohort Summary'!$G$5:$G$14,MATCH($A1632,'Cohort Summary'!$A$5:$A$14,0))</f>
        <v>1.62376237623762</v>
      </c>
      <c r="K1632" s="42" t="n">
        <f aca="false">(F1632-INDEX('Cohort Summary'!$H$5:$H$14,MATCH($A1632,'Cohort Summary'!$A$5:$A$14,0)))/INDEX('Cohort Summary'!$I$5:$I$14,MATCH($A1632,'Cohort Summary'!$A$5:$A$14,0))</f>
        <v>1.41925465838509</v>
      </c>
      <c r="L1632" s="42" t="n">
        <f aca="false">(G1632-INDEX('Cohort Summary'!$J$5:$J$14,MATCH($A1632,'Cohort Summary'!$A$5:$A$14,0)))/INDEX('Cohort Summary'!$K$5:$K$14,MATCH($A1632,'Cohort Summary'!$A$5:$A$14,0))</f>
        <v>-0.786885245901634</v>
      </c>
      <c r="M1632" s="42" t="n">
        <f aca="false">MAX(I1632:K1632)</f>
        <v>1.62376237623762</v>
      </c>
      <c r="N1632" s="27" t="s">
        <v>197</v>
      </c>
      <c r="O1632" s="27"/>
      <c r="P1632" s="27" t="str">
        <f aca="false">A1632&amp;"|"&amp;N1632</f>
        <v>NURSE-09|normal</v>
      </c>
    </row>
    <row r="1633" customFormat="false" ht="15" hidden="false" customHeight="true" outlineLevel="0" collapsed="false">
      <c r="A1633" s="27" t="s">
        <v>100</v>
      </c>
      <c r="B1633" s="41" t="n">
        <v>46303.3024305556</v>
      </c>
      <c r="C1633" s="27" t="s">
        <v>195</v>
      </c>
      <c r="D1633" s="27" t="n">
        <v>41.9</v>
      </c>
      <c r="E1633" s="27" t="n">
        <v>19.4</v>
      </c>
      <c r="F1633" s="27" t="n">
        <v>26.3</v>
      </c>
      <c r="G1633" s="27" t="n">
        <v>33.9</v>
      </c>
      <c r="H1633" s="27" t="s">
        <v>199</v>
      </c>
      <c r="I1633" s="42" t="n">
        <f aca="false">(D1633-INDEX('Cohort Summary'!$D$5:$D$14,MATCH($A1633,'Cohort Summary'!$A$5:$A$14,0)))/INDEX('Cohort Summary'!$E$5:$E$14,MATCH($A1633,'Cohort Summary'!$A$5:$A$14,0))</f>
        <v>0.355172413793104</v>
      </c>
      <c r="J1633" s="42" t="n">
        <f aca="false">(E1633-INDEX('Cohort Summary'!$F$5:$F$14,MATCH($A1633,'Cohort Summary'!$A$5:$A$14,0)))/INDEX('Cohort Summary'!$G$5:$G$14,MATCH($A1633,'Cohort Summary'!$A$5:$A$14,0))</f>
        <v>0.683168316831683</v>
      </c>
      <c r="K1633" s="42" t="n">
        <f aca="false">(F1633-INDEX('Cohort Summary'!$H$5:$H$14,MATCH($A1633,'Cohort Summary'!$A$5:$A$14,0)))/INDEX('Cohort Summary'!$I$5:$I$14,MATCH($A1633,'Cohort Summary'!$A$5:$A$14,0))</f>
        <v>-1.40683229813665</v>
      </c>
      <c r="L1633" s="42" t="n">
        <f aca="false">(G1633-INDEX('Cohort Summary'!$J$5:$J$14,MATCH($A1633,'Cohort Summary'!$A$5:$A$14,0)))/INDEX('Cohort Summary'!$K$5:$K$14,MATCH($A1633,'Cohort Summary'!$A$5:$A$14,0))</f>
        <v>1.34426229508197</v>
      </c>
      <c r="M1633" s="42" t="n">
        <f aca="false">MAX(I1633:K1633)</f>
        <v>0.683168316831683</v>
      </c>
      <c r="N1633" s="27" t="s">
        <v>197</v>
      </c>
      <c r="O1633" s="27"/>
      <c r="P1633" s="27" t="str">
        <f aca="false">A1633&amp;"|"&amp;N1633</f>
        <v>NURSE-09|normal</v>
      </c>
    </row>
    <row r="1634" customFormat="false" ht="15" hidden="false" customHeight="true" outlineLevel="0" collapsed="false">
      <c r="A1634" s="27" t="s">
        <v>100</v>
      </c>
      <c r="B1634" s="41" t="n">
        <v>46303.3027777778</v>
      </c>
      <c r="C1634" s="27" t="s">
        <v>195</v>
      </c>
      <c r="D1634" s="27" t="n">
        <v>39.4</v>
      </c>
      <c r="E1634" s="27" t="n">
        <v>18.1</v>
      </c>
      <c r="F1634" s="27" t="n">
        <v>32.8</v>
      </c>
      <c r="G1634" s="27" t="n">
        <v>32.4</v>
      </c>
      <c r="H1634" s="27" t="s">
        <v>199</v>
      </c>
      <c r="I1634" s="42" t="n">
        <f aca="false">(D1634-INDEX('Cohort Summary'!$D$5:$D$14,MATCH($A1634,'Cohort Summary'!$A$5:$A$14,0)))/INDEX('Cohort Summary'!$E$5:$E$14,MATCH($A1634,'Cohort Summary'!$A$5:$A$14,0))</f>
        <v>-0.506896551724138</v>
      </c>
      <c r="J1634" s="42" t="n">
        <f aca="false">(E1634-INDEX('Cohort Summary'!$F$5:$F$14,MATCH($A1634,'Cohort Summary'!$A$5:$A$14,0)))/INDEX('Cohort Summary'!$G$5:$G$14,MATCH($A1634,'Cohort Summary'!$A$5:$A$14,0))</f>
        <v>0.0396039603960405</v>
      </c>
      <c r="K1634" s="42" t="n">
        <f aca="false">(F1634-INDEX('Cohort Summary'!$H$5:$H$14,MATCH($A1634,'Cohort Summary'!$A$5:$A$14,0)))/INDEX('Cohort Summary'!$I$5:$I$14,MATCH($A1634,'Cohort Summary'!$A$5:$A$14,0))</f>
        <v>0.611801242236025</v>
      </c>
      <c r="L1634" s="42" t="n">
        <f aca="false">(G1634-INDEX('Cohort Summary'!$J$5:$J$14,MATCH($A1634,'Cohort Summary'!$A$5:$A$14,0)))/INDEX('Cohort Summary'!$K$5:$K$14,MATCH($A1634,'Cohort Summary'!$A$5:$A$14,0))</f>
        <v>-1.11475409836066</v>
      </c>
      <c r="M1634" s="42" t="n">
        <f aca="false">MAX(I1634:K1634)</f>
        <v>0.611801242236025</v>
      </c>
      <c r="N1634" s="27" t="s">
        <v>197</v>
      </c>
      <c r="O1634" s="27"/>
      <c r="P1634" s="27" t="str">
        <f aca="false">A1634&amp;"|"&amp;N1634</f>
        <v>NURSE-09|normal</v>
      </c>
    </row>
    <row r="1635" customFormat="false" ht="15" hidden="false" customHeight="true" outlineLevel="0" collapsed="false">
      <c r="A1635" s="27" t="s">
        <v>100</v>
      </c>
      <c r="B1635" s="41" t="n">
        <v>46303.303125</v>
      </c>
      <c r="C1635" s="27" t="s">
        <v>195</v>
      </c>
      <c r="D1635" s="27" t="n">
        <v>38.3</v>
      </c>
      <c r="E1635" s="27" t="n">
        <v>15.6</v>
      </c>
      <c r="F1635" s="27" t="n">
        <v>30.6</v>
      </c>
      <c r="G1635" s="27" t="n">
        <v>33.7</v>
      </c>
      <c r="H1635" s="27" t="s">
        <v>198</v>
      </c>
      <c r="I1635" s="42" t="n">
        <f aca="false">(D1635-INDEX('Cohort Summary'!$D$5:$D$14,MATCH($A1635,'Cohort Summary'!$A$5:$A$14,0)))/INDEX('Cohort Summary'!$E$5:$E$14,MATCH($A1635,'Cohort Summary'!$A$5:$A$14,0))</f>
        <v>-0.886206896551724</v>
      </c>
      <c r="J1635" s="42" t="n">
        <f aca="false">(E1635-INDEX('Cohort Summary'!$F$5:$F$14,MATCH($A1635,'Cohort Summary'!$A$5:$A$14,0)))/INDEX('Cohort Summary'!$G$5:$G$14,MATCH($A1635,'Cohort Summary'!$A$5:$A$14,0))</f>
        <v>-1.1980198019802</v>
      </c>
      <c r="K1635" s="42" t="n">
        <f aca="false">(F1635-INDEX('Cohort Summary'!$H$5:$H$14,MATCH($A1635,'Cohort Summary'!$A$5:$A$14,0)))/INDEX('Cohort Summary'!$I$5:$I$14,MATCH($A1635,'Cohort Summary'!$A$5:$A$14,0))</f>
        <v>-0.0714285714285705</v>
      </c>
      <c r="L1635" s="42" t="n">
        <f aca="false">(G1635-INDEX('Cohort Summary'!$J$5:$J$14,MATCH($A1635,'Cohort Summary'!$A$5:$A$14,0)))/INDEX('Cohort Summary'!$K$5:$K$14,MATCH($A1635,'Cohort Summary'!$A$5:$A$14,0))</f>
        <v>1.01639344262296</v>
      </c>
      <c r="M1635" s="42" t="n">
        <f aca="false">MAX(I1635:K1635)</f>
        <v>-0.0714285714285705</v>
      </c>
      <c r="N1635" s="27" t="s">
        <v>197</v>
      </c>
      <c r="O1635" s="27"/>
      <c r="P1635" s="27" t="str">
        <f aca="false">A1635&amp;"|"&amp;N1635</f>
        <v>NURSE-09|normal</v>
      </c>
    </row>
    <row r="1636" customFormat="false" ht="15" hidden="false" customHeight="true" outlineLevel="0" collapsed="false">
      <c r="A1636" s="27" t="s">
        <v>100</v>
      </c>
      <c r="B1636" s="41" t="n">
        <v>46303.3034722222</v>
      </c>
      <c r="C1636" s="27" t="s">
        <v>195</v>
      </c>
      <c r="D1636" s="27" t="n">
        <v>38.2</v>
      </c>
      <c r="E1636" s="27" t="n">
        <v>16.8</v>
      </c>
      <c r="F1636" s="27" t="n">
        <v>26.3</v>
      </c>
      <c r="G1636" s="27" t="n">
        <v>33.4</v>
      </c>
      <c r="H1636" s="27" t="s">
        <v>196</v>
      </c>
      <c r="I1636" s="42" t="n">
        <f aca="false">(D1636-INDEX('Cohort Summary'!$D$5:$D$14,MATCH($A1636,'Cohort Summary'!$A$5:$A$14,0)))/INDEX('Cohort Summary'!$E$5:$E$14,MATCH($A1636,'Cohort Summary'!$A$5:$A$14,0))</f>
        <v>-0.920689655172412</v>
      </c>
      <c r="J1636" s="42" t="n">
        <f aca="false">(E1636-INDEX('Cohort Summary'!$F$5:$F$14,MATCH($A1636,'Cohort Summary'!$A$5:$A$14,0)))/INDEX('Cohort Summary'!$G$5:$G$14,MATCH($A1636,'Cohort Summary'!$A$5:$A$14,0))</f>
        <v>-0.603960396039603</v>
      </c>
      <c r="K1636" s="42" t="n">
        <f aca="false">(F1636-INDEX('Cohort Summary'!$H$5:$H$14,MATCH($A1636,'Cohort Summary'!$A$5:$A$14,0)))/INDEX('Cohort Summary'!$I$5:$I$14,MATCH($A1636,'Cohort Summary'!$A$5:$A$14,0))</f>
        <v>-1.40683229813665</v>
      </c>
      <c r="L1636" s="42" t="n">
        <f aca="false">(G1636-INDEX('Cohort Summary'!$J$5:$J$14,MATCH($A1636,'Cohort Summary'!$A$5:$A$14,0)))/INDEX('Cohort Summary'!$K$5:$K$14,MATCH($A1636,'Cohort Summary'!$A$5:$A$14,0))</f>
        <v>0.524590163934427</v>
      </c>
      <c r="M1636" s="42" t="n">
        <f aca="false">MAX(I1636:K1636)</f>
        <v>-0.603960396039603</v>
      </c>
      <c r="N1636" s="27" t="s">
        <v>197</v>
      </c>
      <c r="O1636" s="27"/>
      <c r="P1636" s="27" t="str">
        <f aca="false">A1636&amp;"|"&amp;N1636</f>
        <v>NURSE-09|normal</v>
      </c>
    </row>
    <row r="1637" customFormat="false" ht="15" hidden="false" customHeight="true" outlineLevel="0" collapsed="false">
      <c r="A1637" s="27" t="s">
        <v>100</v>
      </c>
      <c r="B1637" s="41" t="n">
        <v>46303.3038194445</v>
      </c>
      <c r="C1637" s="27" t="s">
        <v>195</v>
      </c>
      <c r="D1637" s="27" t="n">
        <v>40.9</v>
      </c>
      <c r="E1637" s="27" t="n">
        <v>18.4</v>
      </c>
      <c r="F1637" s="27" t="n">
        <v>33</v>
      </c>
      <c r="G1637" s="27" t="n">
        <v>32.9</v>
      </c>
      <c r="H1637" s="27" t="s">
        <v>198</v>
      </c>
      <c r="I1637" s="42" t="n">
        <f aca="false">(D1637-INDEX('Cohort Summary'!$D$5:$D$14,MATCH($A1637,'Cohort Summary'!$A$5:$A$14,0)))/INDEX('Cohort Summary'!$E$5:$E$14,MATCH($A1637,'Cohort Summary'!$A$5:$A$14,0))</f>
        <v>0.0103448275862073</v>
      </c>
      <c r="J1637" s="42" t="n">
        <f aca="false">(E1637-INDEX('Cohort Summary'!$F$5:$F$14,MATCH($A1637,'Cohort Summary'!$A$5:$A$14,0)))/INDEX('Cohort Summary'!$G$5:$G$14,MATCH($A1637,'Cohort Summary'!$A$5:$A$14,0))</f>
        <v>0.188118811881188</v>
      </c>
      <c r="K1637" s="42" t="n">
        <f aca="false">(F1637-INDEX('Cohort Summary'!$H$5:$H$14,MATCH($A1637,'Cohort Summary'!$A$5:$A$14,0)))/INDEX('Cohort Summary'!$I$5:$I$14,MATCH($A1637,'Cohort Summary'!$A$5:$A$14,0))</f>
        <v>0.673913043478261</v>
      </c>
      <c r="L1637" s="42" t="n">
        <f aca="false">(G1637-INDEX('Cohort Summary'!$J$5:$J$14,MATCH($A1637,'Cohort Summary'!$A$5:$A$14,0)))/INDEX('Cohort Summary'!$K$5:$K$14,MATCH($A1637,'Cohort Summary'!$A$5:$A$14,0))</f>
        <v>-0.295081967213114</v>
      </c>
      <c r="M1637" s="42" t="n">
        <f aca="false">MAX(I1637:K1637)</f>
        <v>0.673913043478261</v>
      </c>
      <c r="N1637" s="27" t="s">
        <v>197</v>
      </c>
      <c r="O1637" s="27"/>
      <c r="P1637" s="27" t="str">
        <f aca="false">A1637&amp;"|"&amp;N1637</f>
        <v>NURSE-09|normal</v>
      </c>
    </row>
    <row r="1638" customFormat="false" ht="15" hidden="false" customHeight="true" outlineLevel="0" collapsed="false">
      <c r="A1638" s="27" t="s">
        <v>100</v>
      </c>
      <c r="B1638" s="41" t="n">
        <v>46303.3041666667</v>
      </c>
      <c r="C1638" s="27" t="s">
        <v>195</v>
      </c>
      <c r="D1638" s="27" t="n">
        <v>41.2</v>
      </c>
      <c r="E1638" s="27" t="n">
        <v>17</v>
      </c>
      <c r="F1638" s="27" t="n">
        <v>30.6</v>
      </c>
      <c r="G1638" s="27" t="n">
        <v>34</v>
      </c>
      <c r="H1638" s="27" t="s">
        <v>199</v>
      </c>
      <c r="I1638" s="42" t="n">
        <f aca="false">(D1638-INDEX('Cohort Summary'!$D$5:$D$14,MATCH($A1638,'Cohort Summary'!$A$5:$A$14,0)))/INDEX('Cohort Summary'!$E$5:$E$14,MATCH($A1638,'Cohort Summary'!$A$5:$A$14,0))</f>
        <v>0.113793103448278</v>
      </c>
      <c r="J1638" s="42" t="n">
        <f aca="false">(E1638-INDEX('Cohort Summary'!$F$5:$F$14,MATCH($A1638,'Cohort Summary'!$A$5:$A$14,0)))/INDEX('Cohort Summary'!$G$5:$G$14,MATCH($A1638,'Cohort Summary'!$A$5:$A$14,0))</f>
        <v>-0.504950495049505</v>
      </c>
      <c r="K1638" s="42" t="n">
        <f aca="false">(F1638-INDEX('Cohort Summary'!$H$5:$H$14,MATCH($A1638,'Cohort Summary'!$A$5:$A$14,0)))/INDEX('Cohort Summary'!$I$5:$I$14,MATCH($A1638,'Cohort Summary'!$A$5:$A$14,0))</f>
        <v>-0.0714285714285705</v>
      </c>
      <c r="L1638" s="42" t="n">
        <f aca="false">(G1638-INDEX('Cohort Summary'!$J$5:$J$14,MATCH($A1638,'Cohort Summary'!$A$5:$A$14,0)))/INDEX('Cohort Summary'!$K$5:$K$14,MATCH($A1638,'Cohort Summary'!$A$5:$A$14,0))</f>
        <v>1.50819672131148</v>
      </c>
      <c r="M1638" s="42" t="n">
        <f aca="false">MAX(I1638:K1638)</f>
        <v>0.113793103448278</v>
      </c>
      <c r="N1638" s="27" t="s">
        <v>197</v>
      </c>
      <c r="O1638" s="27"/>
      <c r="P1638" s="27" t="str">
        <f aca="false">A1638&amp;"|"&amp;N1638</f>
        <v>NURSE-09|normal</v>
      </c>
    </row>
    <row r="1639" customFormat="false" ht="15" hidden="false" customHeight="true" outlineLevel="0" collapsed="false">
      <c r="A1639" s="27" t="s">
        <v>100</v>
      </c>
      <c r="B1639" s="41" t="n">
        <v>46303.3045138889</v>
      </c>
      <c r="C1639" s="27" t="s">
        <v>195</v>
      </c>
      <c r="D1639" s="27" t="n">
        <v>39.9</v>
      </c>
      <c r="E1639" s="27" t="n">
        <v>17.3</v>
      </c>
      <c r="F1639" s="27" t="n">
        <v>35.6</v>
      </c>
      <c r="G1639" s="27" t="n">
        <v>32.3</v>
      </c>
      <c r="H1639" s="27" t="s">
        <v>198</v>
      </c>
      <c r="I1639" s="42" t="n">
        <f aca="false">(D1639-INDEX('Cohort Summary'!$D$5:$D$14,MATCH($A1639,'Cohort Summary'!$A$5:$A$14,0)))/INDEX('Cohort Summary'!$E$5:$E$14,MATCH($A1639,'Cohort Summary'!$A$5:$A$14,0))</f>
        <v>-0.334482758620689</v>
      </c>
      <c r="J1639" s="42" t="n">
        <f aca="false">(E1639-INDEX('Cohort Summary'!$F$5:$F$14,MATCH($A1639,'Cohort Summary'!$A$5:$A$14,0)))/INDEX('Cohort Summary'!$G$5:$G$14,MATCH($A1639,'Cohort Summary'!$A$5:$A$14,0))</f>
        <v>-0.356435643564356</v>
      </c>
      <c r="K1639" s="42" t="n">
        <f aca="false">(F1639-INDEX('Cohort Summary'!$H$5:$H$14,MATCH($A1639,'Cohort Summary'!$A$5:$A$14,0)))/INDEX('Cohort Summary'!$I$5:$I$14,MATCH($A1639,'Cohort Summary'!$A$5:$A$14,0))</f>
        <v>1.48136645962733</v>
      </c>
      <c r="L1639" s="42" t="n">
        <f aca="false">(G1639-INDEX('Cohort Summary'!$J$5:$J$14,MATCH($A1639,'Cohort Summary'!$A$5:$A$14,0)))/INDEX('Cohort Summary'!$K$5:$K$14,MATCH($A1639,'Cohort Summary'!$A$5:$A$14,0))</f>
        <v>-1.27868852459017</v>
      </c>
      <c r="M1639" s="42" t="n">
        <f aca="false">MAX(I1639:K1639)</f>
        <v>1.48136645962733</v>
      </c>
      <c r="N1639" s="27" t="s">
        <v>197</v>
      </c>
      <c r="O1639" s="27"/>
      <c r="P1639" s="27" t="str">
        <f aca="false">A1639&amp;"|"&amp;N1639</f>
        <v>NURSE-09|normal</v>
      </c>
    </row>
    <row r="1640" customFormat="false" ht="15" hidden="false" customHeight="true" outlineLevel="0" collapsed="false">
      <c r="A1640" s="27" t="s">
        <v>100</v>
      </c>
      <c r="B1640" s="41" t="n">
        <v>46303.3048611111</v>
      </c>
      <c r="C1640" s="27" t="s">
        <v>195</v>
      </c>
      <c r="D1640" s="27" t="n">
        <v>41.1</v>
      </c>
      <c r="E1640" s="27" t="n">
        <v>18.3</v>
      </c>
      <c r="F1640" s="27" t="n">
        <v>35.3</v>
      </c>
      <c r="G1640" s="27" t="n">
        <v>33.6</v>
      </c>
      <c r="H1640" s="27" t="s">
        <v>198</v>
      </c>
      <c r="I1640" s="42" t="n">
        <f aca="false">(D1640-INDEX('Cohort Summary'!$D$5:$D$14,MATCH($A1640,'Cohort Summary'!$A$5:$A$14,0)))/INDEX('Cohort Summary'!$E$5:$E$14,MATCH($A1640,'Cohort Summary'!$A$5:$A$14,0))</f>
        <v>0.0793103448275876</v>
      </c>
      <c r="J1640" s="42" t="n">
        <f aca="false">(E1640-INDEX('Cohort Summary'!$F$5:$F$14,MATCH($A1640,'Cohort Summary'!$A$5:$A$14,0)))/INDEX('Cohort Summary'!$G$5:$G$14,MATCH($A1640,'Cohort Summary'!$A$5:$A$14,0))</f>
        <v>0.138613861386139</v>
      </c>
      <c r="K1640" s="42" t="n">
        <f aca="false">(F1640-INDEX('Cohort Summary'!$H$5:$H$14,MATCH($A1640,'Cohort Summary'!$A$5:$A$14,0)))/INDEX('Cohort Summary'!$I$5:$I$14,MATCH($A1640,'Cohort Summary'!$A$5:$A$14,0))</f>
        <v>1.38819875776397</v>
      </c>
      <c r="L1640" s="42" t="n">
        <f aca="false">(G1640-INDEX('Cohort Summary'!$J$5:$J$14,MATCH($A1640,'Cohort Summary'!$A$5:$A$14,0)))/INDEX('Cohort Summary'!$K$5:$K$14,MATCH($A1640,'Cohort Summary'!$A$5:$A$14,0))</f>
        <v>0.852459016393448</v>
      </c>
      <c r="M1640" s="42" t="n">
        <f aca="false">MAX(I1640:K1640)</f>
        <v>1.38819875776397</v>
      </c>
      <c r="N1640" s="27" t="s">
        <v>197</v>
      </c>
      <c r="O1640" s="27"/>
      <c r="P1640" s="27" t="str">
        <f aca="false">A1640&amp;"|"&amp;N1640</f>
        <v>NURSE-09|normal</v>
      </c>
    </row>
    <row r="1641" customFormat="false" ht="15" hidden="false" customHeight="true" outlineLevel="0" collapsed="false">
      <c r="A1641" s="27" t="s">
        <v>100</v>
      </c>
      <c r="B1641" s="41" t="n">
        <v>46303.3052083333</v>
      </c>
      <c r="C1641" s="27" t="s">
        <v>195</v>
      </c>
      <c r="D1641" s="27" t="n">
        <v>39.9</v>
      </c>
      <c r="E1641" s="27" t="n">
        <v>17.6</v>
      </c>
      <c r="F1641" s="27" t="n">
        <v>29.8</v>
      </c>
      <c r="G1641" s="27" t="n">
        <v>32.3</v>
      </c>
      <c r="H1641" s="27" t="s">
        <v>196</v>
      </c>
      <c r="I1641" s="42" t="n">
        <f aca="false">(D1641-INDEX('Cohort Summary'!$D$5:$D$14,MATCH($A1641,'Cohort Summary'!$A$5:$A$14,0)))/INDEX('Cohort Summary'!$E$5:$E$14,MATCH($A1641,'Cohort Summary'!$A$5:$A$14,0))</f>
        <v>-0.334482758620689</v>
      </c>
      <c r="J1641" s="42" t="n">
        <f aca="false">(E1641-INDEX('Cohort Summary'!$F$5:$F$14,MATCH($A1641,'Cohort Summary'!$A$5:$A$14,0)))/INDEX('Cohort Summary'!$G$5:$G$14,MATCH($A1641,'Cohort Summary'!$A$5:$A$14,0))</f>
        <v>-0.207920792079207</v>
      </c>
      <c r="K1641" s="42" t="n">
        <f aca="false">(F1641-INDEX('Cohort Summary'!$H$5:$H$14,MATCH($A1641,'Cohort Summary'!$A$5:$A$14,0)))/INDEX('Cohort Summary'!$I$5:$I$14,MATCH($A1641,'Cohort Summary'!$A$5:$A$14,0))</f>
        <v>-0.319875776397515</v>
      </c>
      <c r="L1641" s="42" t="n">
        <f aca="false">(G1641-INDEX('Cohort Summary'!$J$5:$J$14,MATCH($A1641,'Cohort Summary'!$A$5:$A$14,0)))/INDEX('Cohort Summary'!$K$5:$K$14,MATCH($A1641,'Cohort Summary'!$A$5:$A$14,0))</f>
        <v>-1.27868852459017</v>
      </c>
      <c r="M1641" s="42" t="n">
        <f aca="false">MAX(I1641:K1641)</f>
        <v>-0.207920792079207</v>
      </c>
      <c r="N1641" s="27" t="s">
        <v>197</v>
      </c>
      <c r="O1641" s="27"/>
      <c r="P1641" s="27" t="str">
        <f aca="false">A1641&amp;"|"&amp;N1641</f>
        <v>NURSE-09|normal</v>
      </c>
    </row>
    <row r="1642" customFormat="false" ht="15" hidden="false" customHeight="true" outlineLevel="0" collapsed="false">
      <c r="A1642" s="27" t="s">
        <v>100</v>
      </c>
      <c r="B1642" s="41" t="n">
        <v>46303.3055555556</v>
      </c>
      <c r="C1642" s="27" t="s">
        <v>195</v>
      </c>
      <c r="D1642" s="27" t="n">
        <v>41</v>
      </c>
      <c r="E1642" s="27" t="n">
        <v>15.3</v>
      </c>
      <c r="F1642" s="27" t="n">
        <v>30.5</v>
      </c>
      <c r="G1642" s="27" t="n">
        <v>33.8</v>
      </c>
      <c r="H1642" s="27" t="s">
        <v>196</v>
      </c>
      <c r="I1642" s="42" t="n">
        <f aca="false">(D1642-INDEX('Cohort Summary'!$D$5:$D$14,MATCH($A1642,'Cohort Summary'!$A$5:$A$14,0)))/INDEX('Cohort Summary'!$E$5:$E$14,MATCH($A1642,'Cohort Summary'!$A$5:$A$14,0))</f>
        <v>0.0448275862068974</v>
      </c>
      <c r="J1642" s="42" t="n">
        <f aca="false">(E1642-INDEX('Cohort Summary'!$F$5:$F$14,MATCH($A1642,'Cohort Summary'!$A$5:$A$14,0)))/INDEX('Cohort Summary'!$G$5:$G$14,MATCH($A1642,'Cohort Summary'!$A$5:$A$14,0))</f>
        <v>-1.34653465346535</v>
      </c>
      <c r="K1642" s="42" t="n">
        <f aca="false">(F1642-INDEX('Cohort Summary'!$H$5:$H$14,MATCH($A1642,'Cohort Summary'!$A$5:$A$14,0)))/INDEX('Cohort Summary'!$I$5:$I$14,MATCH($A1642,'Cohort Summary'!$A$5:$A$14,0))</f>
        <v>-0.102484472049689</v>
      </c>
      <c r="L1642" s="42" t="n">
        <f aca="false">(G1642-INDEX('Cohort Summary'!$J$5:$J$14,MATCH($A1642,'Cohort Summary'!$A$5:$A$14,0)))/INDEX('Cohort Summary'!$K$5:$K$14,MATCH($A1642,'Cohort Summary'!$A$5:$A$14,0))</f>
        <v>1.18032786885246</v>
      </c>
      <c r="M1642" s="42" t="n">
        <f aca="false">MAX(I1642:K1642)</f>
        <v>0.0448275862068974</v>
      </c>
      <c r="N1642" s="27" t="s">
        <v>197</v>
      </c>
      <c r="O1642" s="27"/>
      <c r="P1642" s="27" t="str">
        <f aca="false">A1642&amp;"|"&amp;N1642</f>
        <v>NURSE-09|normal</v>
      </c>
    </row>
    <row r="1643" customFormat="false" ht="15" hidden="false" customHeight="true" outlineLevel="0" collapsed="false">
      <c r="A1643" s="27" t="s">
        <v>100</v>
      </c>
      <c r="B1643" s="41" t="n">
        <v>46303.3059027778</v>
      </c>
      <c r="C1643" s="27" t="s">
        <v>195</v>
      </c>
      <c r="D1643" s="27" t="n">
        <v>37.5</v>
      </c>
      <c r="E1643" s="27" t="n">
        <v>17.4</v>
      </c>
      <c r="F1643" s="27" t="n">
        <v>32.8</v>
      </c>
      <c r="G1643" s="27" t="n">
        <v>32.3</v>
      </c>
      <c r="H1643" s="27" t="s">
        <v>198</v>
      </c>
      <c r="I1643" s="42" t="n">
        <f aca="false">(D1643-INDEX('Cohort Summary'!$D$5:$D$14,MATCH($A1643,'Cohort Summary'!$A$5:$A$14,0)))/INDEX('Cohort Summary'!$E$5:$E$14,MATCH($A1643,'Cohort Summary'!$A$5:$A$14,0))</f>
        <v>-1.16206896551724</v>
      </c>
      <c r="J1643" s="42" t="n">
        <f aca="false">(E1643-INDEX('Cohort Summary'!$F$5:$F$14,MATCH($A1643,'Cohort Summary'!$A$5:$A$14,0)))/INDEX('Cohort Summary'!$G$5:$G$14,MATCH($A1643,'Cohort Summary'!$A$5:$A$14,0))</f>
        <v>-0.306930693069307</v>
      </c>
      <c r="K1643" s="42" t="n">
        <f aca="false">(F1643-INDEX('Cohort Summary'!$H$5:$H$14,MATCH($A1643,'Cohort Summary'!$A$5:$A$14,0)))/INDEX('Cohort Summary'!$I$5:$I$14,MATCH($A1643,'Cohort Summary'!$A$5:$A$14,0))</f>
        <v>0.611801242236025</v>
      </c>
      <c r="L1643" s="42" t="n">
        <f aca="false">(G1643-INDEX('Cohort Summary'!$J$5:$J$14,MATCH($A1643,'Cohort Summary'!$A$5:$A$14,0)))/INDEX('Cohort Summary'!$K$5:$K$14,MATCH($A1643,'Cohort Summary'!$A$5:$A$14,0))</f>
        <v>-1.27868852459017</v>
      </c>
      <c r="M1643" s="42" t="n">
        <f aca="false">MAX(I1643:K1643)</f>
        <v>0.611801242236025</v>
      </c>
      <c r="N1643" s="27" t="s">
        <v>197</v>
      </c>
      <c r="O1643" s="27"/>
      <c r="P1643" s="27" t="str">
        <f aca="false">A1643&amp;"|"&amp;N1643</f>
        <v>NURSE-09|normal</v>
      </c>
    </row>
    <row r="1644" customFormat="false" ht="15" hidden="false" customHeight="true" outlineLevel="0" collapsed="false">
      <c r="A1644" s="27" t="s">
        <v>100</v>
      </c>
      <c r="B1644" s="41" t="n">
        <v>46303.30625</v>
      </c>
      <c r="C1644" s="27" t="s">
        <v>195</v>
      </c>
      <c r="D1644" s="27" t="n">
        <v>37.9</v>
      </c>
      <c r="E1644" s="27" t="n">
        <v>20.9</v>
      </c>
      <c r="F1644" s="27" t="n">
        <v>36</v>
      </c>
      <c r="G1644" s="27" t="n">
        <v>33.9</v>
      </c>
      <c r="H1644" s="27" t="s">
        <v>198</v>
      </c>
      <c r="I1644" s="42" t="n">
        <f aca="false">(D1644-INDEX('Cohort Summary'!$D$5:$D$14,MATCH($A1644,'Cohort Summary'!$A$5:$A$14,0)))/INDEX('Cohort Summary'!$E$5:$E$14,MATCH($A1644,'Cohort Summary'!$A$5:$A$14,0))</f>
        <v>-1.02413793103448</v>
      </c>
      <c r="J1644" s="42" t="n">
        <f aca="false">(E1644-INDEX('Cohort Summary'!$F$5:$F$14,MATCH($A1644,'Cohort Summary'!$A$5:$A$14,0)))/INDEX('Cohort Summary'!$G$5:$G$14,MATCH($A1644,'Cohort Summary'!$A$5:$A$14,0))</f>
        <v>1.42574257425743</v>
      </c>
      <c r="K1644" s="42" t="n">
        <f aca="false">(F1644-INDEX('Cohort Summary'!$H$5:$H$14,MATCH($A1644,'Cohort Summary'!$A$5:$A$14,0)))/INDEX('Cohort Summary'!$I$5:$I$14,MATCH($A1644,'Cohort Summary'!$A$5:$A$14,0))</f>
        <v>1.6055900621118</v>
      </c>
      <c r="L1644" s="42" t="n">
        <f aca="false">(G1644-INDEX('Cohort Summary'!$J$5:$J$14,MATCH($A1644,'Cohort Summary'!$A$5:$A$14,0)))/INDEX('Cohort Summary'!$K$5:$K$14,MATCH($A1644,'Cohort Summary'!$A$5:$A$14,0))</f>
        <v>1.34426229508197</v>
      </c>
      <c r="M1644" s="42" t="n">
        <f aca="false">MAX(I1644:K1644)</f>
        <v>1.6055900621118</v>
      </c>
      <c r="N1644" s="27" t="s">
        <v>197</v>
      </c>
      <c r="O1644" s="27"/>
      <c r="P1644" s="27" t="str">
        <f aca="false">A1644&amp;"|"&amp;N1644</f>
        <v>NURSE-09|normal</v>
      </c>
    </row>
    <row r="1645" customFormat="false" ht="15" hidden="false" customHeight="true" outlineLevel="0" collapsed="false">
      <c r="A1645" s="27" t="s">
        <v>100</v>
      </c>
      <c r="B1645" s="41" t="n">
        <v>46303.3065972222</v>
      </c>
      <c r="C1645" s="27" t="s">
        <v>195</v>
      </c>
      <c r="D1645" s="27" t="n">
        <v>38.7</v>
      </c>
      <c r="E1645" s="27" t="n">
        <v>21.7</v>
      </c>
      <c r="F1645" s="27" t="n">
        <v>30.1</v>
      </c>
      <c r="G1645" s="27" t="n">
        <v>33.4</v>
      </c>
      <c r="H1645" s="27" t="s">
        <v>198</v>
      </c>
      <c r="I1645" s="42" t="n">
        <f aca="false">(D1645-INDEX('Cohort Summary'!$D$5:$D$14,MATCH($A1645,'Cohort Summary'!$A$5:$A$14,0)))/INDEX('Cohort Summary'!$E$5:$E$14,MATCH($A1645,'Cohort Summary'!$A$5:$A$14,0))</f>
        <v>-0.748275862068964</v>
      </c>
      <c r="J1645" s="42" t="n">
        <f aca="false">(E1645-INDEX('Cohort Summary'!$F$5:$F$14,MATCH($A1645,'Cohort Summary'!$A$5:$A$14,0)))/INDEX('Cohort Summary'!$G$5:$G$14,MATCH($A1645,'Cohort Summary'!$A$5:$A$14,0))</f>
        <v>1.82178217821782</v>
      </c>
      <c r="K1645" s="42" t="n">
        <f aca="false">(F1645-INDEX('Cohort Summary'!$H$5:$H$14,MATCH($A1645,'Cohort Summary'!$A$5:$A$14,0)))/INDEX('Cohort Summary'!$I$5:$I$14,MATCH($A1645,'Cohort Summary'!$A$5:$A$14,0))</f>
        <v>-0.226708074534161</v>
      </c>
      <c r="L1645" s="42" t="n">
        <f aca="false">(G1645-INDEX('Cohort Summary'!$J$5:$J$14,MATCH($A1645,'Cohort Summary'!$A$5:$A$14,0)))/INDEX('Cohort Summary'!$K$5:$K$14,MATCH($A1645,'Cohort Summary'!$A$5:$A$14,0))</f>
        <v>0.524590163934427</v>
      </c>
      <c r="M1645" s="42" t="n">
        <f aca="false">MAX(I1645:K1645)</f>
        <v>1.82178217821782</v>
      </c>
      <c r="N1645" s="27" t="s">
        <v>197</v>
      </c>
      <c r="O1645" s="27"/>
      <c r="P1645" s="27" t="str">
        <f aca="false">A1645&amp;"|"&amp;N1645</f>
        <v>NURSE-09|normal</v>
      </c>
    </row>
    <row r="1646" customFormat="false" ht="15" hidden="false" customHeight="true" outlineLevel="0" collapsed="false">
      <c r="A1646" s="27" t="s">
        <v>100</v>
      </c>
      <c r="B1646" s="41" t="n">
        <v>46303.3069444444</v>
      </c>
      <c r="C1646" s="27" t="s">
        <v>195</v>
      </c>
      <c r="D1646" s="27" t="n">
        <v>44.7</v>
      </c>
      <c r="E1646" s="27" t="n">
        <v>19.9</v>
      </c>
      <c r="F1646" s="27" t="n">
        <v>26.1</v>
      </c>
      <c r="G1646" s="27" t="n">
        <v>32.2</v>
      </c>
      <c r="H1646" s="27" t="s">
        <v>196</v>
      </c>
      <c r="I1646" s="42" t="n">
        <f aca="false">(D1646-INDEX('Cohort Summary'!$D$5:$D$14,MATCH($A1646,'Cohort Summary'!$A$5:$A$14,0)))/INDEX('Cohort Summary'!$E$5:$E$14,MATCH($A1646,'Cohort Summary'!$A$5:$A$14,0))</f>
        <v>1.32068965517242</v>
      </c>
      <c r="J1646" s="42" t="n">
        <f aca="false">(E1646-INDEX('Cohort Summary'!$F$5:$F$14,MATCH($A1646,'Cohort Summary'!$A$5:$A$14,0)))/INDEX('Cohort Summary'!$G$5:$G$14,MATCH($A1646,'Cohort Summary'!$A$5:$A$14,0))</f>
        <v>0.93069306930693</v>
      </c>
      <c r="K1646" s="42" t="n">
        <f aca="false">(F1646-INDEX('Cohort Summary'!$H$5:$H$14,MATCH($A1646,'Cohort Summary'!$A$5:$A$14,0)))/INDEX('Cohort Summary'!$I$5:$I$14,MATCH($A1646,'Cohort Summary'!$A$5:$A$14,0))</f>
        <v>-1.46894409937888</v>
      </c>
      <c r="L1646" s="42" t="n">
        <f aca="false">(G1646-INDEX('Cohort Summary'!$J$5:$J$14,MATCH($A1646,'Cohort Summary'!$A$5:$A$14,0)))/INDEX('Cohort Summary'!$K$5:$K$14,MATCH($A1646,'Cohort Summary'!$A$5:$A$14,0))</f>
        <v>-1.44262295081966</v>
      </c>
      <c r="M1646" s="42" t="n">
        <f aca="false">MAX(I1646:K1646)</f>
        <v>1.32068965517242</v>
      </c>
      <c r="N1646" s="27" t="s">
        <v>197</v>
      </c>
      <c r="O1646" s="27"/>
      <c r="P1646" s="27" t="str">
        <f aca="false">A1646&amp;"|"&amp;N1646</f>
        <v>NURSE-09|normal</v>
      </c>
    </row>
    <row r="1647" customFormat="false" ht="15" hidden="false" customHeight="true" outlineLevel="0" collapsed="false">
      <c r="A1647" s="27" t="s">
        <v>100</v>
      </c>
      <c r="B1647" s="41" t="n">
        <v>46303.3072916667</v>
      </c>
      <c r="C1647" s="27" t="s">
        <v>195</v>
      </c>
      <c r="D1647" s="27" t="n">
        <v>44.5</v>
      </c>
      <c r="E1647" s="27" t="n">
        <v>20.4</v>
      </c>
      <c r="F1647" s="27" t="n">
        <v>30.4</v>
      </c>
      <c r="G1647" s="27" t="n">
        <v>34</v>
      </c>
      <c r="H1647" s="27" t="s">
        <v>196</v>
      </c>
      <c r="I1647" s="42" t="n">
        <f aca="false">(D1647-INDEX('Cohort Summary'!$D$5:$D$14,MATCH($A1647,'Cohort Summary'!$A$5:$A$14,0)))/INDEX('Cohort Summary'!$E$5:$E$14,MATCH($A1647,'Cohort Summary'!$A$5:$A$14,0))</f>
        <v>1.25172413793104</v>
      </c>
      <c r="J1647" s="42" t="n">
        <f aca="false">(E1647-INDEX('Cohort Summary'!$F$5:$F$14,MATCH($A1647,'Cohort Summary'!$A$5:$A$14,0)))/INDEX('Cohort Summary'!$G$5:$G$14,MATCH($A1647,'Cohort Summary'!$A$5:$A$14,0))</f>
        <v>1.17821782178218</v>
      </c>
      <c r="K1647" s="42" t="n">
        <f aca="false">(F1647-INDEX('Cohort Summary'!$H$5:$H$14,MATCH($A1647,'Cohort Summary'!$A$5:$A$14,0)))/INDEX('Cohort Summary'!$I$5:$I$14,MATCH($A1647,'Cohort Summary'!$A$5:$A$14,0))</f>
        <v>-0.133540372670807</v>
      </c>
      <c r="L1647" s="42" t="n">
        <f aca="false">(G1647-INDEX('Cohort Summary'!$J$5:$J$14,MATCH($A1647,'Cohort Summary'!$A$5:$A$14,0)))/INDEX('Cohort Summary'!$K$5:$K$14,MATCH($A1647,'Cohort Summary'!$A$5:$A$14,0))</f>
        <v>1.50819672131148</v>
      </c>
      <c r="M1647" s="42" t="n">
        <f aca="false">MAX(I1647:K1647)</f>
        <v>1.25172413793104</v>
      </c>
      <c r="N1647" s="27" t="s">
        <v>197</v>
      </c>
      <c r="O1647" s="27"/>
      <c r="P1647" s="27" t="str">
        <f aca="false">A1647&amp;"|"&amp;N1647</f>
        <v>NURSE-09|normal</v>
      </c>
    </row>
    <row r="1648" customFormat="false" ht="15" hidden="false" customHeight="true" outlineLevel="0" collapsed="false">
      <c r="A1648" s="27" t="s">
        <v>100</v>
      </c>
      <c r="B1648" s="41" t="n">
        <v>46303.3076388889</v>
      </c>
      <c r="C1648" s="27" t="s">
        <v>195</v>
      </c>
      <c r="D1648" s="27" t="n">
        <v>41.8</v>
      </c>
      <c r="E1648" s="27" t="n">
        <v>16.3</v>
      </c>
      <c r="F1648" s="27" t="n">
        <v>29.3</v>
      </c>
      <c r="G1648" s="27" t="n">
        <v>32.4</v>
      </c>
      <c r="H1648" s="27" t="s">
        <v>199</v>
      </c>
      <c r="I1648" s="42" t="n">
        <f aca="false">(D1648-INDEX('Cohort Summary'!$D$5:$D$14,MATCH($A1648,'Cohort Summary'!$A$5:$A$14,0)))/INDEX('Cohort Summary'!$E$5:$E$14,MATCH($A1648,'Cohort Summary'!$A$5:$A$14,0))</f>
        <v>0.320689655172414</v>
      </c>
      <c r="J1648" s="42" t="n">
        <f aca="false">(E1648-INDEX('Cohort Summary'!$F$5:$F$14,MATCH($A1648,'Cohort Summary'!$A$5:$A$14,0)))/INDEX('Cohort Summary'!$G$5:$G$14,MATCH($A1648,'Cohort Summary'!$A$5:$A$14,0))</f>
        <v>-0.851485148514851</v>
      </c>
      <c r="K1648" s="42" t="n">
        <f aca="false">(F1648-INDEX('Cohort Summary'!$H$5:$H$14,MATCH($A1648,'Cohort Summary'!$A$5:$A$14,0)))/INDEX('Cohort Summary'!$I$5:$I$14,MATCH($A1648,'Cohort Summary'!$A$5:$A$14,0))</f>
        <v>-0.475155279503105</v>
      </c>
      <c r="L1648" s="42" t="n">
        <f aca="false">(G1648-INDEX('Cohort Summary'!$J$5:$J$14,MATCH($A1648,'Cohort Summary'!$A$5:$A$14,0)))/INDEX('Cohort Summary'!$K$5:$K$14,MATCH($A1648,'Cohort Summary'!$A$5:$A$14,0))</f>
        <v>-1.11475409836066</v>
      </c>
      <c r="M1648" s="42" t="n">
        <f aca="false">MAX(I1648:K1648)</f>
        <v>0.320689655172414</v>
      </c>
      <c r="N1648" s="27" t="s">
        <v>197</v>
      </c>
      <c r="O1648" s="27"/>
      <c r="P1648" s="27" t="str">
        <f aca="false">A1648&amp;"|"&amp;N1648</f>
        <v>NURSE-09|normal</v>
      </c>
    </row>
    <row r="1649" customFormat="false" ht="15" hidden="false" customHeight="true" outlineLevel="0" collapsed="false">
      <c r="A1649" s="27" t="s">
        <v>100</v>
      </c>
      <c r="B1649" s="41" t="n">
        <v>46303.3079861111</v>
      </c>
      <c r="C1649" s="27" t="s">
        <v>195</v>
      </c>
      <c r="D1649" s="27" t="n">
        <v>43.1</v>
      </c>
      <c r="E1649" s="27" t="n">
        <v>21.3</v>
      </c>
      <c r="F1649" s="27" t="n">
        <v>34.5</v>
      </c>
      <c r="G1649" s="27" t="n">
        <v>32.5</v>
      </c>
      <c r="H1649" s="27" t="s">
        <v>198</v>
      </c>
      <c r="I1649" s="42" t="n">
        <f aca="false">(D1649-INDEX('Cohort Summary'!$D$5:$D$14,MATCH($A1649,'Cohort Summary'!$A$5:$A$14,0)))/INDEX('Cohort Summary'!$E$5:$E$14,MATCH($A1649,'Cohort Summary'!$A$5:$A$14,0))</f>
        <v>0.768965517241381</v>
      </c>
      <c r="J1649" s="42" t="n">
        <f aca="false">(E1649-INDEX('Cohort Summary'!$F$5:$F$14,MATCH($A1649,'Cohort Summary'!$A$5:$A$14,0)))/INDEX('Cohort Summary'!$G$5:$G$14,MATCH($A1649,'Cohort Summary'!$A$5:$A$14,0))</f>
        <v>1.62376237623762</v>
      </c>
      <c r="K1649" s="42" t="n">
        <f aca="false">(F1649-INDEX('Cohort Summary'!$H$5:$H$14,MATCH($A1649,'Cohort Summary'!$A$5:$A$14,0)))/INDEX('Cohort Summary'!$I$5:$I$14,MATCH($A1649,'Cohort Summary'!$A$5:$A$14,0))</f>
        <v>1.13975155279503</v>
      </c>
      <c r="L1649" s="42" t="n">
        <f aca="false">(G1649-INDEX('Cohort Summary'!$J$5:$J$14,MATCH($A1649,'Cohort Summary'!$A$5:$A$14,0)))/INDEX('Cohort Summary'!$K$5:$K$14,MATCH($A1649,'Cohort Summary'!$A$5:$A$14,0))</f>
        <v>-0.950819672131145</v>
      </c>
      <c r="M1649" s="42" t="n">
        <f aca="false">MAX(I1649:K1649)</f>
        <v>1.62376237623762</v>
      </c>
      <c r="N1649" s="27" t="s">
        <v>197</v>
      </c>
      <c r="O1649" s="27"/>
      <c r="P1649" s="27" t="str">
        <f aca="false">A1649&amp;"|"&amp;N1649</f>
        <v>NURSE-09|normal</v>
      </c>
    </row>
    <row r="1650" customFormat="false" ht="15" hidden="false" customHeight="true" outlineLevel="0" collapsed="false">
      <c r="A1650" s="27" t="s">
        <v>100</v>
      </c>
      <c r="B1650" s="41" t="n">
        <v>46303.3083333333</v>
      </c>
      <c r="C1650" s="27" t="s">
        <v>195</v>
      </c>
      <c r="D1650" s="27" t="n">
        <v>43.7</v>
      </c>
      <c r="E1650" s="27" t="n">
        <v>15.5</v>
      </c>
      <c r="F1650" s="27" t="n">
        <v>34.7</v>
      </c>
      <c r="G1650" s="27" t="n">
        <v>33.2</v>
      </c>
      <c r="H1650" s="27" t="s">
        <v>199</v>
      </c>
      <c r="I1650" s="42" t="n">
        <f aca="false">(D1650-INDEX('Cohort Summary'!$D$5:$D$14,MATCH($A1650,'Cohort Summary'!$A$5:$A$14,0)))/INDEX('Cohort Summary'!$E$5:$E$14,MATCH($A1650,'Cohort Summary'!$A$5:$A$14,0))</f>
        <v>0.975862068965519</v>
      </c>
      <c r="J1650" s="42" t="n">
        <f aca="false">(E1650-INDEX('Cohort Summary'!$F$5:$F$14,MATCH($A1650,'Cohort Summary'!$A$5:$A$14,0)))/INDEX('Cohort Summary'!$G$5:$G$14,MATCH($A1650,'Cohort Summary'!$A$5:$A$14,0))</f>
        <v>-1.24752475247525</v>
      </c>
      <c r="K1650" s="42" t="n">
        <f aca="false">(F1650-INDEX('Cohort Summary'!$H$5:$H$14,MATCH($A1650,'Cohort Summary'!$A$5:$A$14,0)))/INDEX('Cohort Summary'!$I$5:$I$14,MATCH($A1650,'Cohort Summary'!$A$5:$A$14,0))</f>
        <v>1.20186335403727</v>
      </c>
      <c r="L1650" s="42" t="n">
        <f aca="false">(G1650-INDEX('Cohort Summary'!$J$5:$J$14,MATCH($A1650,'Cohort Summary'!$A$5:$A$14,0)))/INDEX('Cohort Summary'!$K$5:$K$14,MATCH($A1650,'Cohort Summary'!$A$5:$A$14,0))</f>
        <v>0.196721311475417</v>
      </c>
      <c r="M1650" s="42" t="n">
        <f aca="false">MAX(I1650:K1650)</f>
        <v>1.20186335403727</v>
      </c>
      <c r="N1650" s="27" t="s">
        <v>197</v>
      </c>
      <c r="O1650" s="27"/>
      <c r="P1650" s="27" t="str">
        <f aca="false">A1650&amp;"|"&amp;N1650</f>
        <v>NURSE-09|normal</v>
      </c>
    </row>
    <row r="1651" customFormat="false" ht="15" hidden="false" customHeight="true" outlineLevel="0" collapsed="false">
      <c r="A1651" s="27" t="s">
        <v>100</v>
      </c>
      <c r="B1651" s="41" t="n">
        <v>46303.3086805556</v>
      </c>
      <c r="C1651" s="27" t="s">
        <v>195</v>
      </c>
      <c r="D1651" s="27" t="n">
        <v>40.9</v>
      </c>
      <c r="E1651" s="27" t="n">
        <v>15.6</v>
      </c>
      <c r="F1651" s="27" t="n">
        <v>33</v>
      </c>
      <c r="G1651" s="27" t="n">
        <v>32.4</v>
      </c>
      <c r="H1651" s="27" t="s">
        <v>196</v>
      </c>
      <c r="I1651" s="42" t="n">
        <f aca="false">(D1651-INDEX('Cohort Summary'!$D$5:$D$14,MATCH($A1651,'Cohort Summary'!$A$5:$A$14,0)))/INDEX('Cohort Summary'!$E$5:$E$14,MATCH($A1651,'Cohort Summary'!$A$5:$A$14,0))</f>
        <v>0.0103448275862073</v>
      </c>
      <c r="J1651" s="42" t="n">
        <f aca="false">(E1651-INDEX('Cohort Summary'!$F$5:$F$14,MATCH($A1651,'Cohort Summary'!$A$5:$A$14,0)))/INDEX('Cohort Summary'!$G$5:$G$14,MATCH($A1651,'Cohort Summary'!$A$5:$A$14,0))</f>
        <v>-1.1980198019802</v>
      </c>
      <c r="K1651" s="42" t="n">
        <f aca="false">(F1651-INDEX('Cohort Summary'!$H$5:$H$14,MATCH($A1651,'Cohort Summary'!$A$5:$A$14,0)))/INDEX('Cohort Summary'!$I$5:$I$14,MATCH($A1651,'Cohort Summary'!$A$5:$A$14,0))</f>
        <v>0.673913043478261</v>
      </c>
      <c r="L1651" s="42" t="n">
        <f aca="false">(G1651-INDEX('Cohort Summary'!$J$5:$J$14,MATCH($A1651,'Cohort Summary'!$A$5:$A$14,0)))/INDEX('Cohort Summary'!$K$5:$K$14,MATCH($A1651,'Cohort Summary'!$A$5:$A$14,0))</f>
        <v>-1.11475409836066</v>
      </c>
      <c r="M1651" s="42" t="n">
        <f aca="false">MAX(I1651:K1651)</f>
        <v>0.673913043478261</v>
      </c>
      <c r="N1651" s="27" t="s">
        <v>197</v>
      </c>
      <c r="O1651" s="27"/>
      <c r="P1651" s="27" t="str">
        <f aca="false">A1651&amp;"|"&amp;N1651</f>
        <v>NURSE-09|normal</v>
      </c>
    </row>
    <row r="1652" customFormat="false" ht="15" hidden="false" customHeight="true" outlineLevel="0" collapsed="false">
      <c r="A1652" s="27" t="s">
        <v>100</v>
      </c>
      <c r="B1652" s="41" t="n">
        <v>46303.3090277778</v>
      </c>
      <c r="C1652" s="27" t="s">
        <v>195</v>
      </c>
      <c r="D1652" s="27" t="n">
        <v>43.3</v>
      </c>
      <c r="E1652" s="27" t="n">
        <v>16</v>
      </c>
      <c r="F1652" s="27" t="n">
        <v>31.4</v>
      </c>
      <c r="G1652" s="27" t="n">
        <v>32.6</v>
      </c>
      <c r="H1652" s="27" t="s">
        <v>199</v>
      </c>
      <c r="I1652" s="42" t="n">
        <f aca="false">(D1652-INDEX('Cohort Summary'!$D$5:$D$14,MATCH($A1652,'Cohort Summary'!$A$5:$A$14,0)))/INDEX('Cohort Summary'!$E$5:$E$14,MATCH($A1652,'Cohort Summary'!$A$5:$A$14,0))</f>
        <v>0.837931034482759</v>
      </c>
      <c r="J1652" s="42" t="n">
        <f aca="false">(E1652-INDEX('Cohort Summary'!$F$5:$F$14,MATCH($A1652,'Cohort Summary'!$A$5:$A$14,0)))/INDEX('Cohort Summary'!$G$5:$G$14,MATCH($A1652,'Cohort Summary'!$A$5:$A$14,0))</f>
        <v>-1</v>
      </c>
      <c r="K1652" s="42" t="n">
        <f aca="false">(F1652-INDEX('Cohort Summary'!$H$5:$H$14,MATCH($A1652,'Cohort Summary'!$A$5:$A$14,0)))/INDEX('Cohort Summary'!$I$5:$I$14,MATCH($A1652,'Cohort Summary'!$A$5:$A$14,0))</f>
        <v>0.177018633540373</v>
      </c>
      <c r="L1652" s="42" t="n">
        <f aca="false">(G1652-INDEX('Cohort Summary'!$J$5:$J$14,MATCH($A1652,'Cohort Summary'!$A$5:$A$14,0)))/INDEX('Cohort Summary'!$K$5:$K$14,MATCH($A1652,'Cohort Summary'!$A$5:$A$14,0))</f>
        <v>-0.786885245901634</v>
      </c>
      <c r="M1652" s="42" t="n">
        <f aca="false">MAX(I1652:K1652)</f>
        <v>0.837931034482759</v>
      </c>
      <c r="N1652" s="27" t="s">
        <v>197</v>
      </c>
      <c r="O1652" s="27"/>
      <c r="P1652" s="27" t="str">
        <f aca="false">A1652&amp;"|"&amp;N1652</f>
        <v>NURSE-09|normal</v>
      </c>
    </row>
    <row r="1653" customFormat="false" ht="15" hidden="false" customHeight="true" outlineLevel="0" collapsed="false">
      <c r="A1653" s="27" t="s">
        <v>100</v>
      </c>
      <c r="B1653" s="41" t="n">
        <v>46303.309375</v>
      </c>
      <c r="C1653" s="27" t="s">
        <v>195</v>
      </c>
      <c r="D1653" s="27" t="n">
        <v>43.1</v>
      </c>
      <c r="E1653" s="27" t="n">
        <v>18.2</v>
      </c>
      <c r="F1653" s="27" t="n">
        <v>28.8</v>
      </c>
      <c r="G1653" s="27" t="n">
        <v>32.9</v>
      </c>
      <c r="H1653" s="27" t="s">
        <v>196</v>
      </c>
      <c r="I1653" s="42" t="n">
        <f aca="false">(D1653-INDEX('Cohort Summary'!$D$5:$D$14,MATCH($A1653,'Cohort Summary'!$A$5:$A$14,0)))/INDEX('Cohort Summary'!$E$5:$E$14,MATCH($A1653,'Cohort Summary'!$A$5:$A$14,0))</f>
        <v>0.768965517241381</v>
      </c>
      <c r="J1653" s="42" t="n">
        <f aca="false">(E1653-INDEX('Cohort Summary'!$F$5:$F$14,MATCH($A1653,'Cohort Summary'!$A$5:$A$14,0)))/INDEX('Cohort Summary'!$G$5:$G$14,MATCH($A1653,'Cohort Summary'!$A$5:$A$14,0))</f>
        <v>0.089108910891089</v>
      </c>
      <c r="K1653" s="42" t="n">
        <f aca="false">(F1653-INDEX('Cohort Summary'!$H$5:$H$14,MATCH($A1653,'Cohort Summary'!$A$5:$A$14,0)))/INDEX('Cohort Summary'!$I$5:$I$14,MATCH($A1653,'Cohort Summary'!$A$5:$A$14,0))</f>
        <v>-0.630434782608695</v>
      </c>
      <c r="L1653" s="42" t="n">
        <f aca="false">(G1653-INDEX('Cohort Summary'!$J$5:$J$14,MATCH($A1653,'Cohort Summary'!$A$5:$A$14,0)))/INDEX('Cohort Summary'!$K$5:$K$14,MATCH($A1653,'Cohort Summary'!$A$5:$A$14,0))</f>
        <v>-0.295081967213114</v>
      </c>
      <c r="M1653" s="42" t="n">
        <f aca="false">MAX(I1653:K1653)</f>
        <v>0.768965517241381</v>
      </c>
      <c r="N1653" s="27" t="s">
        <v>197</v>
      </c>
      <c r="O1653" s="27"/>
      <c r="P1653" s="27" t="str">
        <f aca="false">A1653&amp;"|"&amp;N1653</f>
        <v>NURSE-09|normal</v>
      </c>
    </row>
    <row r="1654" customFormat="false" ht="15" hidden="false" customHeight="true" outlineLevel="0" collapsed="false">
      <c r="A1654" s="27" t="s">
        <v>100</v>
      </c>
      <c r="B1654" s="41" t="n">
        <v>46303.3097222222</v>
      </c>
      <c r="C1654" s="27" t="s">
        <v>195</v>
      </c>
      <c r="D1654" s="27" t="n">
        <v>41.4</v>
      </c>
      <c r="E1654" s="27" t="n">
        <v>16.1</v>
      </c>
      <c r="F1654" s="27" t="n">
        <v>29</v>
      </c>
      <c r="G1654" s="27" t="n">
        <v>32.8</v>
      </c>
      <c r="H1654" s="27" t="s">
        <v>199</v>
      </c>
      <c r="I1654" s="42" t="n">
        <f aca="false">(D1654-INDEX('Cohort Summary'!$D$5:$D$14,MATCH($A1654,'Cohort Summary'!$A$5:$A$14,0)))/INDEX('Cohort Summary'!$E$5:$E$14,MATCH($A1654,'Cohort Summary'!$A$5:$A$14,0))</f>
        <v>0.182758620689656</v>
      </c>
      <c r="J1654" s="42" t="n">
        <f aca="false">(E1654-INDEX('Cohort Summary'!$F$5:$F$14,MATCH($A1654,'Cohort Summary'!$A$5:$A$14,0)))/INDEX('Cohort Summary'!$G$5:$G$14,MATCH($A1654,'Cohort Summary'!$A$5:$A$14,0))</f>
        <v>-0.95049504950495</v>
      </c>
      <c r="K1654" s="42" t="n">
        <f aca="false">(F1654-INDEX('Cohort Summary'!$H$5:$H$14,MATCH($A1654,'Cohort Summary'!$A$5:$A$14,0)))/INDEX('Cohort Summary'!$I$5:$I$14,MATCH($A1654,'Cohort Summary'!$A$5:$A$14,0))</f>
        <v>-0.568322981366459</v>
      </c>
      <c r="L1654" s="42" t="n">
        <f aca="false">(G1654-INDEX('Cohort Summary'!$J$5:$J$14,MATCH($A1654,'Cohort Summary'!$A$5:$A$14,0)))/INDEX('Cohort Summary'!$K$5:$K$14,MATCH($A1654,'Cohort Summary'!$A$5:$A$14,0))</f>
        <v>-0.459016393442625</v>
      </c>
      <c r="M1654" s="42" t="n">
        <f aca="false">MAX(I1654:K1654)</f>
        <v>0.182758620689656</v>
      </c>
      <c r="N1654" s="27" t="s">
        <v>197</v>
      </c>
      <c r="O1654" s="27"/>
      <c r="P1654" s="27" t="str">
        <f aca="false">A1654&amp;"|"&amp;N1654</f>
        <v>NURSE-09|normal</v>
      </c>
    </row>
    <row r="1655" customFormat="false" ht="15" hidden="false" customHeight="true" outlineLevel="0" collapsed="false">
      <c r="A1655" s="27" t="s">
        <v>100</v>
      </c>
      <c r="B1655" s="41" t="n">
        <v>46303.3100694444</v>
      </c>
      <c r="C1655" s="27" t="s">
        <v>195</v>
      </c>
      <c r="D1655" s="27" t="n">
        <v>36.7</v>
      </c>
      <c r="E1655" s="27" t="n">
        <v>16.9</v>
      </c>
      <c r="F1655" s="27" t="n">
        <v>35.7</v>
      </c>
      <c r="G1655" s="27" t="n">
        <v>32.6</v>
      </c>
      <c r="H1655" s="27" t="s">
        <v>196</v>
      </c>
      <c r="I1655" s="42" t="n">
        <f aca="false">(D1655-INDEX('Cohort Summary'!$D$5:$D$14,MATCH($A1655,'Cohort Summary'!$A$5:$A$14,0)))/INDEX('Cohort Summary'!$E$5:$E$14,MATCH($A1655,'Cohort Summary'!$A$5:$A$14,0))</f>
        <v>-1.43793103448276</v>
      </c>
      <c r="J1655" s="42" t="n">
        <f aca="false">(E1655-INDEX('Cohort Summary'!$F$5:$F$14,MATCH($A1655,'Cohort Summary'!$A$5:$A$14,0)))/INDEX('Cohort Summary'!$G$5:$G$14,MATCH($A1655,'Cohort Summary'!$A$5:$A$14,0))</f>
        <v>-0.554455445544555</v>
      </c>
      <c r="K1655" s="42" t="n">
        <f aca="false">(F1655-INDEX('Cohort Summary'!$H$5:$H$14,MATCH($A1655,'Cohort Summary'!$A$5:$A$14,0)))/INDEX('Cohort Summary'!$I$5:$I$14,MATCH($A1655,'Cohort Summary'!$A$5:$A$14,0))</f>
        <v>1.51242236024845</v>
      </c>
      <c r="L1655" s="42" t="n">
        <f aca="false">(G1655-INDEX('Cohort Summary'!$J$5:$J$14,MATCH($A1655,'Cohort Summary'!$A$5:$A$14,0)))/INDEX('Cohort Summary'!$K$5:$K$14,MATCH($A1655,'Cohort Summary'!$A$5:$A$14,0))</f>
        <v>-0.786885245901634</v>
      </c>
      <c r="M1655" s="42" t="n">
        <f aca="false">MAX(I1655:K1655)</f>
        <v>1.51242236024845</v>
      </c>
      <c r="N1655" s="27" t="s">
        <v>197</v>
      </c>
      <c r="O1655" s="27"/>
      <c r="P1655" s="27" t="str">
        <f aca="false">A1655&amp;"|"&amp;N1655</f>
        <v>NURSE-09|normal</v>
      </c>
    </row>
    <row r="1656" customFormat="false" ht="15" hidden="false" customHeight="true" outlineLevel="0" collapsed="false">
      <c r="A1656" s="27" t="s">
        <v>100</v>
      </c>
      <c r="B1656" s="41" t="n">
        <v>46303.3104166667</v>
      </c>
      <c r="C1656" s="27" t="s">
        <v>195</v>
      </c>
      <c r="D1656" s="27" t="n">
        <v>39.1</v>
      </c>
      <c r="E1656" s="27" t="n">
        <v>15.6</v>
      </c>
      <c r="F1656" s="27" t="n">
        <v>30.9</v>
      </c>
      <c r="G1656" s="27" t="n">
        <v>33.8</v>
      </c>
      <c r="H1656" s="27" t="s">
        <v>199</v>
      </c>
      <c r="I1656" s="42" t="n">
        <f aca="false">(D1656-INDEX('Cohort Summary'!$D$5:$D$14,MATCH($A1656,'Cohort Summary'!$A$5:$A$14,0)))/INDEX('Cohort Summary'!$E$5:$E$14,MATCH($A1656,'Cohort Summary'!$A$5:$A$14,0))</f>
        <v>-0.610344827586206</v>
      </c>
      <c r="J1656" s="42" t="n">
        <f aca="false">(E1656-INDEX('Cohort Summary'!$F$5:$F$14,MATCH($A1656,'Cohort Summary'!$A$5:$A$14,0)))/INDEX('Cohort Summary'!$G$5:$G$14,MATCH($A1656,'Cohort Summary'!$A$5:$A$14,0))</f>
        <v>-1.1980198019802</v>
      </c>
      <c r="K1656" s="42" t="n">
        <f aca="false">(F1656-INDEX('Cohort Summary'!$H$5:$H$14,MATCH($A1656,'Cohort Summary'!$A$5:$A$14,0)))/INDEX('Cohort Summary'!$I$5:$I$14,MATCH($A1656,'Cohort Summary'!$A$5:$A$14,0))</f>
        <v>0.0217391304347827</v>
      </c>
      <c r="L1656" s="42" t="n">
        <f aca="false">(G1656-INDEX('Cohort Summary'!$J$5:$J$14,MATCH($A1656,'Cohort Summary'!$A$5:$A$14,0)))/INDEX('Cohort Summary'!$K$5:$K$14,MATCH($A1656,'Cohort Summary'!$A$5:$A$14,0))</f>
        <v>1.18032786885246</v>
      </c>
      <c r="M1656" s="42" t="n">
        <f aca="false">MAX(I1656:K1656)</f>
        <v>0.0217391304347827</v>
      </c>
      <c r="N1656" s="27" t="s">
        <v>197</v>
      </c>
      <c r="O1656" s="27"/>
      <c r="P1656" s="27" t="str">
        <f aca="false">A1656&amp;"|"&amp;N1656</f>
        <v>NURSE-09|normal</v>
      </c>
    </row>
    <row r="1657" customFormat="false" ht="15" hidden="false" customHeight="true" outlineLevel="0" collapsed="false">
      <c r="A1657" s="27" t="s">
        <v>100</v>
      </c>
      <c r="B1657" s="41" t="n">
        <v>46303.3107638889</v>
      </c>
      <c r="C1657" s="27" t="s">
        <v>195</v>
      </c>
      <c r="D1657" s="27" t="n">
        <v>36.5</v>
      </c>
      <c r="E1657" s="27" t="n">
        <v>19.9</v>
      </c>
      <c r="F1657" s="27" t="n">
        <v>32.2</v>
      </c>
      <c r="G1657" s="27" t="n">
        <v>33.1</v>
      </c>
      <c r="H1657" s="27" t="s">
        <v>196</v>
      </c>
      <c r="I1657" s="42" t="n">
        <f aca="false">(D1657-INDEX('Cohort Summary'!$D$5:$D$14,MATCH($A1657,'Cohort Summary'!$A$5:$A$14,0)))/INDEX('Cohort Summary'!$E$5:$E$14,MATCH($A1657,'Cohort Summary'!$A$5:$A$14,0))</f>
        <v>-1.50689655172414</v>
      </c>
      <c r="J1657" s="42" t="n">
        <f aca="false">(E1657-INDEX('Cohort Summary'!$F$5:$F$14,MATCH($A1657,'Cohort Summary'!$A$5:$A$14,0)))/INDEX('Cohort Summary'!$G$5:$G$14,MATCH($A1657,'Cohort Summary'!$A$5:$A$14,0))</f>
        <v>0.93069306930693</v>
      </c>
      <c r="K1657" s="42" t="n">
        <f aca="false">(F1657-INDEX('Cohort Summary'!$H$5:$H$14,MATCH($A1657,'Cohort Summary'!$A$5:$A$14,0)))/INDEX('Cohort Summary'!$I$5:$I$14,MATCH($A1657,'Cohort Summary'!$A$5:$A$14,0))</f>
        <v>0.425465838509318</v>
      </c>
      <c r="L1657" s="42" t="n">
        <f aca="false">(G1657-INDEX('Cohort Summary'!$J$5:$J$14,MATCH($A1657,'Cohort Summary'!$A$5:$A$14,0)))/INDEX('Cohort Summary'!$K$5:$K$14,MATCH($A1657,'Cohort Summary'!$A$5:$A$14,0))</f>
        <v>0.0327868852459068</v>
      </c>
      <c r="M1657" s="42" t="n">
        <f aca="false">MAX(I1657:K1657)</f>
        <v>0.93069306930693</v>
      </c>
      <c r="N1657" s="27" t="s">
        <v>197</v>
      </c>
      <c r="O1657" s="27"/>
      <c r="P1657" s="27" t="str">
        <f aca="false">A1657&amp;"|"&amp;N1657</f>
        <v>NURSE-09|normal</v>
      </c>
    </row>
    <row r="1658" customFormat="false" ht="15" hidden="false" customHeight="true" outlineLevel="0" collapsed="false">
      <c r="A1658" s="27" t="s">
        <v>100</v>
      </c>
      <c r="B1658" s="41" t="n">
        <v>46303.3111111111</v>
      </c>
      <c r="C1658" s="27" t="s">
        <v>195</v>
      </c>
      <c r="D1658" s="27" t="n">
        <v>38.1</v>
      </c>
      <c r="E1658" s="27" t="n">
        <v>19.1</v>
      </c>
      <c r="F1658" s="27" t="n">
        <v>26.7</v>
      </c>
      <c r="G1658" s="27" t="n">
        <v>33</v>
      </c>
      <c r="H1658" s="27" t="s">
        <v>196</v>
      </c>
      <c r="I1658" s="42" t="n">
        <f aca="false">(D1658-INDEX('Cohort Summary'!$D$5:$D$14,MATCH($A1658,'Cohort Summary'!$A$5:$A$14,0)))/INDEX('Cohort Summary'!$E$5:$E$14,MATCH($A1658,'Cohort Summary'!$A$5:$A$14,0))</f>
        <v>-0.955172413793102</v>
      </c>
      <c r="J1658" s="42" t="n">
        <f aca="false">(E1658-INDEX('Cohort Summary'!$F$5:$F$14,MATCH($A1658,'Cohort Summary'!$A$5:$A$14,0)))/INDEX('Cohort Summary'!$G$5:$G$14,MATCH($A1658,'Cohort Summary'!$A$5:$A$14,0))</f>
        <v>0.534653465346536</v>
      </c>
      <c r="K1658" s="42" t="n">
        <f aca="false">(F1658-INDEX('Cohort Summary'!$H$5:$H$14,MATCH($A1658,'Cohort Summary'!$A$5:$A$14,0)))/INDEX('Cohort Summary'!$I$5:$I$14,MATCH($A1658,'Cohort Summary'!$A$5:$A$14,0))</f>
        <v>-1.28260869565217</v>
      </c>
      <c r="L1658" s="42" t="n">
        <f aca="false">(G1658-INDEX('Cohort Summary'!$J$5:$J$14,MATCH($A1658,'Cohort Summary'!$A$5:$A$14,0)))/INDEX('Cohort Summary'!$K$5:$K$14,MATCH($A1658,'Cohort Summary'!$A$5:$A$14,0))</f>
        <v>-0.131147540983604</v>
      </c>
      <c r="M1658" s="42" t="n">
        <f aca="false">MAX(I1658:K1658)</f>
        <v>0.534653465346536</v>
      </c>
      <c r="N1658" s="27" t="s">
        <v>197</v>
      </c>
      <c r="O1658" s="27"/>
      <c r="P1658" s="27" t="str">
        <f aca="false">A1658&amp;"|"&amp;N1658</f>
        <v>NURSE-09|normal</v>
      </c>
    </row>
    <row r="1659" customFormat="false" ht="15" hidden="false" customHeight="true" outlineLevel="0" collapsed="false">
      <c r="A1659" s="27" t="s">
        <v>100</v>
      </c>
      <c r="B1659" s="41" t="n">
        <v>46303.3114583333</v>
      </c>
      <c r="C1659" s="27" t="s">
        <v>195</v>
      </c>
      <c r="D1659" s="27" t="n">
        <v>39.1</v>
      </c>
      <c r="E1659" s="27" t="n">
        <v>21</v>
      </c>
      <c r="F1659" s="27" t="n">
        <v>31.7</v>
      </c>
      <c r="G1659" s="27" t="n">
        <v>33.1</v>
      </c>
      <c r="H1659" s="27" t="s">
        <v>196</v>
      </c>
      <c r="I1659" s="42" t="n">
        <f aca="false">(D1659-INDEX('Cohort Summary'!$D$5:$D$14,MATCH($A1659,'Cohort Summary'!$A$5:$A$14,0)))/INDEX('Cohort Summary'!$E$5:$E$14,MATCH($A1659,'Cohort Summary'!$A$5:$A$14,0))</f>
        <v>-0.610344827586206</v>
      </c>
      <c r="J1659" s="42" t="n">
        <f aca="false">(E1659-INDEX('Cohort Summary'!$F$5:$F$14,MATCH($A1659,'Cohort Summary'!$A$5:$A$14,0)))/INDEX('Cohort Summary'!$G$5:$G$14,MATCH($A1659,'Cohort Summary'!$A$5:$A$14,0))</f>
        <v>1.47524752475248</v>
      </c>
      <c r="K1659" s="42" t="n">
        <f aca="false">(F1659-INDEX('Cohort Summary'!$H$5:$H$14,MATCH($A1659,'Cohort Summary'!$A$5:$A$14,0)))/INDEX('Cohort Summary'!$I$5:$I$14,MATCH($A1659,'Cohort Summary'!$A$5:$A$14,0))</f>
        <v>0.270186335403727</v>
      </c>
      <c r="L1659" s="42" t="n">
        <f aca="false">(G1659-INDEX('Cohort Summary'!$J$5:$J$14,MATCH($A1659,'Cohort Summary'!$A$5:$A$14,0)))/INDEX('Cohort Summary'!$K$5:$K$14,MATCH($A1659,'Cohort Summary'!$A$5:$A$14,0))</f>
        <v>0.0327868852459068</v>
      </c>
      <c r="M1659" s="42" t="n">
        <f aca="false">MAX(I1659:K1659)</f>
        <v>1.47524752475248</v>
      </c>
      <c r="N1659" s="27" t="s">
        <v>197</v>
      </c>
      <c r="O1659" s="27"/>
      <c r="P1659" s="27" t="str">
        <f aca="false">A1659&amp;"|"&amp;N1659</f>
        <v>NURSE-09|normal</v>
      </c>
    </row>
    <row r="1660" customFormat="false" ht="15" hidden="false" customHeight="true" outlineLevel="0" collapsed="false">
      <c r="A1660" s="27" t="s">
        <v>100</v>
      </c>
      <c r="B1660" s="41" t="n">
        <v>46303.3118055556</v>
      </c>
      <c r="C1660" s="27" t="s">
        <v>195</v>
      </c>
      <c r="D1660" s="27" t="n">
        <v>40.7</v>
      </c>
      <c r="E1660" s="27" t="n">
        <v>15.9</v>
      </c>
      <c r="F1660" s="27" t="n">
        <v>35.5</v>
      </c>
      <c r="G1660" s="27" t="n">
        <v>33.4</v>
      </c>
      <c r="H1660" s="27" t="s">
        <v>196</v>
      </c>
      <c r="I1660" s="42" t="n">
        <f aca="false">(D1660-INDEX('Cohort Summary'!$D$5:$D$14,MATCH($A1660,'Cohort Summary'!$A$5:$A$14,0)))/INDEX('Cohort Summary'!$E$5:$E$14,MATCH($A1660,'Cohort Summary'!$A$5:$A$14,0))</f>
        <v>-0.0586206896551706</v>
      </c>
      <c r="J1660" s="42" t="n">
        <f aca="false">(E1660-INDEX('Cohort Summary'!$F$5:$F$14,MATCH($A1660,'Cohort Summary'!$A$5:$A$14,0)))/INDEX('Cohort Summary'!$G$5:$G$14,MATCH($A1660,'Cohort Summary'!$A$5:$A$14,0))</f>
        <v>-1.04950495049505</v>
      </c>
      <c r="K1660" s="42" t="n">
        <f aca="false">(F1660-INDEX('Cohort Summary'!$H$5:$H$14,MATCH($A1660,'Cohort Summary'!$A$5:$A$14,0)))/INDEX('Cohort Summary'!$I$5:$I$14,MATCH($A1660,'Cohort Summary'!$A$5:$A$14,0))</f>
        <v>1.45031055900621</v>
      </c>
      <c r="L1660" s="42" t="n">
        <f aca="false">(G1660-INDEX('Cohort Summary'!$J$5:$J$14,MATCH($A1660,'Cohort Summary'!$A$5:$A$14,0)))/INDEX('Cohort Summary'!$K$5:$K$14,MATCH($A1660,'Cohort Summary'!$A$5:$A$14,0))</f>
        <v>0.524590163934427</v>
      </c>
      <c r="M1660" s="42" t="n">
        <f aca="false">MAX(I1660:K1660)</f>
        <v>1.45031055900621</v>
      </c>
      <c r="N1660" s="27" t="s">
        <v>197</v>
      </c>
      <c r="O1660" s="27"/>
      <c r="P1660" s="27" t="str">
        <f aca="false">A1660&amp;"|"&amp;N1660</f>
        <v>NURSE-09|normal</v>
      </c>
    </row>
    <row r="1661" customFormat="false" ht="15" hidden="false" customHeight="true" outlineLevel="0" collapsed="false">
      <c r="A1661" s="27" t="s">
        <v>100</v>
      </c>
      <c r="B1661" s="41" t="n">
        <v>46303.3121527778</v>
      </c>
      <c r="C1661" s="27" t="s">
        <v>195</v>
      </c>
      <c r="D1661" s="27" t="n">
        <v>39.5</v>
      </c>
      <c r="E1661" s="27" t="n">
        <v>15.3</v>
      </c>
      <c r="F1661" s="27" t="n">
        <v>36</v>
      </c>
      <c r="G1661" s="27" t="n">
        <v>33.9</v>
      </c>
      <c r="H1661" s="27" t="s">
        <v>196</v>
      </c>
      <c r="I1661" s="42" t="n">
        <f aca="false">(D1661-INDEX('Cohort Summary'!$D$5:$D$14,MATCH($A1661,'Cohort Summary'!$A$5:$A$14,0)))/INDEX('Cohort Summary'!$E$5:$E$14,MATCH($A1661,'Cohort Summary'!$A$5:$A$14,0))</f>
        <v>-0.472413793103447</v>
      </c>
      <c r="J1661" s="42" t="n">
        <f aca="false">(E1661-INDEX('Cohort Summary'!$F$5:$F$14,MATCH($A1661,'Cohort Summary'!$A$5:$A$14,0)))/INDEX('Cohort Summary'!$G$5:$G$14,MATCH($A1661,'Cohort Summary'!$A$5:$A$14,0))</f>
        <v>-1.34653465346535</v>
      </c>
      <c r="K1661" s="42" t="n">
        <f aca="false">(F1661-INDEX('Cohort Summary'!$H$5:$H$14,MATCH($A1661,'Cohort Summary'!$A$5:$A$14,0)))/INDEX('Cohort Summary'!$I$5:$I$14,MATCH($A1661,'Cohort Summary'!$A$5:$A$14,0))</f>
        <v>1.6055900621118</v>
      </c>
      <c r="L1661" s="42" t="n">
        <f aca="false">(G1661-INDEX('Cohort Summary'!$J$5:$J$14,MATCH($A1661,'Cohort Summary'!$A$5:$A$14,0)))/INDEX('Cohort Summary'!$K$5:$K$14,MATCH($A1661,'Cohort Summary'!$A$5:$A$14,0))</f>
        <v>1.34426229508197</v>
      </c>
      <c r="M1661" s="42" t="n">
        <f aca="false">MAX(I1661:K1661)</f>
        <v>1.6055900621118</v>
      </c>
      <c r="N1661" s="27" t="s">
        <v>197</v>
      </c>
      <c r="O1661" s="27"/>
      <c r="P1661" s="27" t="str">
        <f aca="false">A1661&amp;"|"&amp;N1661</f>
        <v>NURSE-09|normal</v>
      </c>
    </row>
    <row r="1662" customFormat="false" ht="15" hidden="false" customHeight="true" outlineLevel="0" collapsed="false">
      <c r="A1662" s="27" t="s">
        <v>100</v>
      </c>
      <c r="B1662" s="41" t="n">
        <v>46303.3125</v>
      </c>
      <c r="C1662" s="27" t="s">
        <v>200</v>
      </c>
      <c r="D1662" s="27" t="n">
        <v>39.7</v>
      </c>
      <c r="E1662" s="27" t="n">
        <v>18.4</v>
      </c>
      <c r="F1662" s="27" t="n">
        <v>28.4</v>
      </c>
      <c r="G1662" s="27" t="n">
        <v>33</v>
      </c>
      <c r="H1662" s="27" t="s">
        <v>198</v>
      </c>
      <c r="I1662" s="42" t="n">
        <f aca="false">(D1662-INDEX('Cohort Summary'!$D$5:$D$14,MATCH($A1662,'Cohort Summary'!$A$5:$A$14,0)))/INDEX('Cohort Summary'!$E$5:$E$14,MATCH($A1662,'Cohort Summary'!$A$5:$A$14,0))</f>
        <v>-0.403448275862067</v>
      </c>
      <c r="J1662" s="42" t="n">
        <f aca="false">(E1662-INDEX('Cohort Summary'!$F$5:$F$14,MATCH($A1662,'Cohort Summary'!$A$5:$A$14,0)))/INDEX('Cohort Summary'!$G$5:$G$14,MATCH($A1662,'Cohort Summary'!$A$5:$A$14,0))</f>
        <v>0.188118811881188</v>
      </c>
      <c r="K1662" s="42" t="n">
        <f aca="false">(F1662-INDEX('Cohort Summary'!$H$5:$H$14,MATCH($A1662,'Cohort Summary'!$A$5:$A$14,0)))/INDEX('Cohort Summary'!$I$5:$I$14,MATCH($A1662,'Cohort Summary'!$A$5:$A$14,0))</f>
        <v>-0.754658385093168</v>
      </c>
      <c r="L1662" s="42" t="n">
        <f aca="false">(G1662-INDEX('Cohort Summary'!$J$5:$J$14,MATCH($A1662,'Cohort Summary'!$A$5:$A$14,0)))/INDEX('Cohort Summary'!$K$5:$K$14,MATCH($A1662,'Cohort Summary'!$A$5:$A$14,0))</f>
        <v>-0.131147540983604</v>
      </c>
      <c r="M1662" s="42" t="n">
        <f aca="false">MAX(I1662:K1662)</f>
        <v>0.188118811881188</v>
      </c>
      <c r="N1662" s="27" t="s">
        <v>197</v>
      </c>
      <c r="O1662" s="27"/>
      <c r="P1662" s="27" t="str">
        <f aca="false">A1662&amp;"|"&amp;N1662</f>
        <v>NURSE-09|normal</v>
      </c>
    </row>
    <row r="1663" customFormat="false" ht="15" hidden="false" customHeight="true" outlineLevel="0" collapsed="false">
      <c r="A1663" s="27" t="s">
        <v>100</v>
      </c>
      <c r="B1663" s="41" t="n">
        <v>46303.3128472222</v>
      </c>
      <c r="C1663" s="27" t="s">
        <v>200</v>
      </c>
      <c r="D1663" s="27" t="n">
        <v>42.5</v>
      </c>
      <c r="E1663" s="27" t="n">
        <v>19.2</v>
      </c>
      <c r="F1663" s="27" t="n">
        <v>33.4</v>
      </c>
      <c r="G1663" s="27" t="n">
        <v>32.6</v>
      </c>
      <c r="H1663" s="27" t="s">
        <v>196</v>
      </c>
      <c r="I1663" s="42" t="n">
        <f aca="false">(D1663-INDEX('Cohort Summary'!$D$5:$D$14,MATCH($A1663,'Cohort Summary'!$A$5:$A$14,0)))/INDEX('Cohort Summary'!$E$5:$E$14,MATCH($A1663,'Cohort Summary'!$A$5:$A$14,0))</f>
        <v>0.562068965517242</v>
      </c>
      <c r="J1663" s="42" t="n">
        <f aca="false">(E1663-INDEX('Cohort Summary'!$F$5:$F$14,MATCH($A1663,'Cohort Summary'!$A$5:$A$14,0)))/INDEX('Cohort Summary'!$G$5:$G$14,MATCH($A1663,'Cohort Summary'!$A$5:$A$14,0))</f>
        <v>0.584158415841584</v>
      </c>
      <c r="K1663" s="42" t="n">
        <f aca="false">(F1663-INDEX('Cohort Summary'!$H$5:$H$14,MATCH($A1663,'Cohort Summary'!$A$5:$A$14,0)))/INDEX('Cohort Summary'!$I$5:$I$14,MATCH($A1663,'Cohort Summary'!$A$5:$A$14,0))</f>
        <v>0.798136645962733</v>
      </c>
      <c r="L1663" s="42" t="n">
        <f aca="false">(G1663-INDEX('Cohort Summary'!$J$5:$J$14,MATCH($A1663,'Cohort Summary'!$A$5:$A$14,0)))/INDEX('Cohort Summary'!$K$5:$K$14,MATCH($A1663,'Cohort Summary'!$A$5:$A$14,0))</f>
        <v>-0.786885245901634</v>
      </c>
      <c r="M1663" s="42" t="n">
        <f aca="false">MAX(I1663:K1663)</f>
        <v>0.798136645962733</v>
      </c>
      <c r="N1663" s="27" t="s">
        <v>197</v>
      </c>
      <c r="O1663" s="27"/>
      <c r="P1663" s="27" t="str">
        <f aca="false">A1663&amp;"|"&amp;N1663</f>
        <v>NURSE-09|normal</v>
      </c>
    </row>
    <row r="1664" customFormat="false" ht="15" hidden="false" customHeight="true" outlineLevel="0" collapsed="false">
      <c r="A1664" s="27" t="s">
        <v>100</v>
      </c>
      <c r="B1664" s="41" t="n">
        <v>46303.3131944445</v>
      </c>
      <c r="C1664" s="27" t="s">
        <v>200</v>
      </c>
      <c r="D1664" s="27" t="n">
        <v>44.3</v>
      </c>
      <c r="E1664" s="27" t="n">
        <v>20.9</v>
      </c>
      <c r="F1664" s="27" t="n">
        <v>28.2</v>
      </c>
      <c r="G1664" s="27" t="n">
        <v>32.1</v>
      </c>
      <c r="H1664" s="27" t="s">
        <v>199</v>
      </c>
      <c r="I1664" s="42" t="n">
        <f aca="false">(D1664-INDEX('Cohort Summary'!$D$5:$D$14,MATCH($A1664,'Cohort Summary'!$A$5:$A$14,0)))/INDEX('Cohort Summary'!$E$5:$E$14,MATCH($A1664,'Cohort Summary'!$A$5:$A$14,0))</f>
        <v>1.18275862068966</v>
      </c>
      <c r="J1664" s="42" t="n">
        <f aca="false">(E1664-INDEX('Cohort Summary'!$F$5:$F$14,MATCH($A1664,'Cohort Summary'!$A$5:$A$14,0)))/INDEX('Cohort Summary'!$G$5:$G$14,MATCH($A1664,'Cohort Summary'!$A$5:$A$14,0))</f>
        <v>1.42574257425743</v>
      </c>
      <c r="K1664" s="42" t="n">
        <f aca="false">(F1664-INDEX('Cohort Summary'!$H$5:$H$14,MATCH($A1664,'Cohort Summary'!$A$5:$A$14,0)))/INDEX('Cohort Summary'!$I$5:$I$14,MATCH($A1664,'Cohort Summary'!$A$5:$A$14,0))</f>
        <v>-0.816770186335403</v>
      </c>
      <c r="L1664" s="42" t="n">
        <f aca="false">(G1664-INDEX('Cohort Summary'!$J$5:$J$14,MATCH($A1664,'Cohort Summary'!$A$5:$A$14,0)))/INDEX('Cohort Summary'!$K$5:$K$14,MATCH($A1664,'Cohort Summary'!$A$5:$A$14,0))</f>
        <v>-1.60655737704918</v>
      </c>
      <c r="M1664" s="42" t="n">
        <f aca="false">MAX(I1664:K1664)</f>
        <v>1.42574257425743</v>
      </c>
      <c r="N1664" s="27" t="s">
        <v>197</v>
      </c>
      <c r="O1664" s="27"/>
      <c r="P1664" s="27" t="str">
        <f aca="false">A1664&amp;"|"&amp;N1664</f>
        <v>NURSE-09|normal</v>
      </c>
    </row>
    <row r="1665" customFormat="false" ht="15" hidden="false" customHeight="true" outlineLevel="0" collapsed="false">
      <c r="A1665" s="27" t="s">
        <v>100</v>
      </c>
      <c r="B1665" s="41" t="n">
        <v>46303.3135416667</v>
      </c>
      <c r="C1665" s="27" t="s">
        <v>200</v>
      </c>
      <c r="D1665" s="27" t="n">
        <v>39.6</v>
      </c>
      <c r="E1665" s="27" t="n">
        <v>15.5</v>
      </c>
      <c r="F1665" s="27" t="n">
        <v>34.8</v>
      </c>
      <c r="G1665" s="27" t="n">
        <v>33.5</v>
      </c>
      <c r="H1665" s="27" t="s">
        <v>199</v>
      </c>
      <c r="I1665" s="42" t="n">
        <f aca="false">(D1665-INDEX('Cohort Summary'!$D$5:$D$14,MATCH($A1665,'Cohort Summary'!$A$5:$A$14,0)))/INDEX('Cohort Summary'!$E$5:$E$14,MATCH($A1665,'Cohort Summary'!$A$5:$A$14,0))</f>
        <v>-0.437931034482757</v>
      </c>
      <c r="J1665" s="42" t="n">
        <f aca="false">(E1665-INDEX('Cohort Summary'!$F$5:$F$14,MATCH($A1665,'Cohort Summary'!$A$5:$A$14,0)))/INDEX('Cohort Summary'!$G$5:$G$14,MATCH($A1665,'Cohort Summary'!$A$5:$A$14,0))</f>
        <v>-1.24752475247525</v>
      </c>
      <c r="K1665" s="42" t="n">
        <f aca="false">(F1665-INDEX('Cohort Summary'!$H$5:$H$14,MATCH($A1665,'Cohort Summary'!$A$5:$A$14,0)))/INDEX('Cohort Summary'!$I$5:$I$14,MATCH($A1665,'Cohort Summary'!$A$5:$A$14,0))</f>
        <v>1.23291925465838</v>
      </c>
      <c r="L1665" s="42" t="n">
        <f aca="false">(G1665-INDEX('Cohort Summary'!$J$5:$J$14,MATCH($A1665,'Cohort Summary'!$A$5:$A$14,0)))/INDEX('Cohort Summary'!$K$5:$K$14,MATCH($A1665,'Cohort Summary'!$A$5:$A$14,0))</f>
        <v>0.688524590163937</v>
      </c>
      <c r="M1665" s="42" t="n">
        <f aca="false">MAX(I1665:K1665)</f>
        <v>1.23291925465838</v>
      </c>
      <c r="N1665" s="27" t="s">
        <v>197</v>
      </c>
      <c r="O1665" s="27"/>
      <c r="P1665" s="27" t="str">
        <f aca="false">A1665&amp;"|"&amp;N1665</f>
        <v>NURSE-09|normal</v>
      </c>
    </row>
    <row r="1666" customFormat="false" ht="15" hidden="false" customHeight="true" outlineLevel="0" collapsed="false">
      <c r="A1666" s="27" t="s">
        <v>100</v>
      </c>
      <c r="B1666" s="41" t="n">
        <v>46303.3138888889</v>
      </c>
      <c r="C1666" s="27" t="s">
        <v>200</v>
      </c>
      <c r="D1666" s="27" t="n">
        <v>40.4</v>
      </c>
      <c r="E1666" s="27" t="n">
        <v>18.6</v>
      </c>
      <c r="F1666" s="27" t="n">
        <v>30.5</v>
      </c>
      <c r="G1666" s="27" t="n">
        <v>32.2</v>
      </c>
      <c r="H1666" s="27" t="s">
        <v>198</v>
      </c>
      <c r="I1666" s="42" t="n">
        <f aca="false">(D1666-INDEX('Cohort Summary'!$D$5:$D$14,MATCH($A1666,'Cohort Summary'!$A$5:$A$14,0)))/INDEX('Cohort Summary'!$E$5:$E$14,MATCH($A1666,'Cohort Summary'!$A$5:$A$14,0))</f>
        <v>-0.162068965517241</v>
      </c>
      <c r="J1666" s="42" t="n">
        <f aca="false">(E1666-INDEX('Cohort Summary'!$F$5:$F$14,MATCH($A1666,'Cohort Summary'!$A$5:$A$14,0)))/INDEX('Cohort Summary'!$G$5:$G$14,MATCH($A1666,'Cohort Summary'!$A$5:$A$14,0))</f>
        <v>0.287128712871288</v>
      </c>
      <c r="K1666" s="42" t="n">
        <f aca="false">(F1666-INDEX('Cohort Summary'!$H$5:$H$14,MATCH($A1666,'Cohort Summary'!$A$5:$A$14,0)))/INDEX('Cohort Summary'!$I$5:$I$14,MATCH($A1666,'Cohort Summary'!$A$5:$A$14,0))</f>
        <v>-0.102484472049689</v>
      </c>
      <c r="L1666" s="42" t="n">
        <f aca="false">(G1666-INDEX('Cohort Summary'!$J$5:$J$14,MATCH($A1666,'Cohort Summary'!$A$5:$A$14,0)))/INDEX('Cohort Summary'!$K$5:$K$14,MATCH($A1666,'Cohort Summary'!$A$5:$A$14,0))</f>
        <v>-1.44262295081966</v>
      </c>
      <c r="M1666" s="42" t="n">
        <f aca="false">MAX(I1666:K1666)</f>
        <v>0.287128712871288</v>
      </c>
      <c r="N1666" s="27" t="s">
        <v>197</v>
      </c>
      <c r="O1666" s="27"/>
      <c r="P1666" s="27" t="str">
        <f aca="false">A1666&amp;"|"&amp;N1666</f>
        <v>NURSE-09|normal</v>
      </c>
    </row>
    <row r="1667" customFormat="false" ht="15" hidden="false" customHeight="true" outlineLevel="0" collapsed="false">
      <c r="A1667" s="27" t="s">
        <v>100</v>
      </c>
      <c r="B1667" s="41" t="n">
        <v>46303.3142361111</v>
      </c>
      <c r="C1667" s="27" t="s">
        <v>200</v>
      </c>
      <c r="D1667" s="27" t="n">
        <v>42.9</v>
      </c>
      <c r="E1667" s="27" t="n">
        <v>18.7</v>
      </c>
      <c r="F1667" s="27" t="n">
        <v>31</v>
      </c>
      <c r="G1667" s="27" t="n">
        <v>32.6</v>
      </c>
      <c r="H1667" s="27" t="s">
        <v>198</v>
      </c>
      <c r="I1667" s="42" t="n">
        <f aca="false">(D1667-INDEX('Cohort Summary'!$D$5:$D$14,MATCH($A1667,'Cohort Summary'!$A$5:$A$14,0)))/INDEX('Cohort Summary'!$E$5:$E$14,MATCH($A1667,'Cohort Summary'!$A$5:$A$14,0))</f>
        <v>0.7</v>
      </c>
      <c r="J1667" s="42" t="n">
        <f aca="false">(E1667-INDEX('Cohort Summary'!$F$5:$F$14,MATCH($A1667,'Cohort Summary'!$A$5:$A$14,0)))/INDEX('Cohort Summary'!$G$5:$G$14,MATCH($A1667,'Cohort Summary'!$A$5:$A$14,0))</f>
        <v>0.336633663366337</v>
      </c>
      <c r="K1667" s="42" t="n">
        <f aca="false">(F1667-INDEX('Cohort Summary'!$H$5:$H$14,MATCH($A1667,'Cohort Summary'!$A$5:$A$14,0)))/INDEX('Cohort Summary'!$I$5:$I$14,MATCH($A1667,'Cohort Summary'!$A$5:$A$14,0))</f>
        <v>0.0527950310559012</v>
      </c>
      <c r="L1667" s="42" t="n">
        <f aca="false">(G1667-INDEX('Cohort Summary'!$J$5:$J$14,MATCH($A1667,'Cohort Summary'!$A$5:$A$14,0)))/INDEX('Cohort Summary'!$K$5:$K$14,MATCH($A1667,'Cohort Summary'!$A$5:$A$14,0))</f>
        <v>-0.786885245901634</v>
      </c>
      <c r="M1667" s="42" t="n">
        <f aca="false">MAX(I1667:K1667)</f>
        <v>0.7</v>
      </c>
      <c r="N1667" s="27" t="s">
        <v>197</v>
      </c>
      <c r="O1667" s="27"/>
      <c r="P1667" s="27" t="str">
        <f aca="false">A1667&amp;"|"&amp;N1667</f>
        <v>NURSE-09|normal</v>
      </c>
    </row>
    <row r="1668" customFormat="false" ht="15" hidden="false" customHeight="true" outlineLevel="0" collapsed="false">
      <c r="A1668" s="27" t="s">
        <v>100</v>
      </c>
      <c r="B1668" s="41" t="n">
        <v>46303.3145833333</v>
      </c>
      <c r="C1668" s="27" t="s">
        <v>200</v>
      </c>
      <c r="D1668" s="27" t="n">
        <v>44</v>
      </c>
      <c r="E1668" s="27" t="n">
        <v>15.4</v>
      </c>
      <c r="F1668" s="27" t="n">
        <v>26.2</v>
      </c>
      <c r="G1668" s="27" t="n">
        <v>33.3</v>
      </c>
      <c r="H1668" s="27" t="s">
        <v>196</v>
      </c>
      <c r="I1668" s="42" t="n">
        <f aca="false">(D1668-INDEX('Cohort Summary'!$D$5:$D$14,MATCH($A1668,'Cohort Summary'!$A$5:$A$14,0)))/INDEX('Cohort Summary'!$E$5:$E$14,MATCH($A1668,'Cohort Summary'!$A$5:$A$14,0))</f>
        <v>1.07931034482759</v>
      </c>
      <c r="J1668" s="42" t="n">
        <f aca="false">(E1668-INDEX('Cohort Summary'!$F$5:$F$14,MATCH($A1668,'Cohort Summary'!$A$5:$A$14,0)))/INDEX('Cohort Summary'!$G$5:$G$14,MATCH($A1668,'Cohort Summary'!$A$5:$A$14,0))</f>
        <v>-1.2970297029703</v>
      </c>
      <c r="K1668" s="42" t="n">
        <f aca="false">(F1668-INDEX('Cohort Summary'!$H$5:$H$14,MATCH($A1668,'Cohort Summary'!$A$5:$A$14,0)))/INDEX('Cohort Summary'!$I$5:$I$14,MATCH($A1668,'Cohort Summary'!$A$5:$A$14,0))</f>
        <v>-1.43788819875776</v>
      </c>
      <c r="L1668" s="42" t="n">
        <f aca="false">(G1668-INDEX('Cohort Summary'!$J$5:$J$14,MATCH($A1668,'Cohort Summary'!$A$5:$A$14,0)))/INDEX('Cohort Summary'!$K$5:$K$14,MATCH($A1668,'Cohort Summary'!$A$5:$A$14,0))</f>
        <v>0.360655737704916</v>
      </c>
      <c r="M1668" s="42" t="n">
        <f aca="false">MAX(I1668:K1668)</f>
        <v>1.07931034482759</v>
      </c>
      <c r="N1668" s="27" t="s">
        <v>197</v>
      </c>
      <c r="O1668" s="27"/>
      <c r="P1668" s="27" t="str">
        <f aca="false">A1668&amp;"|"&amp;N1668</f>
        <v>NURSE-09|normal</v>
      </c>
    </row>
    <row r="1669" customFormat="false" ht="15" hidden="false" customHeight="true" outlineLevel="0" collapsed="false">
      <c r="A1669" s="27" t="s">
        <v>100</v>
      </c>
      <c r="B1669" s="41" t="n">
        <v>46303.3149305556</v>
      </c>
      <c r="C1669" s="27" t="s">
        <v>200</v>
      </c>
      <c r="D1669" s="27" t="n">
        <v>45.7</v>
      </c>
      <c r="E1669" s="27" t="n">
        <v>16.9</v>
      </c>
      <c r="F1669" s="27" t="n">
        <v>31.1</v>
      </c>
      <c r="G1669" s="27" t="n">
        <v>32.3</v>
      </c>
      <c r="H1669" s="27" t="s">
        <v>199</v>
      </c>
      <c r="I1669" s="42" t="n">
        <f aca="false">(D1669-INDEX('Cohort Summary'!$D$5:$D$14,MATCH($A1669,'Cohort Summary'!$A$5:$A$14,0)))/INDEX('Cohort Summary'!$E$5:$E$14,MATCH($A1669,'Cohort Summary'!$A$5:$A$14,0))</f>
        <v>1.66551724137931</v>
      </c>
      <c r="J1669" s="42" t="n">
        <f aca="false">(E1669-INDEX('Cohort Summary'!$F$5:$F$14,MATCH($A1669,'Cohort Summary'!$A$5:$A$14,0)))/INDEX('Cohort Summary'!$G$5:$G$14,MATCH($A1669,'Cohort Summary'!$A$5:$A$14,0))</f>
        <v>-0.554455445544555</v>
      </c>
      <c r="K1669" s="42" t="n">
        <f aca="false">(F1669-INDEX('Cohort Summary'!$H$5:$H$14,MATCH($A1669,'Cohort Summary'!$A$5:$A$14,0)))/INDEX('Cohort Summary'!$I$5:$I$14,MATCH($A1669,'Cohort Summary'!$A$5:$A$14,0))</f>
        <v>0.0838509316770196</v>
      </c>
      <c r="L1669" s="42" t="n">
        <f aca="false">(G1669-INDEX('Cohort Summary'!$J$5:$J$14,MATCH($A1669,'Cohort Summary'!$A$5:$A$14,0)))/INDEX('Cohort Summary'!$K$5:$K$14,MATCH($A1669,'Cohort Summary'!$A$5:$A$14,0))</f>
        <v>-1.27868852459017</v>
      </c>
      <c r="M1669" s="42" t="n">
        <f aca="false">MAX(I1669:K1669)</f>
        <v>1.66551724137931</v>
      </c>
      <c r="N1669" s="27" t="s">
        <v>197</v>
      </c>
      <c r="O1669" s="27"/>
      <c r="P1669" s="27" t="str">
        <f aca="false">A1669&amp;"|"&amp;N1669</f>
        <v>NURSE-09|normal</v>
      </c>
    </row>
    <row r="1670" customFormat="false" ht="15" hidden="false" customHeight="true" outlineLevel="0" collapsed="false">
      <c r="A1670" s="27" t="s">
        <v>100</v>
      </c>
      <c r="B1670" s="41" t="n">
        <v>46303.3152777778</v>
      </c>
      <c r="C1670" s="27" t="s">
        <v>200</v>
      </c>
      <c r="D1670" s="27" t="n">
        <v>38.9</v>
      </c>
      <c r="E1670" s="27" t="n">
        <v>18.8</v>
      </c>
      <c r="F1670" s="27" t="n">
        <v>27.2</v>
      </c>
      <c r="G1670" s="27" t="n">
        <v>33</v>
      </c>
      <c r="H1670" s="27" t="s">
        <v>198</v>
      </c>
      <c r="I1670" s="42" t="n">
        <f aca="false">(D1670-INDEX('Cohort Summary'!$D$5:$D$14,MATCH($A1670,'Cohort Summary'!$A$5:$A$14,0)))/INDEX('Cohort Summary'!$E$5:$E$14,MATCH($A1670,'Cohort Summary'!$A$5:$A$14,0))</f>
        <v>-0.679310344827586</v>
      </c>
      <c r="J1670" s="42" t="n">
        <f aca="false">(E1670-INDEX('Cohort Summary'!$F$5:$F$14,MATCH($A1670,'Cohort Summary'!$A$5:$A$14,0)))/INDEX('Cohort Summary'!$G$5:$G$14,MATCH($A1670,'Cohort Summary'!$A$5:$A$14,0))</f>
        <v>0.386138613861387</v>
      </c>
      <c r="K1670" s="42" t="n">
        <f aca="false">(F1670-INDEX('Cohort Summary'!$H$5:$H$14,MATCH($A1670,'Cohort Summary'!$A$5:$A$14,0)))/INDEX('Cohort Summary'!$I$5:$I$14,MATCH($A1670,'Cohort Summary'!$A$5:$A$14,0))</f>
        <v>-1.12732919254658</v>
      </c>
      <c r="L1670" s="42" t="n">
        <f aca="false">(G1670-INDEX('Cohort Summary'!$J$5:$J$14,MATCH($A1670,'Cohort Summary'!$A$5:$A$14,0)))/INDEX('Cohort Summary'!$K$5:$K$14,MATCH($A1670,'Cohort Summary'!$A$5:$A$14,0))</f>
        <v>-0.131147540983604</v>
      </c>
      <c r="M1670" s="42" t="n">
        <f aca="false">MAX(I1670:K1670)</f>
        <v>0.386138613861387</v>
      </c>
      <c r="N1670" s="27" t="s">
        <v>197</v>
      </c>
      <c r="O1670" s="27"/>
      <c r="P1670" s="27" t="str">
        <f aca="false">A1670&amp;"|"&amp;N1670</f>
        <v>NURSE-09|normal</v>
      </c>
    </row>
    <row r="1671" customFormat="false" ht="15" hidden="false" customHeight="true" outlineLevel="0" collapsed="false">
      <c r="A1671" s="27" t="s">
        <v>100</v>
      </c>
      <c r="B1671" s="41" t="n">
        <v>46303.315625</v>
      </c>
      <c r="C1671" s="27" t="s">
        <v>200</v>
      </c>
      <c r="D1671" s="27" t="n">
        <v>39.6</v>
      </c>
      <c r="E1671" s="27" t="n">
        <v>16.9</v>
      </c>
      <c r="F1671" s="27" t="n">
        <v>35.3</v>
      </c>
      <c r="G1671" s="27" t="n">
        <v>32.2</v>
      </c>
      <c r="H1671" s="27" t="s">
        <v>196</v>
      </c>
      <c r="I1671" s="42" t="n">
        <f aca="false">(D1671-INDEX('Cohort Summary'!$D$5:$D$14,MATCH($A1671,'Cohort Summary'!$A$5:$A$14,0)))/INDEX('Cohort Summary'!$E$5:$E$14,MATCH($A1671,'Cohort Summary'!$A$5:$A$14,0))</f>
        <v>-0.437931034482757</v>
      </c>
      <c r="J1671" s="42" t="n">
        <f aca="false">(E1671-INDEX('Cohort Summary'!$F$5:$F$14,MATCH($A1671,'Cohort Summary'!$A$5:$A$14,0)))/INDEX('Cohort Summary'!$G$5:$G$14,MATCH($A1671,'Cohort Summary'!$A$5:$A$14,0))</f>
        <v>-0.554455445544555</v>
      </c>
      <c r="K1671" s="42" t="n">
        <f aca="false">(F1671-INDEX('Cohort Summary'!$H$5:$H$14,MATCH($A1671,'Cohort Summary'!$A$5:$A$14,0)))/INDEX('Cohort Summary'!$I$5:$I$14,MATCH($A1671,'Cohort Summary'!$A$5:$A$14,0))</f>
        <v>1.38819875776397</v>
      </c>
      <c r="L1671" s="42" t="n">
        <f aca="false">(G1671-INDEX('Cohort Summary'!$J$5:$J$14,MATCH($A1671,'Cohort Summary'!$A$5:$A$14,0)))/INDEX('Cohort Summary'!$K$5:$K$14,MATCH($A1671,'Cohort Summary'!$A$5:$A$14,0))</f>
        <v>-1.44262295081966</v>
      </c>
      <c r="M1671" s="42" t="n">
        <f aca="false">MAX(I1671:K1671)</f>
        <v>1.38819875776397</v>
      </c>
      <c r="N1671" s="27" t="s">
        <v>197</v>
      </c>
      <c r="O1671" s="27"/>
      <c r="P1671" s="27" t="str">
        <f aca="false">A1671&amp;"|"&amp;N1671</f>
        <v>NURSE-09|normal</v>
      </c>
    </row>
    <row r="1672" customFormat="false" ht="15" hidden="false" customHeight="true" outlineLevel="0" collapsed="false">
      <c r="A1672" s="27" t="s">
        <v>100</v>
      </c>
      <c r="B1672" s="41" t="n">
        <v>46303.3159722222</v>
      </c>
      <c r="C1672" s="27" t="s">
        <v>200</v>
      </c>
      <c r="D1672" s="27" t="n">
        <v>44.6</v>
      </c>
      <c r="E1672" s="27" t="n">
        <v>15.5</v>
      </c>
      <c r="F1672" s="27" t="n">
        <v>35.5</v>
      </c>
      <c r="G1672" s="27" t="n">
        <v>33.4</v>
      </c>
      <c r="H1672" s="27" t="s">
        <v>199</v>
      </c>
      <c r="I1672" s="42" t="n">
        <f aca="false">(D1672-INDEX('Cohort Summary'!$D$5:$D$14,MATCH($A1672,'Cohort Summary'!$A$5:$A$14,0)))/INDEX('Cohort Summary'!$E$5:$E$14,MATCH($A1672,'Cohort Summary'!$A$5:$A$14,0))</f>
        <v>1.28620689655173</v>
      </c>
      <c r="J1672" s="42" t="n">
        <f aca="false">(E1672-INDEX('Cohort Summary'!$F$5:$F$14,MATCH($A1672,'Cohort Summary'!$A$5:$A$14,0)))/INDEX('Cohort Summary'!$G$5:$G$14,MATCH($A1672,'Cohort Summary'!$A$5:$A$14,0))</f>
        <v>-1.24752475247525</v>
      </c>
      <c r="K1672" s="42" t="n">
        <f aca="false">(F1672-INDEX('Cohort Summary'!$H$5:$H$14,MATCH($A1672,'Cohort Summary'!$A$5:$A$14,0)))/INDEX('Cohort Summary'!$I$5:$I$14,MATCH($A1672,'Cohort Summary'!$A$5:$A$14,0))</f>
        <v>1.45031055900621</v>
      </c>
      <c r="L1672" s="42" t="n">
        <f aca="false">(G1672-INDEX('Cohort Summary'!$J$5:$J$14,MATCH($A1672,'Cohort Summary'!$A$5:$A$14,0)))/INDEX('Cohort Summary'!$K$5:$K$14,MATCH($A1672,'Cohort Summary'!$A$5:$A$14,0))</f>
        <v>0.524590163934427</v>
      </c>
      <c r="M1672" s="42" t="n">
        <f aca="false">MAX(I1672:K1672)</f>
        <v>1.45031055900621</v>
      </c>
      <c r="N1672" s="27" t="s">
        <v>197</v>
      </c>
      <c r="O1672" s="27"/>
      <c r="P1672" s="27" t="str">
        <f aca="false">A1672&amp;"|"&amp;N1672</f>
        <v>NURSE-09|normal</v>
      </c>
    </row>
    <row r="1673" customFormat="false" ht="15" hidden="false" customHeight="true" outlineLevel="0" collapsed="false">
      <c r="A1673" s="27" t="s">
        <v>100</v>
      </c>
      <c r="B1673" s="41" t="n">
        <v>46303.3163194444</v>
      </c>
      <c r="C1673" s="27" t="s">
        <v>200</v>
      </c>
      <c r="D1673" s="27" t="n">
        <v>45.9</v>
      </c>
      <c r="E1673" s="27" t="n">
        <v>17.2</v>
      </c>
      <c r="F1673" s="27" t="n">
        <v>29.7</v>
      </c>
      <c r="G1673" s="27" t="n">
        <v>33.7</v>
      </c>
      <c r="H1673" s="27" t="s">
        <v>199</v>
      </c>
      <c r="I1673" s="42" t="n">
        <f aca="false">(D1673-INDEX('Cohort Summary'!$D$5:$D$14,MATCH($A1673,'Cohort Summary'!$A$5:$A$14,0)))/INDEX('Cohort Summary'!$E$5:$E$14,MATCH($A1673,'Cohort Summary'!$A$5:$A$14,0))</f>
        <v>1.73448275862069</v>
      </c>
      <c r="J1673" s="42" t="n">
        <f aca="false">(E1673-INDEX('Cohort Summary'!$F$5:$F$14,MATCH($A1673,'Cohort Summary'!$A$5:$A$14,0)))/INDEX('Cohort Summary'!$G$5:$G$14,MATCH($A1673,'Cohort Summary'!$A$5:$A$14,0))</f>
        <v>-0.405940594059406</v>
      </c>
      <c r="K1673" s="42" t="n">
        <f aca="false">(F1673-INDEX('Cohort Summary'!$H$5:$H$14,MATCH($A1673,'Cohort Summary'!$A$5:$A$14,0)))/INDEX('Cohort Summary'!$I$5:$I$14,MATCH($A1673,'Cohort Summary'!$A$5:$A$14,0))</f>
        <v>-0.350931677018633</v>
      </c>
      <c r="L1673" s="42" t="n">
        <f aca="false">(G1673-INDEX('Cohort Summary'!$J$5:$J$14,MATCH($A1673,'Cohort Summary'!$A$5:$A$14,0)))/INDEX('Cohort Summary'!$K$5:$K$14,MATCH($A1673,'Cohort Summary'!$A$5:$A$14,0))</f>
        <v>1.01639344262296</v>
      </c>
      <c r="M1673" s="42" t="n">
        <f aca="false">MAX(I1673:K1673)</f>
        <v>1.73448275862069</v>
      </c>
      <c r="N1673" s="27" t="s">
        <v>197</v>
      </c>
      <c r="O1673" s="27"/>
      <c r="P1673" s="27" t="str">
        <f aca="false">A1673&amp;"|"&amp;N1673</f>
        <v>NURSE-09|normal</v>
      </c>
    </row>
    <row r="1674" customFormat="false" ht="15" hidden="false" customHeight="true" outlineLevel="0" collapsed="false">
      <c r="A1674" s="27" t="s">
        <v>100</v>
      </c>
      <c r="B1674" s="41" t="n">
        <v>46303.3166666667</v>
      </c>
      <c r="C1674" s="27" t="s">
        <v>200</v>
      </c>
      <c r="D1674" s="27" t="n">
        <v>45</v>
      </c>
      <c r="E1674" s="27" t="n">
        <v>17.3</v>
      </c>
      <c r="F1674" s="27" t="n">
        <v>26.1</v>
      </c>
      <c r="G1674" s="27" t="n">
        <v>33.7</v>
      </c>
      <c r="H1674" s="27" t="s">
        <v>196</v>
      </c>
      <c r="I1674" s="42" t="n">
        <f aca="false">(D1674-INDEX('Cohort Summary'!$D$5:$D$14,MATCH($A1674,'Cohort Summary'!$A$5:$A$14,0)))/INDEX('Cohort Summary'!$E$5:$E$14,MATCH($A1674,'Cohort Summary'!$A$5:$A$14,0))</f>
        <v>1.42413793103448</v>
      </c>
      <c r="J1674" s="42" t="n">
        <f aca="false">(E1674-INDEX('Cohort Summary'!$F$5:$F$14,MATCH($A1674,'Cohort Summary'!$A$5:$A$14,0)))/INDEX('Cohort Summary'!$G$5:$G$14,MATCH($A1674,'Cohort Summary'!$A$5:$A$14,0))</f>
        <v>-0.356435643564356</v>
      </c>
      <c r="K1674" s="42" t="n">
        <f aca="false">(F1674-INDEX('Cohort Summary'!$H$5:$H$14,MATCH($A1674,'Cohort Summary'!$A$5:$A$14,0)))/INDEX('Cohort Summary'!$I$5:$I$14,MATCH($A1674,'Cohort Summary'!$A$5:$A$14,0))</f>
        <v>-1.46894409937888</v>
      </c>
      <c r="L1674" s="42" t="n">
        <f aca="false">(G1674-INDEX('Cohort Summary'!$J$5:$J$14,MATCH($A1674,'Cohort Summary'!$A$5:$A$14,0)))/INDEX('Cohort Summary'!$K$5:$K$14,MATCH($A1674,'Cohort Summary'!$A$5:$A$14,0))</f>
        <v>1.01639344262296</v>
      </c>
      <c r="M1674" s="42" t="n">
        <f aca="false">MAX(I1674:K1674)</f>
        <v>1.42413793103448</v>
      </c>
      <c r="N1674" s="27" t="s">
        <v>197</v>
      </c>
      <c r="O1674" s="27"/>
      <c r="P1674" s="27" t="str">
        <f aca="false">A1674&amp;"|"&amp;N1674</f>
        <v>NURSE-09|normal</v>
      </c>
    </row>
    <row r="1675" customFormat="false" ht="15" hidden="false" customHeight="true" outlineLevel="0" collapsed="false">
      <c r="A1675" s="27" t="s">
        <v>100</v>
      </c>
      <c r="B1675" s="41" t="n">
        <v>46303.3170138889</v>
      </c>
      <c r="C1675" s="27" t="s">
        <v>200</v>
      </c>
      <c r="D1675" s="27" t="n">
        <v>43.3</v>
      </c>
      <c r="E1675" s="27" t="n">
        <v>19.1</v>
      </c>
      <c r="F1675" s="27" t="n">
        <v>30.9</v>
      </c>
      <c r="G1675" s="27" t="n">
        <v>32.5</v>
      </c>
      <c r="H1675" s="27" t="s">
        <v>196</v>
      </c>
      <c r="I1675" s="42" t="n">
        <f aca="false">(D1675-INDEX('Cohort Summary'!$D$5:$D$14,MATCH($A1675,'Cohort Summary'!$A$5:$A$14,0)))/INDEX('Cohort Summary'!$E$5:$E$14,MATCH($A1675,'Cohort Summary'!$A$5:$A$14,0))</f>
        <v>0.837931034482759</v>
      </c>
      <c r="J1675" s="42" t="n">
        <f aca="false">(E1675-INDEX('Cohort Summary'!$F$5:$F$14,MATCH($A1675,'Cohort Summary'!$A$5:$A$14,0)))/INDEX('Cohort Summary'!$G$5:$G$14,MATCH($A1675,'Cohort Summary'!$A$5:$A$14,0))</f>
        <v>0.534653465346536</v>
      </c>
      <c r="K1675" s="42" t="n">
        <f aca="false">(F1675-INDEX('Cohort Summary'!$H$5:$H$14,MATCH($A1675,'Cohort Summary'!$A$5:$A$14,0)))/INDEX('Cohort Summary'!$I$5:$I$14,MATCH($A1675,'Cohort Summary'!$A$5:$A$14,0))</f>
        <v>0.0217391304347827</v>
      </c>
      <c r="L1675" s="42" t="n">
        <f aca="false">(G1675-INDEX('Cohort Summary'!$J$5:$J$14,MATCH($A1675,'Cohort Summary'!$A$5:$A$14,0)))/INDEX('Cohort Summary'!$K$5:$K$14,MATCH($A1675,'Cohort Summary'!$A$5:$A$14,0))</f>
        <v>-0.950819672131145</v>
      </c>
      <c r="M1675" s="42" t="n">
        <f aca="false">MAX(I1675:K1675)</f>
        <v>0.837931034482759</v>
      </c>
      <c r="N1675" s="27" t="s">
        <v>197</v>
      </c>
      <c r="O1675" s="27"/>
      <c r="P1675" s="27" t="str">
        <f aca="false">A1675&amp;"|"&amp;N1675</f>
        <v>NURSE-09|normal</v>
      </c>
    </row>
    <row r="1676" customFormat="false" ht="15" hidden="false" customHeight="true" outlineLevel="0" collapsed="false">
      <c r="A1676" s="27" t="s">
        <v>100</v>
      </c>
      <c r="B1676" s="41" t="n">
        <v>46303.3173611111</v>
      </c>
      <c r="C1676" s="27" t="s">
        <v>200</v>
      </c>
      <c r="D1676" s="27" t="n">
        <v>39.6</v>
      </c>
      <c r="E1676" s="27" t="n">
        <v>18.3</v>
      </c>
      <c r="F1676" s="27" t="n">
        <v>35.7</v>
      </c>
      <c r="G1676" s="27" t="n">
        <v>32.5</v>
      </c>
      <c r="H1676" s="27" t="s">
        <v>196</v>
      </c>
      <c r="I1676" s="42" t="n">
        <f aca="false">(D1676-INDEX('Cohort Summary'!$D$5:$D$14,MATCH($A1676,'Cohort Summary'!$A$5:$A$14,0)))/INDEX('Cohort Summary'!$E$5:$E$14,MATCH($A1676,'Cohort Summary'!$A$5:$A$14,0))</f>
        <v>-0.437931034482757</v>
      </c>
      <c r="J1676" s="42" t="n">
        <f aca="false">(E1676-INDEX('Cohort Summary'!$F$5:$F$14,MATCH($A1676,'Cohort Summary'!$A$5:$A$14,0)))/INDEX('Cohort Summary'!$G$5:$G$14,MATCH($A1676,'Cohort Summary'!$A$5:$A$14,0))</f>
        <v>0.138613861386139</v>
      </c>
      <c r="K1676" s="42" t="n">
        <f aca="false">(F1676-INDEX('Cohort Summary'!$H$5:$H$14,MATCH($A1676,'Cohort Summary'!$A$5:$A$14,0)))/INDEX('Cohort Summary'!$I$5:$I$14,MATCH($A1676,'Cohort Summary'!$A$5:$A$14,0))</f>
        <v>1.51242236024845</v>
      </c>
      <c r="L1676" s="42" t="n">
        <f aca="false">(G1676-INDEX('Cohort Summary'!$J$5:$J$14,MATCH($A1676,'Cohort Summary'!$A$5:$A$14,0)))/INDEX('Cohort Summary'!$K$5:$K$14,MATCH($A1676,'Cohort Summary'!$A$5:$A$14,0))</f>
        <v>-0.950819672131145</v>
      </c>
      <c r="M1676" s="42" t="n">
        <f aca="false">MAX(I1676:K1676)</f>
        <v>1.51242236024845</v>
      </c>
      <c r="N1676" s="27" t="s">
        <v>197</v>
      </c>
      <c r="O1676" s="27"/>
      <c r="P1676" s="27" t="str">
        <f aca="false">A1676&amp;"|"&amp;N1676</f>
        <v>NURSE-09|normal</v>
      </c>
    </row>
    <row r="1677" customFormat="false" ht="15" hidden="false" customHeight="true" outlineLevel="0" collapsed="false">
      <c r="A1677" s="27" t="s">
        <v>100</v>
      </c>
      <c r="B1677" s="41" t="n">
        <v>46303.3177083333</v>
      </c>
      <c r="C1677" s="27" t="s">
        <v>200</v>
      </c>
      <c r="D1677" s="27" t="n">
        <v>38.1</v>
      </c>
      <c r="E1677" s="27" t="n">
        <v>17.2</v>
      </c>
      <c r="F1677" s="27" t="n">
        <v>31.1</v>
      </c>
      <c r="G1677" s="27" t="n">
        <v>33.1</v>
      </c>
      <c r="H1677" s="27" t="s">
        <v>198</v>
      </c>
      <c r="I1677" s="42" t="n">
        <f aca="false">(D1677-INDEX('Cohort Summary'!$D$5:$D$14,MATCH($A1677,'Cohort Summary'!$A$5:$A$14,0)))/INDEX('Cohort Summary'!$E$5:$E$14,MATCH($A1677,'Cohort Summary'!$A$5:$A$14,0))</f>
        <v>-0.955172413793102</v>
      </c>
      <c r="J1677" s="42" t="n">
        <f aca="false">(E1677-INDEX('Cohort Summary'!$F$5:$F$14,MATCH($A1677,'Cohort Summary'!$A$5:$A$14,0)))/INDEX('Cohort Summary'!$G$5:$G$14,MATCH($A1677,'Cohort Summary'!$A$5:$A$14,0))</f>
        <v>-0.405940594059406</v>
      </c>
      <c r="K1677" s="42" t="n">
        <f aca="false">(F1677-INDEX('Cohort Summary'!$H$5:$H$14,MATCH($A1677,'Cohort Summary'!$A$5:$A$14,0)))/INDEX('Cohort Summary'!$I$5:$I$14,MATCH($A1677,'Cohort Summary'!$A$5:$A$14,0))</f>
        <v>0.0838509316770196</v>
      </c>
      <c r="L1677" s="42" t="n">
        <f aca="false">(G1677-INDEX('Cohort Summary'!$J$5:$J$14,MATCH($A1677,'Cohort Summary'!$A$5:$A$14,0)))/INDEX('Cohort Summary'!$K$5:$K$14,MATCH($A1677,'Cohort Summary'!$A$5:$A$14,0))</f>
        <v>0.0327868852459068</v>
      </c>
      <c r="M1677" s="42" t="n">
        <f aca="false">MAX(I1677:K1677)</f>
        <v>0.0838509316770196</v>
      </c>
      <c r="N1677" s="27" t="s">
        <v>197</v>
      </c>
      <c r="O1677" s="27"/>
      <c r="P1677" s="27" t="str">
        <f aca="false">A1677&amp;"|"&amp;N1677</f>
        <v>NURSE-09|normal</v>
      </c>
    </row>
    <row r="1678" customFormat="false" ht="15" hidden="false" customHeight="true" outlineLevel="0" collapsed="false">
      <c r="A1678" s="27" t="s">
        <v>100</v>
      </c>
      <c r="B1678" s="41" t="n">
        <v>46303.3180555556</v>
      </c>
      <c r="C1678" s="27" t="s">
        <v>200</v>
      </c>
      <c r="D1678" s="27" t="n">
        <v>43.6</v>
      </c>
      <c r="E1678" s="27" t="n">
        <v>21.8</v>
      </c>
      <c r="F1678" s="27" t="n">
        <v>34.3</v>
      </c>
      <c r="G1678" s="27" t="n">
        <v>33.7</v>
      </c>
      <c r="H1678" s="27" t="s">
        <v>199</v>
      </c>
      <c r="I1678" s="42" t="n">
        <f aca="false">(D1678-INDEX('Cohort Summary'!$D$5:$D$14,MATCH($A1678,'Cohort Summary'!$A$5:$A$14,0)))/INDEX('Cohort Summary'!$E$5:$E$14,MATCH($A1678,'Cohort Summary'!$A$5:$A$14,0))</f>
        <v>0.941379310344829</v>
      </c>
      <c r="J1678" s="42" t="n">
        <f aca="false">(E1678-INDEX('Cohort Summary'!$F$5:$F$14,MATCH($A1678,'Cohort Summary'!$A$5:$A$14,0)))/INDEX('Cohort Summary'!$G$5:$G$14,MATCH($A1678,'Cohort Summary'!$A$5:$A$14,0))</f>
        <v>1.87128712871287</v>
      </c>
      <c r="K1678" s="42" t="n">
        <f aca="false">(F1678-INDEX('Cohort Summary'!$H$5:$H$14,MATCH($A1678,'Cohort Summary'!$A$5:$A$14,0)))/INDEX('Cohort Summary'!$I$5:$I$14,MATCH($A1678,'Cohort Summary'!$A$5:$A$14,0))</f>
        <v>1.07763975155279</v>
      </c>
      <c r="L1678" s="42" t="n">
        <f aca="false">(G1678-INDEX('Cohort Summary'!$J$5:$J$14,MATCH($A1678,'Cohort Summary'!$A$5:$A$14,0)))/INDEX('Cohort Summary'!$K$5:$K$14,MATCH($A1678,'Cohort Summary'!$A$5:$A$14,0))</f>
        <v>1.01639344262296</v>
      </c>
      <c r="M1678" s="42" t="n">
        <f aca="false">MAX(I1678:K1678)</f>
        <v>1.87128712871287</v>
      </c>
      <c r="N1678" s="27" t="s">
        <v>197</v>
      </c>
      <c r="O1678" s="27"/>
      <c r="P1678" s="27" t="str">
        <f aca="false">A1678&amp;"|"&amp;N1678</f>
        <v>NURSE-09|normal</v>
      </c>
    </row>
    <row r="1679" customFormat="false" ht="15" hidden="false" customHeight="true" outlineLevel="0" collapsed="false">
      <c r="A1679" s="27" t="s">
        <v>100</v>
      </c>
      <c r="B1679" s="41" t="n">
        <v>46303.3184027778</v>
      </c>
      <c r="C1679" s="27" t="s">
        <v>200</v>
      </c>
      <c r="D1679" s="27" t="n">
        <v>43.2</v>
      </c>
      <c r="E1679" s="27" t="n">
        <v>18.8</v>
      </c>
      <c r="F1679" s="27" t="n">
        <v>34.2</v>
      </c>
      <c r="G1679" s="27" t="n">
        <v>33.7</v>
      </c>
      <c r="H1679" s="27" t="s">
        <v>196</v>
      </c>
      <c r="I1679" s="42" t="n">
        <f aca="false">(D1679-INDEX('Cohort Summary'!$D$5:$D$14,MATCH($A1679,'Cohort Summary'!$A$5:$A$14,0)))/INDEX('Cohort Summary'!$E$5:$E$14,MATCH($A1679,'Cohort Summary'!$A$5:$A$14,0))</f>
        <v>0.803448275862071</v>
      </c>
      <c r="J1679" s="42" t="n">
        <f aca="false">(E1679-INDEX('Cohort Summary'!$F$5:$F$14,MATCH($A1679,'Cohort Summary'!$A$5:$A$14,0)))/INDEX('Cohort Summary'!$G$5:$G$14,MATCH($A1679,'Cohort Summary'!$A$5:$A$14,0))</f>
        <v>0.386138613861387</v>
      </c>
      <c r="K1679" s="42" t="n">
        <f aca="false">(F1679-INDEX('Cohort Summary'!$H$5:$H$14,MATCH($A1679,'Cohort Summary'!$A$5:$A$14,0)))/INDEX('Cohort Summary'!$I$5:$I$14,MATCH($A1679,'Cohort Summary'!$A$5:$A$14,0))</f>
        <v>1.04658385093168</v>
      </c>
      <c r="L1679" s="42" t="n">
        <f aca="false">(G1679-INDEX('Cohort Summary'!$J$5:$J$14,MATCH($A1679,'Cohort Summary'!$A$5:$A$14,0)))/INDEX('Cohort Summary'!$K$5:$K$14,MATCH($A1679,'Cohort Summary'!$A$5:$A$14,0))</f>
        <v>1.01639344262296</v>
      </c>
      <c r="M1679" s="42" t="n">
        <f aca="false">MAX(I1679:K1679)</f>
        <v>1.04658385093168</v>
      </c>
      <c r="N1679" s="27" t="s">
        <v>197</v>
      </c>
      <c r="O1679" s="27"/>
      <c r="P1679" s="27" t="str">
        <f aca="false">A1679&amp;"|"&amp;N1679</f>
        <v>NURSE-09|normal</v>
      </c>
    </row>
    <row r="1680" customFormat="false" ht="15" hidden="false" customHeight="true" outlineLevel="0" collapsed="false">
      <c r="A1680" s="27" t="s">
        <v>100</v>
      </c>
      <c r="B1680" s="41" t="n">
        <v>46303.31875</v>
      </c>
      <c r="C1680" s="27" t="s">
        <v>200</v>
      </c>
      <c r="D1680" s="27" t="n">
        <v>43.9</v>
      </c>
      <c r="E1680" s="27" t="n">
        <v>18.9</v>
      </c>
      <c r="F1680" s="27" t="n">
        <v>34.7</v>
      </c>
      <c r="G1680" s="27" t="n">
        <v>32.2</v>
      </c>
      <c r="H1680" s="27" t="s">
        <v>199</v>
      </c>
      <c r="I1680" s="42" t="n">
        <f aca="false">(D1680-INDEX('Cohort Summary'!$D$5:$D$14,MATCH($A1680,'Cohort Summary'!$A$5:$A$14,0)))/INDEX('Cohort Summary'!$E$5:$E$14,MATCH($A1680,'Cohort Summary'!$A$5:$A$14,0))</f>
        <v>1.0448275862069</v>
      </c>
      <c r="J1680" s="42" t="n">
        <f aca="false">(E1680-INDEX('Cohort Summary'!$F$5:$F$14,MATCH($A1680,'Cohort Summary'!$A$5:$A$14,0)))/INDEX('Cohort Summary'!$G$5:$G$14,MATCH($A1680,'Cohort Summary'!$A$5:$A$14,0))</f>
        <v>0.435643564356435</v>
      </c>
      <c r="K1680" s="42" t="n">
        <f aca="false">(F1680-INDEX('Cohort Summary'!$H$5:$H$14,MATCH($A1680,'Cohort Summary'!$A$5:$A$14,0)))/INDEX('Cohort Summary'!$I$5:$I$14,MATCH($A1680,'Cohort Summary'!$A$5:$A$14,0))</f>
        <v>1.20186335403727</v>
      </c>
      <c r="L1680" s="42" t="n">
        <f aca="false">(G1680-INDEX('Cohort Summary'!$J$5:$J$14,MATCH($A1680,'Cohort Summary'!$A$5:$A$14,0)))/INDEX('Cohort Summary'!$K$5:$K$14,MATCH($A1680,'Cohort Summary'!$A$5:$A$14,0))</f>
        <v>-1.44262295081966</v>
      </c>
      <c r="M1680" s="42" t="n">
        <f aca="false">MAX(I1680:K1680)</f>
        <v>1.20186335403727</v>
      </c>
      <c r="N1680" s="27" t="s">
        <v>197</v>
      </c>
      <c r="O1680" s="27"/>
      <c r="P1680" s="27" t="str">
        <f aca="false">A1680&amp;"|"&amp;N1680</f>
        <v>NURSE-09|normal</v>
      </c>
    </row>
    <row r="1681" customFormat="false" ht="15" hidden="false" customHeight="true" outlineLevel="0" collapsed="false">
      <c r="A1681" s="27" t="s">
        <v>100</v>
      </c>
      <c r="B1681" s="41" t="n">
        <v>46303.3190972222</v>
      </c>
      <c r="C1681" s="27" t="s">
        <v>200</v>
      </c>
      <c r="D1681" s="27" t="n">
        <v>44.6</v>
      </c>
      <c r="E1681" s="27" t="n">
        <v>20.5</v>
      </c>
      <c r="F1681" s="27" t="n">
        <v>28.9</v>
      </c>
      <c r="G1681" s="27" t="n">
        <v>34.1</v>
      </c>
      <c r="H1681" s="27" t="s">
        <v>198</v>
      </c>
      <c r="I1681" s="42" t="n">
        <f aca="false">(D1681-INDEX('Cohort Summary'!$D$5:$D$14,MATCH($A1681,'Cohort Summary'!$A$5:$A$14,0)))/INDEX('Cohort Summary'!$E$5:$E$14,MATCH($A1681,'Cohort Summary'!$A$5:$A$14,0))</f>
        <v>1.28620689655173</v>
      </c>
      <c r="J1681" s="42" t="n">
        <f aca="false">(E1681-INDEX('Cohort Summary'!$F$5:$F$14,MATCH($A1681,'Cohort Summary'!$A$5:$A$14,0)))/INDEX('Cohort Summary'!$G$5:$G$14,MATCH($A1681,'Cohort Summary'!$A$5:$A$14,0))</f>
        <v>1.22772277227723</v>
      </c>
      <c r="K1681" s="42" t="n">
        <f aca="false">(F1681-INDEX('Cohort Summary'!$H$5:$H$14,MATCH($A1681,'Cohort Summary'!$A$5:$A$14,0)))/INDEX('Cohort Summary'!$I$5:$I$14,MATCH($A1681,'Cohort Summary'!$A$5:$A$14,0))</f>
        <v>-0.599378881987578</v>
      </c>
      <c r="L1681" s="42" t="n">
        <f aca="false">(G1681-INDEX('Cohort Summary'!$J$5:$J$14,MATCH($A1681,'Cohort Summary'!$A$5:$A$14,0)))/INDEX('Cohort Summary'!$K$5:$K$14,MATCH($A1681,'Cohort Summary'!$A$5:$A$14,0))</f>
        <v>1.67213114754099</v>
      </c>
      <c r="M1681" s="42" t="n">
        <f aca="false">MAX(I1681:K1681)</f>
        <v>1.28620689655173</v>
      </c>
      <c r="N1681" s="27" t="s">
        <v>197</v>
      </c>
      <c r="O1681" s="27"/>
      <c r="P1681" s="27" t="str">
        <f aca="false">A1681&amp;"|"&amp;N1681</f>
        <v>NURSE-09|normal</v>
      </c>
    </row>
    <row r="1682" customFormat="false" ht="15" hidden="false" customHeight="true" outlineLevel="0" collapsed="false">
      <c r="A1682" s="27" t="s">
        <v>100</v>
      </c>
      <c r="B1682" s="41" t="n">
        <v>46303.3194444445</v>
      </c>
      <c r="C1682" s="27" t="s">
        <v>200</v>
      </c>
      <c r="D1682" s="27" t="n">
        <v>36.5</v>
      </c>
      <c r="E1682" s="27" t="n">
        <v>18.2</v>
      </c>
      <c r="F1682" s="27" t="n">
        <v>33.3</v>
      </c>
      <c r="G1682" s="27" t="n">
        <v>33.3</v>
      </c>
      <c r="H1682" s="27" t="s">
        <v>198</v>
      </c>
      <c r="I1682" s="42" t="n">
        <f aca="false">(D1682-INDEX('Cohort Summary'!$D$5:$D$14,MATCH($A1682,'Cohort Summary'!$A$5:$A$14,0)))/INDEX('Cohort Summary'!$E$5:$E$14,MATCH($A1682,'Cohort Summary'!$A$5:$A$14,0))</f>
        <v>-1.50689655172414</v>
      </c>
      <c r="J1682" s="42" t="n">
        <f aca="false">(E1682-INDEX('Cohort Summary'!$F$5:$F$14,MATCH($A1682,'Cohort Summary'!$A$5:$A$14,0)))/INDEX('Cohort Summary'!$G$5:$G$14,MATCH($A1682,'Cohort Summary'!$A$5:$A$14,0))</f>
        <v>0.089108910891089</v>
      </c>
      <c r="K1682" s="42" t="n">
        <f aca="false">(F1682-INDEX('Cohort Summary'!$H$5:$H$14,MATCH($A1682,'Cohort Summary'!$A$5:$A$14,0)))/INDEX('Cohort Summary'!$I$5:$I$14,MATCH($A1682,'Cohort Summary'!$A$5:$A$14,0))</f>
        <v>0.767080745341615</v>
      </c>
      <c r="L1682" s="42" t="n">
        <f aca="false">(G1682-INDEX('Cohort Summary'!$J$5:$J$14,MATCH($A1682,'Cohort Summary'!$A$5:$A$14,0)))/INDEX('Cohort Summary'!$K$5:$K$14,MATCH($A1682,'Cohort Summary'!$A$5:$A$14,0))</f>
        <v>0.360655737704916</v>
      </c>
      <c r="M1682" s="42" t="n">
        <f aca="false">MAX(I1682:K1682)</f>
        <v>0.767080745341615</v>
      </c>
      <c r="N1682" s="27" t="s">
        <v>197</v>
      </c>
      <c r="O1682" s="27"/>
      <c r="P1682" s="27" t="str">
        <f aca="false">A1682&amp;"|"&amp;N1682</f>
        <v>NURSE-09|normal</v>
      </c>
    </row>
    <row r="1683" customFormat="false" ht="15" hidden="false" customHeight="true" outlineLevel="0" collapsed="false">
      <c r="A1683" s="27" t="s">
        <v>100</v>
      </c>
      <c r="B1683" s="41" t="n">
        <v>46303.3197916667</v>
      </c>
      <c r="C1683" s="27" t="s">
        <v>200</v>
      </c>
      <c r="D1683" s="27" t="n">
        <v>39.6</v>
      </c>
      <c r="E1683" s="27" t="n">
        <v>17.7</v>
      </c>
      <c r="F1683" s="27" t="n">
        <v>34.5</v>
      </c>
      <c r="G1683" s="27" t="n">
        <v>33.2</v>
      </c>
      <c r="H1683" s="27" t="s">
        <v>196</v>
      </c>
      <c r="I1683" s="42" t="n">
        <f aca="false">(D1683-INDEX('Cohort Summary'!$D$5:$D$14,MATCH($A1683,'Cohort Summary'!$A$5:$A$14,0)))/INDEX('Cohort Summary'!$E$5:$E$14,MATCH($A1683,'Cohort Summary'!$A$5:$A$14,0))</f>
        <v>-0.437931034482757</v>
      </c>
      <c r="J1683" s="42" t="n">
        <f aca="false">(E1683-INDEX('Cohort Summary'!$F$5:$F$14,MATCH($A1683,'Cohort Summary'!$A$5:$A$14,0)))/INDEX('Cohort Summary'!$G$5:$G$14,MATCH($A1683,'Cohort Summary'!$A$5:$A$14,0))</f>
        <v>-0.158415841584159</v>
      </c>
      <c r="K1683" s="42" t="n">
        <f aca="false">(F1683-INDEX('Cohort Summary'!$H$5:$H$14,MATCH($A1683,'Cohort Summary'!$A$5:$A$14,0)))/INDEX('Cohort Summary'!$I$5:$I$14,MATCH($A1683,'Cohort Summary'!$A$5:$A$14,0))</f>
        <v>1.13975155279503</v>
      </c>
      <c r="L1683" s="42" t="n">
        <f aca="false">(G1683-INDEX('Cohort Summary'!$J$5:$J$14,MATCH($A1683,'Cohort Summary'!$A$5:$A$14,0)))/INDEX('Cohort Summary'!$K$5:$K$14,MATCH($A1683,'Cohort Summary'!$A$5:$A$14,0))</f>
        <v>0.196721311475417</v>
      </c>
      <c r="M1683" s="42" t="n">
        <f aca="false">MAX(I1683:K1683)</f>
        <v>1.13975155279503</v>
      </c>
      <c r="N1683" s="27" t="s">
        <v>197</v>
      </c>
      <c r="O1683" s="27"/>
      <c r="P1683" s="27" t="str">
        <f aca="false">A1683&amp;"|"&amp;N1683</f>
        <v>NURSE-09|normal</v>
      </c>
    </row>
    <row r="1684" customFormat="false" ht="15" hidden="false" customHeight="true" outlineLevel="0" collapsed="false">
      <c r="A1684" s="27" t="s">
        <v>100</v>
      </c>
      <c r="B1684" s="41" t="n">
        <v>46303.3201388889</v>
      </c>
      <c r="C1684" s="27" t="s">
        <v>200</v>
      </c>
      <c r="D1684" s="27" t="n">
        <v>44.9</v>
      </c>
      <c r="E1684" s="27" t="n">
        <v>18.8</v>
      </c>
      <c r="F1684" s="27" t="n">
        <v>34.2</v>
      </c>
      <c r="G1684" s="27" t="n">
        <v>33.2</v>
      </c>
      <c r="H1684" s="27" t="s">
        <v>196</v>
      </c>
      <c r="I1684" s="42" t="n">
        <f aca="false">(D1684-INDEX('Cohort Summary'!$D$5:$D$14,MATCH($A1684,'Cohort Summary'!$A$5:$A$14,0)))/INDEX('Cohort Summary'!$E$5:$E$14,MATCH($A1684,'Cohort Summary'!$A$5:$A$14,0))</f>
        <v>1.38965517241379</v>
      </c>
      <c r="J1684" s="42" t="n">
        <f aca="false">(E1684-INDEX('Cohort Summary'!$F$5:$F$14,MATCH($A1684,'Cohort Summary'!$A$5:$A$14,0)))/INDEX('Cohort Summary'!$G$5:$G$14,MATCH($A1684,'Cohort Summary'!$A$5:$A$14,0))</f>
        <v>0.386138613861387</v>
      </c>
      <c r="K1684" s="42" t="n">
        <f aca="false">(F1684-INDEX('Cohort Summary'!$H$5:$H$14,MATCH($A1684,'Cohort Summary'!$A$5:$A$14,0)))/INDEX('Cohort Summary'!$I$5:$I$14,MATCH($A1684,'Cohort Summary'!$A$5:$A$14,0))</f>
        <v>1.04658385093168</v>
      </c>
      <c r="L1684" s="42" t="n">
        <f aca="false">(G1684-INDEX('Cohort Summary'!$J$5:$J$14,MATCH($A1684,'Cohort Summary'!$A$5:$A$14,0)))/INDEX('Cohort Summary'!$K$5:$K$14,MATCH($A1684,'Cohort Summary'!$A$5:$A$14,0))</f>
        <v>0.196721311475417</v>
      </c>
      <c r="M1684" s="42" t="n">
        <f aca="false">MAX(I1684:K1684)</f>
        <v>1.38965517241379</v>
      </c>
      <c r="N1684" s="27" t="s">
        <v>197</v>
      </c>
      <c r="O1684" s="27"/>
      <c r="P1684" s="27" t="str">
        <f aca="false">A1684&amp;"|"&amp;N1684</f>
        <v>NURSE-09|normal</v>
      </c>
    </row>
    <row r="1685" customFormat="false" ht="15" hidden="false" customHeight="true" outlineLevel="0" collapsed="false">
      <c r="A1685" s="27" t="s">
        <v>100</v>
      </c>
      <c r="B1685" s="41" t="n">
        <v>46303.3204861111</v>
      </c>
      <c r="C1685" s="27" t="s">
        <v>200</v>
      </c>
      <c r="D1685" s="27" t="n">
        <v>41.3</v>
      </c>
      <c r="E1685" s="27" t="n">
        <v>18.3</v>
      </c>
      <c r="F1685" s="27" t="n">
        <v>27.4</v>
      </c>
      <c r="G1685" s="27" t="n">
        <v>32.4</v>
      </c>
      <c r="H1685" s="27" t="s">
        <v>196</v>
      </c>
      <c r="I1685" s="42" t="n">
        <f aca="false">(D1685-INDEX('Cohort Summary'!$D$5:$D$14,MATCH($A1685,'Cohort Summary'!$A$5:$A$14,0)))/INDEX('Cohort Summary'!$E$5:$E$14,MATCH($A1685,'Cohort Summary'!$A$5:$A$14,0))</f>
        <v>0.148275862068965</v>
      </c>
      <c r="J1685" s="42" t="n">
        <f aca="false">(E1685-INDEX('Cohort Summary'!$F$5:$F$14,MATCH($A1685,'Cohort Summary'!$A$5:$A$14,0)))/INDEX('Cohort Summary'!$G$5:$G$14,MATCH($A1685,'Cohort Summary'!$A$5:$A$14,0))</f>
        <v>0.138613861386139</v>
      </c>
      <c r="K1685" s="42" t="n">
        <f aca="false">(F1685-INDEX('Cohort Summary'!$H$5:$H$14,MATCH($A1685,'Cohort Summary'!$A$5:$A$14,0)))/INDEX('Cohort Summary'!$I$5:$I$14,MATCH($A1685,'Cohort Summary'!$A$5:$A$14,0))</f>
        <v>-1.06521739130435</v>
      </c>
      <c r="L1685" s="42" t="n">
        <f aca="false">(G1685-INDEX('Cohort Summary'!$J$5:$J$14,MATCH($A1685,'Cohort Summary'!$A$5:$A$14,0)))/INDEX('Cohort Summary'!$K$5:$K$14,MATCH($A1685,'Cohort Summary'!$A$5:$A$14,0))</f>
        <v>-1.11475409836066</v>
      </c>
      <c r="M1685" s="42" t="n">
        <f aca="false">MAX(I1685:K1685)</f>
        <v>0.148275862068965</v>
      </c>
      <c r="N1685" s="27" t="s">
        <v>197</v>
      </c>
      <c r="O1685" s="27"/>
      <c r="P1685" s="27" t="str">
        <f aca="false">A1685&amp;"|"&amp;N1685</f>
        <v>NURSE-09|normal</v>
      </c>
    </row>
    <row r="1686" customFormat="false" ht="15" hidden="false" customHeight="true" outlineLevel="0" collapsed="false">
      <c r="A1686" s="27" t="s">
        <v>100</v>
      </c>
      <c r="B1686" s="41" t="n">
        <v>46303.3208333333</v>
      </c>
      <c r="C1686" s="27" t="s">
        <v>200</v>
      </c>
      <c r="D1686" s="27" t="n">
        <v>36.9</v>
      </c>
      <c r="E1686" s="27" t="n">
        <v>17.8</v>
      </c>
      <c r="F1686" s="27" t="n">
        <v>26.4</v>
      </c>
      <c r="G1686" s="27" t="n">
        <v>32.9</v>
      </c>
      <c r="H1686" s="27" t="s">
        <v>198</v>
      </c>
      <c r="I1686" s="42" t="n">
        <f aca="false">(D1686-INDEX('Cohort Summary'!$D$5:$D$14,MATCH($A1686,'Cohort Summary'!$A$5:$A$14,0)))/INDEX('Cohort Summary'!$E$5:$E$14,MATCH($A1686,'Cohort Summary'!$A$5:$A$14,0))</f>
        <v>-1.36896551724138</v>
      </c>
      <c r="J1686" s="42" t="n">
        <f aca="false">(E1686-INDEX('Cohort Summary'!$F$5:$F$14,MATCH($A1686,'Cohort Summary'!$A$5:$A$14,0)))/INDEX('Cohort Summary'!$G$5:$G$14,MATCH($A1686,'Cohort Summary'!$A$5:$A$14,0))</f>
        <v>-0.108910891089108</v>
      </c>
      <c r="K1686" s="42" t="n">
        <f aca="false">(F1686-INDEX('Cohort Summary'!$H$5:$H$14,MATCH($A1686,'Cohort Summary'!$A$5:$A$14,0)))/INDEX('Cohort Summary'!$I$5:$I$14,MATCH($A1686,'Cohort Summary'!$A$5:$A$14,0))</f>
        <v>-1.37577639751553</v>
      </c>
      <c r="L1686" s="42" t="n">
        <f aca="false">(G1686-INDEX('Cohort Summary'!$J$5:$J$14,MATCH($A1686,'Cohort Summary'!$A$5:$A$14,0)))/INDEX('Cohort Summary'!$K$5:$K$14,MATCH($A1686,'Cohort Summary'!$A$5:$A$14,0))</f>
        <v>-0.295081967213114</v>
      </c>
      <c r="M1686" s="42" t="n">
        <f aca="false">MAX(I1686:K1686)</f>
        <v>-0.108910891089108</v>
      </c>
      <c r="N1686" s="27" t="s">
        <v>197</v>
      </c>
      <c r="O1686" s="27"/>
      <c r="P1686" s="27" t="str">
        <f aca="false">A1686&amp;"|"&amp;N1686</f>
        <v>NURSE-09|normal</v>
      </c>
    </row>
    <row r="1687" customFormat="false" ht="15" hidden="false" customHeight="true" outlineLevel="0" collapsed="false">
      <c r="A1687" s="27" t="s">
        <v>100</v>
      </c>
      <c r="B1687" s="41" t="n">
        <v>46303.3211805556</v>
      </c>
      <c r="C1687" s="27" t="s">
        <v>200</v>
      </c>
      <c r="D1687" s="27" t="n">
        <v>44.6</v>
      </c>
      <c r="E1687" s="27" t="n">
        <v>19.9</v>
      </c>
      <c r="F1687" s="27" t="n">
        <v>35.8</v>
      </c>
      <c r="G1687" s="27" t="n">
        <v>33.2</v>
      </c>
      <c r="H1687" s="27" t="s">
        <v>199</v>
      </c>
      <c r="I1687" s="42" t="n">
        <f aca="false">(D1687-INDEX('Cohort Summary'!$D$5:$D$14,MATCH($A1687,'Cohort Summary'!$A$5:$A$14,0)))/INDEX('Cohort Summary'!$E$5:$E$14,MATCH($A1687,'Cohort Summary'!$A$5:$A$14,0))</f>
        <v>1.28620689655173</v>
      </c>
      <c r="J1687" s="42" t="n">
        <f aca="false">(E1687-INDEX('Cohort Summary'!$F$5:$F$14,MATCH($A1687,'Cohort Summary'!$A$5:$A$14,0)))/INDEX('Cohort Summary'!$G$5:$G$14,MATCH($A1687,'Cohort Summary'!$A$5:$A$14,0))</f>
        <v>0.93069306930693</v>
      </c>
      <c r="K1687" s="42" t="n">
        <f aca="false">(F1687-INDEX('Cohort Summary'!$H$5:$H$14,MATCH($A1687,'Cohort Summary'!$A$5:$A$14,0)))/INDEX('Cohort Summary'!$I$5:$I$14,MATCH($A1687,'Cohort Summary'!$A$5:$A$14,0))</f>
        <v>1.54347826086956</v>
      </c>
      <c r="L1687" s="42" t="n">
        <f aca="false">(G1687-INDEX('Cohort Summary'!$J$5:$J$14,MATCH($A1687,'Cohort Summary'!$A$5:$A$14,0)))/INDEX('Cohort Summary'!$K$5:$K$14,MATCH($A1687,'Cohort Summary'!$A$5:$A$14,0))</f>
        <v>0.196721311475417</v>
      </c>
      <c r="M1687" s="42" t="n">
        <f aca="false">MAX(I1687:K1687)</f>
        <v>1.54347826086956</v>
      </c>
      <c r="N1687" s="27" t="s">
        <v>197</v>
      </c>
      <c r="O1687" s="27"/>
      <c r="P1687" s="27" t="str">
        <f aca="false">A1687&amp;"|"&amp;N1687</f>
        <v>NURSE-09|normal</v>
      </c>
    </row>
    <row r="1688" customFormat="false" ht="15" hidden="false" customHeight="true" outlineLevel="0" collapsed="false">
      <c r="A1688" s="27" t="s">
        <v>100</v>
      </c>
      <c r="B1688" s="41" t="n">
        <v>46303.3215277778</v>
      </c>
      <c r="C1688" s="27" t="s">
        <v>200</v>
      </c>
      <c r="D1688" s="27" t="n">
        <v>41</v>
      </c>
      <c r="E1688" s="27" t="n">
        <v>15.8</v>
      </c>
      <c r="F1688" s="27" t="n">
        <v>30.6</v>
      </c>
      <c r="G1688" s="27" t="n">
        <v>33.5</v>
      </c>
      <c r="H1688" s="27" t="s">
        <v>199</v>
      </c>
      <c r="I1688" s="42" t="n">
        <f aca="false">(D1688-INDEX('Cohort Summary'!$D$5:$D$14,MATCH($A1688,'Cohort Summary'!$A$5:$A$14,0)))/INDEX('Cohort Summary'!$E$5:$E$14,MATCH($A1688,'Cohort Summary'!$A$5:$A$14,0))</f>
        <v>0.0448275862068974</v>
      </c>
      <c r="J1688" s="42" t="n">
        <f aca="false">(E1688-INDEX('Cohort Summary'!$F$5:$F$14,MATCH($A1688,'Cohort Summary'!$A$5:$A$14,0)))/INDEX('Cohort Summary'!$G$5:$G$14,MATCH($A1688,'Cohort Summary'!$A$5:$A$14,0))</f>
        <v>-1.0990099009901</v>
      </c>
      <c r="K1688" s="42" t="n">
        <f aca="false">(F1688-INDEX('Cohort Summary'!$H$5:$H$14,MATCH($A1688,'Cohort Summary'!$A$5:$A$14,0)))/INDEX('Cohort Summary'!$I$5:$I$14,MATCH($A1688,'Cohort Summary'!$A$5:$A$14,0))</f>
        <v>-0.0714285714285705</v>
      </c>
      <c r="L1688" s="42" t="n">
        <f aca="false">(G1688-INDEX('Cohort Summary'!$J$5:$J$14,MATCH($A1688,'Cohort Summary'!$A$5:$A$14,0)))/INDEX('Cohort Summary'!$K$5:$K$14,MATCH($A1688,'Cohort Summary'!$A$5:$A$14,0))</f>
        <v>0.688524590163937</v>
      </c>
      <c r="M1688" s="42" t="n">
        <f aca="false">MAX(I1688:K1688)</f>
        <v>0.0448275862068974</v>
      </c>
      <c r="N1688" s="27" t="s">
        <v>197</v>
      </c>
      <c r="O1688" s="27"/>
      <c r="P1688" s="27" t="str">
        <f aca="false">A1688&amp;"|"&amp;N1688</f>
        <v>NURSE-09|normal</v>
      </c>
    </row>
    <row r="1689" customFormat="false" ht="15" hidden="false" customHeight="true" outlineLevel="0" collapsed="false">
      <c r="A1689" s="27" t="s">
        <v>100</v>
      </c>
      <c r="B1689" s="41" t="n">
        <v>46303.321875</v>
      </c>
      <c r="C1689" s="27" t="s">
        <v>200</v>
      </c>
      <c r="D1689" s="27" t="n">
        <v>40</v>
      </c>
      <c r="E1689" s="27" t="n">
        <v>18.6</v>
      </c>
      <c r="F1689" s="27" t="n">
        <v>28.8</v>
      </c>
      <c r="G1689" s="27" t="n">
        <v>34</v>
      </c>
      <c r="H1689" s="27" t="s">
        <v>198</v>
      </c>
      <c r="I1689" s="42" t="n">
        <f aca="false">(D1689-INDEX('Cohort Summary'!$D$5:$D$14,MATCH($A1689,'Cohort Summary'!$A$5:$A$14,0)))/INDEX('Cohort Summary'!$E$5:$E$14,MATCH($A1689,'Cohort Summary'!$A$5:$A$14,0))</f>
        <v>-0.299999999999999</v>
      </c>
      <c r="J1689" s="42" t="n">
        <f aca="false">(E1689-INDEX('Cohort Summary'!$F$5:$F$14,MATCH($A1689,'Cohort Summary'!$A$5:$A$14,0)))/INDEX('Cohort Summary'!$G$5:$G$14,MATCH($A1689,'Cohort Summary'!$A$5:$A$14,0))</f>
        <v>0.287128712871288</v>
      </c>
      <c r="K1689" s="42" t="n">
        <f aca="false">(F1689-INDEX('Cohort Summary'!$H$5:$H$14,MATCH($A1689,'Cohort Summary'!$A$5:$A$14,0)))/INDEX('Cohort Summary'!$I$5:$I$14,MATCH($A1689,'Cohort Summary'!$A$5:$A$14,0))</f>
        <v>-0.630434782608695</v>
      </c>
      <c r="L1689" s="42" t="n">
        <f aca="false">(G1689-INDEX('Cohort Summary'!$J$5:$J$14,MATCH($A1689,'Cohort Summary'!$A$5:$A$14,0)))/INDEX('Cohort Summary'!$K$5:$K$14,MATCH($A1689,'Cohort Summary'!$A$5:$A$14,0))</f>
        <v>1.50819672131148</v>
      </c>
      <c r="M1689" s="42" t="n">
        <f aca="false">MAX(I1689:K1689)</f>
        <v>0.287128712871288</v>
      </c>
      <c r="N1689" s="27" t="s">
        <v>197</v>
      </c>
      <c r="O1689" s="27"/>
      <c r="P1689" s="27" t="str">
        <f aca="false">A1689&amp;"|"&amp;N1689</f>
        <v>NURSE-09|normal</v>
      </c>
    </row>
    <row r="1690" customFormat="false" ht="15" hidden="false" customHeight="true" outlineLevel="0" collapsed="false">
      <c r="A1690" s="27" t="s">
        <v>100</v>
      </c>
      <c r="B1690" s="41" t="n">
        <v>46303.3222222222</v>
      </c>
      <c r="C1690" s="27" t="s">
        <v>200</v>
      </c>
      <c r="D1690" s="27" t="n">
        <v>43</v>
      </c>
      <c r="E1690" s="27" t="n">
        <v>20.5</v>
      </c>
      <c r="F1690" s="27" t="n">
        <v>35.2</v>
      </c>
      <c r="G1690" s="27" t="n">
        <v>32.5</v>
      </c>
      <c r="H1690" s="27" t="s">
        <v>199</v>
      </c>
      <c r="I1690" s="42" t="n">
        <f aca="false">(D1690-INDEX('Cohort Summary'!$D$5:$D$14,MATCH($A1690,'Cohort Summary'!$A$5:$A$14,0)))/INDEX('Cohort Summary'!$E$5:$E$14,MATCH($A1690,'Cohort Summary'!$A$5:$A$14,0))</f>
        <v>0.734482758620691</v>
      </c>
      <c r="J1690" s="42" t="n">
        <f aca="false">(E1690-INDEX('Cohort Summary'!$F$5:$F$14,MATCH($A1690,'Cohort Summary'!$A$5:$A$14,0)))/INDEX('Cohort Summary'!$G$5:$G$14,MATCH($A1690,'Cohort Summary'!$A$5:$A$14,0))</f>
        <v>1.22772277227723</v>
      </c>
      <c r="K1690" s="42" t="n">
        <f aca="false">(F1690-INDEX('Cohort Summary'!$H$5:$H$14,MATCH($A1690,'Cohort Summary'!$A$5:$A$14,0)))/INDEX('Cohort Summary'!$I$5:$I$14,MATCH($A1690,'Cohort Summary'!$A$5:$A$14,0))</f>
        <v>1.35714285714286</v>
      </c>
      <c r="L1690" s="42" t="n">
        <f aca="false">(G1690-INDEX('Cohort Summary'!$J$5:$J$14,MATCH($A1690,'Cohort Summary'!$A$5:$A$14,0)))/INDEX('Cohort Summary'!$K$5:$K$14,MATCH($A1690,'Cohort Summary'!$A$5:$A$14,0))</f>
        <v>-0.950819672131145</v>
      </c>
      <c r="M1690" s="42" t="n">
        <f aca="false">MAX(I1690:K1690)</f>
        <v>1.35714285714286</v>
      </c>
      <c r="N1690" s="27" t="s">
        <v>197</v>
      </c>
      <c r="O1690" s="27"/>
      <c r="P1690" s="27" t="str">
        <f aca="false">A1690&amp;"|"&amp;N1690</f>
        <v>NURSE-09|normal</v>
      </c>
    </row>
    <row r="1691" customFormat="false" ht="15" hidden="false" customHeight="true" outlineLevel="0" collapsed="false">
      <c r="A1691" s="27" t="s">
        <v>100</v>
      </c>
      <c r="B1691" s="41" t="n">
        <v>46303.3225694444</v>
      </c>
      <c r="C1691" s="27" t="s">
        <v>200</v>
      </c>
      <c r="D1691" s="27" t="n">
        <v>36.4</v>
      </c>
      <c r="E1691" s="27" t="n">
        <v>19.7</v>
      </c>
      <c r="F1691" s="27" t="n">
        <v>29.6</v>
      </c>
      <c r="G1691" s="27" t="n">
        <v>34</v>
      </c>
      <c r="H1691" s="27" t="s">
        <v>199</v>
      </c>
      <c r="I1691" s="42" t="n">
        <f aca="false">(D1691-INDEX('Cohort Summary'!$D$5:$D$14,MATCH($A1691,'Cohort Summary'!$A$5:$A$14,0)))/INDEX('Cohort Summary'!$E$5:$E$14,MATCH($A1691,'Cohort Summary'!$A$5:$A$14,0))</f>
        <v>-1.54137931034483</v>
      </c>
      <c r="J1691" s="42" t="n">
        <f aca="false">(E1691-INDEX('Cohort Summary'!$F$5:$F$14,MATCH($A1691,'Cohort Summary'!$A$5:$A$14,0)))/INDEX('Cohort Summary'!$G$5:$G$14,MATCH($A1691,'Cohort Summary'!$A$5:$A$14,0))</f>
        <v>0.831683168316832</v>
      </c>
      <c r="K1691" s="42" t="n">
        <f aca="false">(F1691-INDEX('Cohort Summary'!$H$5:$H$14,MATCH($A1691,'Cohort Summary'!$A$5:$A$14,0)))/INDEX('Cohort Summary'!$I$5:$I$14,MATCH($A1691,'Cohort Summary'!$A$5:$A$14,0))</f>
        <v>-0.381987577639751</v>
      </c>
      <c r="L1691" s="42" t="n">
        <f aca="false">(G1691-INDEX('Cohort Summary'!$J$5:$J$14,MATCH($A1691,'Cohort Summary'!$A$5:$A$14,0)))/INDEX('Cohort Summary'!$K$5:$K$14,MATCH($A1691,'Cohort Summary'!$A$5:$A$14,0))</f>
        <v>1.50819672131148</v>
      </c>
      <c r="M1691" s="42" t="n">
        <f aca="false">MAX(I1691:K1691)</f>
        <v>0.831683168316832</v>
      </c>
      <c r="N1691" s="27" t="s">
        <v>197</v>
      </c>
      <c r="O1691" s="27"/>
      <c r="P1691" s="27" t="str">
        <f aca="false">A1691&amp;"|"&amp;N1691</f>
        <v>NURSE-09|normal</v>
      </c>
    </row>
    <row r="1692" customFormat="false" ht="15" hidden="false" customHeight="true" outlineLevel="0" collapsed="false">
      <c r="A1692" s="27" t="s">
        <v>100</v>
      </c>
      <c r="B1692" s="41" t="n">
        <v>46303.3229166667</v>
      </c>
      <c r="C1692" s="27" t="s">
        <v>200</v>
      </c>
      <c r="D1692" s="27" t="n">
        <v>45.2</v>
      </c>
      <c r="E1692" s="27" t="n">
        <v>16.5</v>
      </c>
      <c r="F1692" s="27" t="n">
        <v>31.4</v>
      </c>
      <c r="G1692" s="27" t="n">
        <v>32.3</v>
      </c>
      <c r="H1692" s="27" t="s">
        <v>196</v>
      </c>
      <c r="I1692" s="42" t="n">
        <f aca="false">(D1692-INDEX('Cohort Summary'!$D$5:$D$14,MATCH($A1692,'Cohort Summary'!$A$5:$A$14,0)))/INDEX('Cohort Summary'!$E$5:$E$14,MATCH($A1692,'Cohort Summary'!$A$5:$A$14,0))</f>
        <v>1.49310344827586</v>
      </c>
      <c r="J1692" s="42" t="n">
        <f aca="false">(E1692-INDEX('Cohort Summary'!$F$5:$F$14,MATCH($A1692,'Cohort Summary'!$A$5:$A$14,0)))/INDEX('Cohort Summary'!$G$5:$G$14,MATCH($A1692,'Cohort Summary'!$A$5:$A$14,0))</f>
        <v>-0.752475247524752</v>
      </c>
      <c r="K1692" s="42" t="n">
        <f aca="false">(F1692-INDEX('Cohort Summary'!$H$5:$H$14,MATCH($A1692,'Cohort Summary'!$A$5:$A$14,0)))/INDEX('Cohort Summary'!$I$5:$I$14,MATCH($A1692,'Cohort Summary'!$A$5:$A$14,0))</f>
        <v>0.177018633540373</v>
      </c>
      <c r="L1692" s="42" t="n">
        <f aca="false">(G1692-INDEX('Cohort Summary'!$J$5:$J$14,MATCH($A1692,'Cohort Summary'!$A$5:$A$14,0)))/INDEX('Cohort Summary'!$K$5:$K$14,MATCH($A1692,'Cohort Summary'!$A$5:$A$14,0))</f>
        <v>-1.27868852459017</v>
      </c>
      <c r="M1692" s="42" t="n">
        <f aca="false">MAX(I1692:K1692)</f>
        <v>1.49310344827586</v>
      </c>
      <c r="N1692" s="27" t="s">
        <v>197</v>
      </c>
      <c r="O1692" s="27"/>
      <c r="P1692" s="27" t="str">
        <f aca="false">A1692&amp;"|"&amp;N1692</f>
        <v>NURSE-09|normal</v>
      </c>
    </row>
    <row r="1693" customFormat="false" ht="15" hidden="false" customHeight="true" outlineLevel="0" collapsed="false">
      <c r="A1693" s="27" t="s">
        <v>100</v>
      </c>
      <c r="B1693" s="41" t="n">
        <v>46303.3232638889</v>
      </c>
      <c r="C1693" s="27" t="s">
        <v>200</v>
      </c>
      <c r="D1693" s="27" t="n">
        <v>40.9</v>
      </c>
      <c r="E1693" s="27" t="n">
        <v>19.4</v>
      </c>
      <c r="F1693" s="27" t="n">
        <v>29.3</v>
      </c>
      <c r="G1693" s="27" t="n">
        <v>32.5</v>
      </c>
      <c r="H1693" s="27" t="s">
        <v>196</v>
      </c>
      <c r="I1693" s="42" t="n">
        <f aca="false">(D1693-INDEX('Cohort Summary'!$D$5:$D$14,MATCH($A1693,'Cohort Summary'!$A$5:$A$14,0)))/INDEX('Cohort Summary'!$E$5:$E$14,MATCH($A1693,'Cohort Summary'!$A$5:$A$14,0))</f>
        <v>0.0103448275862073</v>
      </c>
      <c r="J1693" s="42" t="n">
        <f aca="false">(E1693-INDEX('Cohort Summary'!$F$5:$F$14,MATCH($A1693,'Cohort Summary'!$A$5:$A$14,0)))/INDEX('Cohort Summary'!$G$5:$G$14,MATCH($A1693,'Cohort Summary'!$A$5:$A$14,0))</f>
        <v>0.683168316831683</v>
      </c>
      <c r="K1693" s="42" t="n">
        <f aca="false">(F1693-INDEX('Cohort Summary'!$H$5:$H$14,MATCH($A1693,'Cohort Summary'!$A$5:$A$14,0)))/INDEX('Cohort Summary'!$I$5:$I$14,MATCH($A1693,'Cohort Summary'!$A$5:$A$14,0))</f>
        <v>-0.475155279503105</v>
      </c>
      <c r="L1693" s="42" t="n">
        <f aca="false">(G1693-INDEX('Cohort Summary'!$J$5:$J$14,MATCH($A1693,'Cohort Summary'!$A$5:$A$14,0)))/INDEX('Cohort Summary'!$K$5:$K$14,MATCH($A1693,'Cohort Summary'!$A$5:$A$14,0))</f>
        <v>-0.950819672131145</v>
      </c>
      <c r="M1693" s="42" t="n">
        <f aca="false">MAX(I1693:K1693)</f>
        <v>0.683168316831683</v>
      </c>
      <c r="N1693" s="27" t="s">
        <v>197</v>
      </c>
      <c r="O1693" s="27"/>
      <c r="P1693" s="27" t="str">
        <f aca="false">A1693&amp;"|"&amp;N1693</f>
        <v>NURSE-09|normal</v>
      </c>
    </row>
    <row r="1694" customFormat="false" ht="15" hidden="false" customHeight="true" outlineLevel="0" collapsed="false">
      <c r="A1694" s="27" t="s">
        <v>100</v>
      </c>
      <c r="B1694" s="41" t="n">
        <v>46303.3236111111</v>
      </c>
      <c r="C1694" s="27" t="s">
        <v>200</v>
      </c>
      <c r="D1694" s="27" t="n">
        <v>41.6</v>
      </c>
      <c r="E1694" s="27" t="n">
        <v>20</v>
      </c>
      <c r="F1694" s="27" t="n">
        <v>32.5</v>
      </c>
      <c r="G1694" s="27" t="n">
        <v>33</v>
      </c>
      <c r="H1694" s="27" t="s">
        <v>198</v>
      </c>
      <c r="I1694" s="42" t="n">
        <f aca="false">(D1694-INDEX('Cohort Summary'!$D$5:$D$14,MATCH($A1694,'Cohort Summary'!$A$5:$A$14,0)))/INDEX('Cohort Summary'!$E$5:$E$14,MATCH($A1694,'Cohort Summary'!$A$5:$A$14,0))</f>
        <v>0.251724137931036</v>
      </c>
      <c r="J1694" s="42" t="n">
        <f aca="false">(E1694-INDEX('Cohort Summary'!$F$5:$F$14,MATCH($A1694,'Cohort Summary'!$A$5:$A$14,0)))/INDEX('Cohort Summary'!$G$5:$G$14,MATCH($A1694,'Cohort Summary'!$A$5:$A$14,0))</f>
        <v>0.98019801980198</v>
      </c>
      <c r="K1694" s="42" t="n">
        <f aca="false">(F1694-INDEX('Cohort Summary'!$H$5:$H$14,MATCH($A1694,'Cohort Summary'!$A$5:$A$14,0)))/INDEX('Cohort Summary'!$I$5:$I$14,MATCH($A1694,'Cohort Summary'!$A$5:$A$14,0))</f>
        <v>0.518633540372671</v>
      </c>
      <c r="L1694" s="42" t="n">
        <f aca="false">(G1694-INDEX('Cohort Summary'!$J$5:$J$14,MATCH($A1694,'Cohort Summary'!$A$5:$A$14,0)))/INDEX('Cohort Summary'!$K$5:$K$14,MATCH($A1694,'Cohort Summary'!$A$5:$A$14,0))</f>
        <v>-0.131147540983604</v>
      </c>
      <c r="M1694" s="42" t="n">
        <f aca="false">MAX(I1694:K1694)</f>
        <v>0.98019801980198</v>
      </c>
      <c r="N1694" s="27" t="s">
        <v>197</v>
      </c>
      <c r="O1694" s="27"/>
      <c r="P1694" s="27" t="str">
        <f aca="false">A1694&amp;"|"&amp;N1694</f>
        <v>NURSE-09|normal</v>
      </c>
    </row>
    <row r="1695" customFormat="false" ht="15" hidden="false" customHeight="true" outlineLevel="0" collapsed="false">
      <c r="A1695" s="27" t="s">
        <v>100</v>
      </c>
      <c r="B1695" s="41" t="n">
        <v>46303.3239583333</v>
      </c>
      <c r="C1695" s="27" t="s">
        <v>200</v>
      </c>
      <c r="D1695" s="27" t="n">
        <v>39</v>
      </c>
      <c r="E1695" s="27" t="n">
        <v>18.4</v>
      </c>
      <c r="F1695" s="27" t="n">
        <v>29.5</v>
      </c>
      <c r="G1695" s="27" t="n">
        <v>33.3</v>
      </c>
      <c r="H1695" s="27" t="s">
        <v>196</v>
      </c>
      <c r="I1695" s="42" t="n">
        <f aca="false">(D1695-INDEX('Cohort Summary'!$D$5:$D$14,MATCH($A1695,'Cohort Summary'!$A$5:$A$14,0)))/INDEX('Cohort Summary'!$E$5:$E$14,MATCH($A1695,'Cohort Summary'!$A$5:$A$14,0))</f>
        <v>-0.644827586206896</v>
      </c>
      <c r="J1695" s="42" t="n">
        <f aca="false">(E1695-INDEX('Cohort Summary'!$F$5:$F$14,MATCH($A1695,'Cohort Summary'!$A$5:$A$14,0)))/INDEX('Cohort Summary'!$G$5:$G$14,MATCH($A1695,'Cohort Summary'!$A$5:$A$14,0))</f>
        <v>0.188118811881188</v>
      </c>
      <c r="K1695" s="42" t="n">
        <f aca="false">(F1695-INDEX('Cohort Summary'!$H$5:$H$14,MATCH($A1695,'Cohort Summary'!$A$5:$A$14,0)))/INDEX('Cohort Summary'!$I$5:$I$14,MATCH($A1695,'Cohort Summary'!$A$5:$A$14,0))</f>
        <v>-0.413043478260869</v>
      </c>
      <c r="L1695" s="42" t="n">
        <f aca="false">(G1695-INDEX('Cohort Summary'!$J$5:$J$14,MATCH($A1695,'Cohort Summary'!$A$5:$A$14,0)))/INDEX('Cohort Summary'!$K$5:$K$14,MATCH($A1695,'Cohort Summary'!$A$5:$A$14,0))</f>
        <v>0.360655737704916</v>
      </c>
      <c r="M1695" s="42" t="n">
        <f aca="false">MAX(I1695:K1695)</f>
        <v>0.188118811881188</v>
      </c>
      <c r="N1695" s="27" t="s">
        <v>197</v>
      </c>
      <c r="O1695" s="27"/>
      <c r="P1695" s="27" t="str">
        <f aca="false">A1695&amp;"|"&amp;N1695</f>
        <v>NURSE-09|normal</v>
      </c>
    </row>
    <row r="1696" customFormat="false" ht="15" hidden="false" customHeight="true" outlineLevel="0" collapsed="false">
      <c r="A1696" s="27" t="s">
        <v>100</v>
      </c>
      <c r="B1696" s="41" t="n">
        <v>46303.3243055556</v>
      </c>
      <c r="C1696" s="27" t="s">
        <v>200</v>
      </c>
      <c r="D1696" s="27" t="n">
        <v>43.5</v>
      </c>
      <c r="E1696" s="27" t="n">
        <v>16.6</v>
      </c>
      <c r="F1696" s="27" t="n">
        <v>34.4</v>
      </c>
      <c r="G1696" s="27" t="n">
        <v>33.7</v>
      </c>
      <c r="H1696" s="27" t="s">
        <v>198</v>
      </c>
      <c r="I1696" s="42" t="n">
        <f aca="false">(D1696-INDEX('Cohort Summary'!$D$5:$D$14,MATCH($A1696,'Cohort Summary'!$A$5:$A$14,0)))/INDEX('Cohort Summary'!$E$5:$E$14,MATCH($A1696,'Cohort Summary'!$A$5:$A$14,0))</f>
        <v>0.906896551724139</v>
      </c>
      <c r="J1696" s="42" t="n">
        <f aca="false">(E1696-INDEX('Cohort Summary'!$F$5:$F$14,MATCH($A1696,'Cohort Summary'!$A$5:$A$14,0)))/INDEX('Cohort Summary'!$G$5:$G$14,MATCH($A1696,'Cohort Summary'!$A$5:$A$14,0))</f>
        <v>-0.702970297029702</v>
      </c>
      <c r="K1696" s="42" t="n">
        <f aca="false">(F1696-INDEX('Cohort Summary'!$H$5:$H$14,MATCH($A1696,'Cohort Summary'!$A$5:$A$14,0)))/INDEX('Cohort Summary'!$I$5:$I$14,MATCH($A1696,'Cohort Summary'!$A$5:$A$14,0))</f>
        <v>1.10869565217391</v>
      </c>
      <c r="L1696" s="42" t="n">
        <f aca="false">(G1696-INDEX('Cohort Summary'!$J$5:$J$14,MATCH($A1696,'Cohort Summary'!$A$5:$A$14,0)))/INDEX('Cohort Summary'!$K$5:$K$14,MATCH($A1696,'Cohort Summary'!$A$5:$A$14,0))</f>
        <v>1.01639344262296</v>
      </c>
      <c r="M1696" s="42" t="n">
        <f aca="false">MAX(I1696:K1696)</f>
        <v>1.10869565217391</v>
      </c>
      <c r="N1696" s="27" t="s">
        <v>197</v>
      </c>
      <c r="O1696" s="27"/>
      <c r="P1696" s="27" t="str">
        <f aca="false">A1696&amp;"|"&amp;N1696</f>
        <v>NURSE-09|normal</v>
      </c>
    </row>
    <row r="1697" customFormat="false" ht="15" hidden="false" customHeight="true" outlineLevel="0" collapsed="false">
      <c r="A1697" s="27" t="s">
        <v>100</v>
      </c>
      <c r="B1697" s="41" t="n">
        <v>46303.3246527778</v>
      </c>
      <c r="C1697" s="27" t="s">
        <v>200</v>
      </c>
      <c r="D1697" s="27" t="n">
        <v>40.6</v>
      </c>
      <c r="E1697" s="27" t="n">
        <v>19.9</v>
      </c>
      <c r="F1697" s="27" t="n">
        <v>33.5</v>
      </c>
      <c r="G1697" s="27" t="n">
        <v>33.6</v>
      </c>
      <c r="H1697" s="27" t="s">
        <v>198</v>
      </c>
      <c r="I1697" s="42" t="n">
        <f aca="false">(D1697-INDEX('Cohort Summary'!$D$5:$D$14,MATCH($A1697,'Cohort Summary'!$A$5:$A$14,0)))/INDEX('Cohort Summary'!$E$5:$E$14,MATCH($A1697,'Cohort Summary'!$A$5:$A$14,0))</f>
        <v>-0.0931034482758607</v>
      </c>
      <c r="J1697" s="42" t="n">
        <f aca="false">(E1697-INDEX('Cohort Summary'!$F$5:$F$14,MATCH($A1697,'Cohort Summary'!$A$5:$A$14,0)))/INDEX('Cohort Summary'!$G$5:$G$14,MATCH($A1697,'Cohort Summary'!$A$5:$A$14,0))</f>
        <v>0.93069306930693</v>
      </c>
      <c r="K1697" s="42" t="n">
        <f aca="false">(F1697-INDEX('Cohort Summary'!$H$5:$H$14,MATCH($A1697,'Cohort Summary'!$A$5:$A$14,0)))/INDEX('Cohort Summary'!$I$5:$I$14,MATCH($A1697,'Cohort Summary'!$A$5:$A$14,0))</f>
        <v>0.829192546583851</v>
      </c>
      <c r="L1697" s="42" t="n">
        <f aca="false">(G1697-INDEX('Cohort Summary'!$J$5:$J$14,MATCH($A1697,'Cohort Summary'!$A$5:$A$14,0)))/INDEX('Cohort Summary'!$K$5:$K$14,MATCH($A1697,'Cohort Summary'!$A$5:$A$14,0))</f>
        <v>0.852459016393448</v>
      </c>
      <c r="M1697" s="42" t="n">
        <f aca="false">MAX(I1697:K1697)</f>
        <v>0.93069306930693</v>
      </c>
      <c r="N1697" s="27" t="s">
        <v>197</v>
      </c>
      <c r="O1697" s="27"/>
      <c r="P1697" s="27" t="str">
        <f aca="false">A1697&amp;"|"&amp;N1697</f>
        <v>NURSE-09|normal</v>
      </c>
    </row>
    <row r="1698" customFormat="false" ht="15" hidden="false" customHeight="true" outlineLevel="0" collapsed="false">
      <c r="A1698" s="27" t="s">
        <v>100</v>
      </c>
      <c r="B1698" s="41" t="n">
        <v>46303.325</v>
      </c>
      <c r="C1698" s="27" t="s">
        <v>200</v>
      </c>
      <c r="D1698" s="27" t="n">
        <v>44.1</v>
      </c>
      <c r="E1698" s="27" t="n">
        <v>19.7</v>
      </c>
      <c r="F1698" s="27" t="n">
        <v>30.3</v>
      </c>
      <c r="G1698" s="27" t="n">
        <v>33.3</v>
      </c>
      <c r="H1698" s="27" t="s">
        <v>196</v>
      </c>
      <c r="I1698" s="42" t="n">
        <f aca="false">(D1698-INDEX('Cohort Summary'!$D$5:$D$14,MATCH($A1698,'Cohort Summary'!$A$5:$A$14,0)))/INDEX('Cohort Summary'!$E$5:$E$14,MATCH($A1698,'Cohort Summary'!$A$5:$A$14,0))</f>
        <v>1.11379310344828</v>
      </c>
      <c r="J1698" s="42" t="n">
        <f aca="false">(E1698-INDEX('Cohort Summary'!$F$5:$F$14,MATCH($A1698,'Cohort Summary'!$A$5:$A$14,0)))/INDEX('Cohort Summary'!$G$5:$G$14,MATCH($A1698,'Cohort Summary'!$A$5:$A$14,0))</f>
        <v>0.831683168316832</v>
      </c>
      <c r="K1698" s="42" t="n">
        <f aca="false">(F1698-INDEX('Cohort Summary'!$H$5:$H$14,MATCH($A1698,'Cohort Summary'!$A$5:$A$14,0)))/INDEX('Cohort Summary'!$I$5:$I$14,MATCH($A1698,'Cohort Summary'!$A$5:$A$14,0))</f>
        <v>-0.164596273291925</v>
      </c>
      <c r="L1698" s="42" t="n">
        <f aca="false">(G1698-INDEX('Cohort Summary'!$J$5:$J$14,MATCH($A1698,'Cohort Summary'!$A$5:$A$14,0)))/INDEX('Cohort Summary'!$K$5:$K$14,MATCH($A1698,'Cohort Summary'!$A$5:$A$14,0))</f>
        <v>0.360655737704916</v>
      </c>
      <c r="M1698" s="42" t="n">
        <f aca="false">MAX(I1698:K1698)</f>
        <v>1.11379310344828</v>
      </c>
      <c r="N1698" s="27" t="s">
        <v>197</v>
      </c>
      <c r="O1698" s="27"/>
      <c r="P1698" s="27" t="str">
        <f aca="false">A1698&amp;"|"&amp;N1698</f>
        <v>NURSE-09|normal</v>
      </c>
    </row>
    <row r="1699" customFormat="false" ht="15" hidden="false" customHeight="true" outlineLevel="0" collapsed="false">
      <c r="A1699" s="27" t="s">
        <v>100</v>
      </c>
      <c r="B1699" s="41" t="n">
        <v>46303.3253472222</v>
      </c>
      <c r="C1699" s="27" t="s">
        <v>200</v>
      </c>
      <c r="D1699" s="27" t="n">
        <v>41.4</v>
      </c>
      <c r="E1699" s="27" t="n">
        <v>20.2</v>
      </c>
      <c r="F1699" s="27" t="n">
        <v>34.5</v>
      </c>
      <c r="G1699" s="27" t="n">
        <v>33.1</v>
      </c>
      <c r="H1699" s="27" t="s">
        <v>199</v>
      </c>
      <c r="I1699" s="42" t="n">
        <f aca="false">(D1699-INDEX('Cohort Summary'!$D$5:$D$14,MATCH($A1699,'Cohort Summary'!$A$5:$A$14,0)))/INDEX('Cohort Summary'!$E$5:$E$14,MATCH($A1699,'Cohort Summary'!$A$5:$A$14,0))</f>
        <v>0.182758620689656</v>
      </c>
      <c r="J1699" s="42" t="n">
        <f aca="false">(E1699-INDEX('Cohort Summary'!$F$5:$F$14,MATCH($A1699,'Cohort Summary'!$A$5:$A$14,0)))/INDEX('Cohort Summary'!$G$5:$G$14,MATCH($A1699,'Cohort Summary'!$A$5:$A$14,0))</f>
        <v>1.07920792079208</v>
      </c>
      <c r="K1699" s="42" t="n">
        <f aca="false">(F1699-INDEX('Cohort Summary'!$H$5:$H$14,MATCH($A1699,'Cohort Summary'!$A$5:$A$14,0)))/INDEX('Cohort Summary'!$I$5:$I$14,MATCH($A1699,'Cohort Summary'!$A$5:$A$14,0))</f>
        <v>1.13975155279503</v>
      </c>
      <c r="L1699" s="42" t="n">
        <f aca="false">(G1699-INDEX('Cohort Summary'!$J$5:$J$14,MATCH($A1699,'Cohort Summary'!$A$5:$A$14,0)))/INDEX('Cohort Summary'!$K$5:$K$14,MATCH($A1699,'Cohort Summary'!$A$5:$A$14,0))</f>
        <v>0.0327868852459068</v>
      </c>
      <c r="M1699" s="42" t="n">
        <f aca="false">MAX(I1699:K1699)</f>
        <v>1.13975155279503</v>
      </c>
      <c r="N1699" s="27" t="s">
        <v>197</v>
      </c>
      <c r="O1699" s="27"/>
      <c r="P1699" s="27" t="str">
        <f aca="false">A1699&amp;"|"&amp;N1699</f>
        <v>NURSE-09|normal</v>
      </c>
    </row>
    <row r="1700" customFormat="false" ht="15" hidden="false" customHeight="true" outlineLevel="0" collapsed="false">
      <c r="A1700" s="27" t="s">
        <v>100</v>
      </c>
      <c r="B1700" s="41" t="n">
        <v>46303.3256944444</v>
      </c>
      <c r="C1700" s="27" t="s">
        <v>200</v>
      </c>
      <c r="D1700" s="27" t="n">
        <v>37.2</v>
      </c>
      <c r="E1700" s="27" t="n">
        <v>15.5</v>
      </c>
      <c r="F1700" s="27" t="n">
        <v>30</v>
      </c>
      <c r="G1700" s="27" t="n">
        <v>32.2</v>
      </c>
      <c r="H1700" s="27" t="s">
        <v>199</v>
      </c>
      <c r="I1700" s="42" t="n">
        <f aca="false">(D1700-INDEX('Cohort Summary'!$D$5:$D$14,MATCH($A1700,'Cohort Summary'!$A$5:$A$14,0)))/INDEX('Cohort Summary'!$E$5:$E$14,MATCH($A1700,'Cohort Summary'!$A$5:$A$14,0))</f>
        <v>-1.26551724137931</v>
      </c>
      <c r="J1700" s="42" t="n">
        <f aca="false">(E1700-INDEX('Cohort Summary'!$F$5:$F$14,MATCH($A1700,'Cohort Summary'!$A$5:$A$14,0)))/INDEX('Cohort Summary'!$G$5:$G$14,MATCH($A1700,'Cohort Summary'!$A$5:$A$14,0))</f>
        <v>-1.24752475247525</v>
      </c>
      <c r="K1700" s="42" t="n">
        <f aca="false">(F1700-INDEX('Cohort Summary'!$H$5:$H$14,MATCH($A1700,'Cohort Summary'!$A$5:$A$14,0)))/INDEX('Cohort Summary'!$I$5:$I$14,MATCH($A1700,'Cohort Summary'!$A$5:$A$14,0))</f>
        <v>-0.257763975155279</v>
      </c>
      <c r="L1700" s="42" t="n">
        <f aca="false">(G1700-INDEX('Cohort Summary'!$J$5:$J$14,MATCH($A1700,'Cohort Summary'!$A$5:$A$14,0)))/INDEX('Cohort Summary'!$K$5:$K$14,MATCH($A1700,'Cohort Summary'!$A$5:$A$14,0))</f>
        <v>-1.44262295081966</v>
      </c>
      <c r="M1700" s="42" t="n">
        <f aca="false">MAX(I1700:K1700)</f>
        <v>-0.257763975155279</v>
      </c>
      <c r="N1700" s="27" t="s">
        <v>197</v>
      </c>
      <c r="O1700" s="27"/>
      <c r="P1700" s="27" t="str">
        <f aca="false">A1700&amp;"|"&amp;N1700</f>
        <v>NURSE-09|normal</v>
      </c>
    </row>
    <row r="1701" customFormat="false" ht="15" hidden="false" customHeight="true" outlineLevel="0" collapsed="false">
      <c r="A1701" s="27" t="s">
        <v>100</v>
      </c>
      <c r="B1701" s="41" t="n">
        <v>46303.3260416667</v>
      </c>
      <c r="C1701" s="27" t="s">
        <v>200</v>
      </c>
      <c r="D1701" s="27" t="n">
        <v>39.1</v>
      </c>
      <c r="E1701" s="27" t="n">
        <v>22</v>
      </c>
      <c r="F1701" s="27" t="n">
        <v>35.9</v>
      </c>
      <c r="G1701" s="27" t="n">
        <v>32.1</v>
      </c>
      <c r="H1701" s="27" t="s">
        <v>198</v>
      </c>
      <c r="I1701" s="42" t="n">
        <f aca="false">(D1701-INDEX('Cohort Summary'!$D$5:$D$14,MATCH($A1701,'Cohort Summary'!$A$5:$A$14,0)))/INDEX('Cohort Summary'!$E$5:$E$14,MATCH($A1701,'Cohort Summary'!$A$5:$A$14,0))</f>
        <v>-0.610344827586206</v>
      </c>
      <c r="J1701" s="42" t="n">
        <f aca="false">(E1701-INDEX('Cohort Summary'!$F$5:$F$14,MATCH($A1701,'Cohort Summary'!$A$5:$A$14,0)))/INDEX('Cohort Summary'!$G$5:$G$14,MATCH($A1701,'Cohort Summary'!$A$5:$A$14,0))</f>
        <v>1.97029702970297</v>
      </c>
      <c r="K1701" s="42" t="n">
        <f aca="false">(F1701-INDEX('Cohort Summary'!$H$5:$H$14,MATCH($A1701,'Cohort Summary'!$A$5:$A$14,0)))/INDEX('Cohort Summary'!$I$5:$I$14,MATCH($A1701,'Cohort Summary'!$A$5:$A$14,0))</f>
        <v>1.57453416149068</v>
      </c>
      <c r="L1701" s="42" t="n">
        <f aca="false">(G1701-INDEX('Cohort Summary'!$J$5:$J$14,MATCH($A1701,'Cohort Summary'!$A$5:$A$14,0)))/INDEX('Cohort Summary'!$K$5:$K$14,MATCH($A1701,'Cohort Summary'!$A$5:$A$14,0))</f>
        <v>-1.60655737704918</v>
      </c>
      <c r="M1701" s="42" t="n">
        <f aca="false">MAX(I1701:K1701)</f>
        <v>1.97029702970297</v>
      </c>
      <c r="N1701" s="27" t="s">
        <v>197</v>
      </c>
      <c r="O1701" s="27"/>
      <c r="P1701" s="27" t="str">
        <f aca="false">A1701&amp;"|"&amp;N1701</f>
        <v>NURSE-09|normal</v>
      </c>
    </row>
    <row r="1702" customFormat="false" ht="15" hidden="false" customHeight="true" outlineLevel="0" collapsed="false">
      <c r="A1702" s="27" t="s">
        <v>100</v>
      </c>
      <c r="B1702" s="41" t="n">
        <v>46303.3263888889</v>
      </c>
      <c r="C1702" s="27" t="s">
        <v>200</v>
      </c>
      <c r="D1702" s="27" t="n">
        <v>36.6</v>
      </c>
      <c r="E1702" s="27" t="n">
        <v>21.2</v>
      </c>
      <c r="F1702" s="27" t="n">
        <v>28.4</v>
      </c>
      <c r="G1702" s="27" t="n">
        <v>32.9</v>
      </c>
      <c r="H1702" s="27" t="s">
        <v>199</v>
      </c>
      <c r="I1702" s="42" t="n">
        <f aca="false">(D1702-INDEX('Cohort Summary'!$D$5:$D$14,MATCH($A1702,'Cohort Summary'!$A$5:$A$14,0)))/INDEX('Cohort Summary'!$E$5:$E$14,MATCH($A1702,'Cohort Summary'!$A$5:$A$14,0))</f>
        <v>-1.47241379310345</v>
      </c>
      <c r="J1702" s="42" t="n">
        <f aca="false">(E1702-INDEX('Cohort Summary'!$F$5:$F$14,MATCH($A1702,'Cohort Summary'!$A$5:$A$14,0)))/INDEX('Cohort Summary'!$G$5:$G$14,MATCH($A1702,'Cohort Summary'!$A$5:$A$14,0))</f>
        <v>1.57425742574257</v>
      </c>
      <c r="K1702" s="42" t="n">
        <f aca="false">(F1702-INDEX('Cohort Summary'!$H$5:$H$14,MATCH($A1702,'Cohort Summary'!$A$5:$A$14,0)))/INDEX('Cohort Summary'!$I$5:$I$14,MATCH($A1702,'Cohort Summary'!$A$5:$A$14,0))</f>
        <v>-0.754658385093168</v>
      </c>
      <c r="L1702" s="42" t="n">
        <f aca="false">(G1702-INDEX('Cohort Summary'!$J$5:$J$14,MATCH($A1702,'Cohort Summary'!$A$5:$A$14,0)))/INDEX('Cohort Summary'!$K$5:$K$14,MATCH($A1702,'Cohort Summary'!$A$5:$A$14,0))</f>
        <v>-0.295081967213114</v>
      </c>
      <c r="M1702" s="42" t="n">
        <f aca="false">MAX(I1702:K1702)</f>
        <v>1.57425742574257</v>
      </c>
      <c r="N1702" s="27" t="s">
        <v>197</v>
      </c>
      <c r="O1702" s="27"/>
      <c r="P1702" s="27" t="str">
        <f aca="false">A1702&amp;"|"&amp;N1702</f>
        <v>NURSE-09|normal</v>
      </c>
    </row>
    <row r="1703" customFormat="false" ht="15" hidden="false" customHeight="true" outlineLevel="0" collapsed="false">
      <c r="A1703" s="27" t="s">
        <v>100</v>
      </c>
      <c r="B1703" s="41" t="n">
        <v>46303.3267361111</v>
      </c>
      <c r="C1703" s="27" t="s">
        <v>200</v>
      </c>
      <c r="D1703" s="27" t="n">
        <v>45.4</v>
      </c>
      <c r="E1703" s="27" t="n">
        <v>20.9</v>
      </c>
      <c r="F1703" s="27" t="n">
        <v>26.2</v>
      </c>
      <c r="G1703" s="27" t="n">
        <v>32.4</v>
      </c>
      <c r="H1703" s="27" t="s">
        <v>199</v>
      </c>
      <c r="I1703" s="42" t="n">
        <f aca="false">(D1703-INDEX('Cohort Summary'!$D$5:$D$14,MATCH($A1703,'Cohort Summary'!$A$5:$A$14,0)))/INDEX('Cohort Summary'!$E$5:$E$14,MATCH($A1703,'Cohort Summary'!$A$5:$A$14,0))</f>
        <v>1.56206896551724</v>
      </c>
      <c r="J1703" s="42" t="n">
        <f aca="false">(E1703-INDEX('Cohort Summary'!$F$5:$F$14,MATCH($A1703,'Cohort Summary'!$A$5:$A$14,0)))/INDEX('Cohort Summary'!$G$5:$G$14,MATCH($A1703,'Cohort Summary'!$A$5:$A$14,0))</f>
        <v>1.42574257425743</v>
      </c>
      <c r="K1703" s="42" t="n">
        <f aca="false">(F1703-INDEX('Cohort Summary'!$H$5:$H$14,MATCH($A1703,'Cohort Summary'!$A$5:$A$14,0)))/INDEX('Cohort Summary'!$I$5:$I$14,MATCH($A1703,'Cohort Summary'!$A$5:$A$14,0))</f>
        <v>-1.43788819875776</v>
      </c>
      <c r="L1703" s="42" t="n">
        <f aca="false">(G1703-INDEX('Cohort Summary'!$J$5:$J$14,MATCH($A1703,'Cohort Summary'!$A$5:$A$14,0)))/INDEX('Cohort Summary'!$K$5:$K$14,MATCH($A1703,'Cohort Summary'!$A$5:$A$14,0))</f>
        <v>-1.11475409836066</v>
      </c>
      <c r="M1703" s="42" t="n">
        <f aca="false">MAX(I1703:K1703)</f>
        <v>1.56206896551724</v>
      </c>
      <c r="N1703" s="27" t="s">
        <v>197</v>
      </c>
      <c r="O1703" s="27"/>
      <c r="P1703" s="27" t="str">
        <f aca="false">A1703&amp;"|"&amp;N1703</f>
        <v>NURSE-09|normal</v>
      </c>
    </row>
    <row r="1704" customFormat="false" ht="15" hidden="false" customHeight="true" outlineLevel="0" collapsed="false">
      <c r="A1704" s="27" t="s">
        <v>100</v>
      </c>
      <c r="B1704" s="41" t="n">
        <v>46303.3270833333</v>
      </c>
      <c r="C1704" s="27" t="s">
        <v>200</v>
      </c>
      <c r="D1704" s="27" t="n">
        <v>44.7</v>
      </c>
      <c r="E1704" s="27" t="n">
        <v>19.3</v>
      </c>
      <c r="F1704" s="27" t="n">
        <v>32.2</v>
      </c>
      <c r="G1704" s="27" t="n">
        <v>33.1</v>
      </c>
      <c r="H1704" s="27" t="s">
        <v>199</v>
      </c>
      <c r="I1704" s="42" t="n">
        <f aca="false">(D1704-INDEX('Cohort Summary'!$D$5:$D$14,MATCH($A1704,'Cohort Summary'!$A$5:$A$14,0)))/INDEX('Cohort Summary'!$E$5:$E$14,MATCH($A1704,'Cohort Summary'!$A$5:$A$14,0))</f>
        <v>1.32068965517242</v>
      </c>
      <c r="J1704" s="42" t="n">
        <f aca="false">(E1704-INDEX('Cohort Summary'!$F$5:$F$14,MATCH($A1704,'Cohort Summary'!$A$5:$A$14,0)))/INDEX('Cohort Summary'!$G$5:$G$14,MATCH($A1704,'Cohort Summary'!$A$5:$A$14,0))</f>
        <v>0.633663366336634</v>
      </c>
      <c r="K1704" s="42" t="n">
        <f aca="false">(F1704-INDEX('Cohort Summary'!$H$5:$H$14,MATCH($A1704,'Cohort Summary'!$A$5:$A$14,0)))/INDEX('Cohort Summary'!$I$5:$I$14,MATCH($A1704,'Cohort Summary'!$A$5:$A$14,0))</f>
        <v>0.425465838509318</v>
      </c>
      <c r="L1704" s="42" t="n">
        <f aca="false">(G1704-INDEX('Cohort Summary'!$J$5:$J$14,MATCH($A1704,'Cohort Summary'!$A$5:$A$14,0)))/INDEX('Cohort Summary'!$K$5:$K$14,MATCH($A1704,'Cohort Summary'!$A$5:$A$14,0))</f>
        <v>0.0327868852459068</v>
      </c>
      <c r="M1704" s="42" t="n">
        <f aca="false">MAX(I1704:K1704)</f>
        <v>1.32068965517242</v>
      </c>
      <c r="N1704" s="27" t="s">
        <v>197</v>
      </c>
      <c r="O1704" s="27"/>
      <c r="P1704" s="27" t="str">
        <f aca="false">A1704&amp;"|"&amp;N1704</f>
        <v>NURSE-09|normal</v>
      </c>
    </row>
    <row r="1705" customFormat="false" ht="15" hidden="false" customHeight="true" outlineLevel="0" collapsed="false">
      <c r="A1705" s="27" t="s">
        <v>100</v>
      </c>
      <c r="B1705" s="41" t="n">
        <v>46303.3274305556</v>
      </c>
      <c r="C1705" s="27" t="s">
        <v>200</v>
      </c>
      <c r="D1705" s="27" t="n">
        <v>41.8</v>
      </c>
      <c r="E1705" s="27" t="n">
        <v>19.7</v>
      </c>
      <c r="F1705" s="27" t="n">
        <v>30.9</v>
      </c>
      <c r="G1705" s="27" t="n">
        <v>32.6</v>
      </c>
      <c r="H1705" s="27" t="s">
        <v>199</v>
      </c>
      <c r="I1705" s="42" t="n">
        <f aca="false">(D1705-INDEX('Cohort Summary'!$D$5:$D$14,MATCH($A1705,'Cohort Summary'!$A$5:$A$14,0)))/INDEX('Cohort Summary'!$E$5:$E$14,MATCH($A1705,'Cohort Summary'!$A$5:$A$14,0))</f>
        <v>0.320689655172414</v>
      </c>
      <c r="J1705" s="42" t="n">
        <f aca="false">(E1705-INDEX('Cohort Summary'!$F$5:$F$14,MATCH($A1705,'Cohort Summary'!$A$5:$A$14,0)))/INDEX('Cohort Summary'!$G$5:$G$14,MATCH($A1705,'Cohort Summary'!$A$5:$A$14,0))</f>
        <v>0.831683168316832</v>
      </c>
      <c r="K1705" s="42" t="n">
        <f aca="false">(F1705-INDEX('Cohort Summary'!$H$5:$H$14,MATCH($A1705,'Cohort Summary'!$A$5:$A$14,0)))/INDEX('Cohort Summary'!$I$5:$I$14,MATCH($A1705,'Cohort Summary'!$A$5:$A$14,0))</f>
        <v>0.0217391304347827</v>
      </c>
      <c r="L1705" s="42" t="n">
        <f aca="false">(G1705-INDEX('Cohort Summary'!$J$5:$J$14,MATCH($A1705,'Cohort Summary'!$A$5:$A$14,0)))/INDEX('Cohort Summary'!$K$5:$K$14,MATCH($A1705,'Cohort Summary'!$A$5:$A$14,0))</f>
        <v>-0.786885245901634</v>
      </c>
      <c r="M1705" s="42" t="n">
        <f aca="false">MAX(I1705:K1705)</f>
        <v>0.831683168316832</v>
      </c>
      <c r="N1705" s="27" t="s">
        <v>197</v>
      </c>
      <c r="O1705" s="27"/>
      <c r="P1705" s="27" t="str">
        <f aca="false">A1705&amp;"|"&amp;N1705</f>
        <v>NURSE-09|normal</v>
      </c>
    </row>
    <row r="1706" customFormat="false" ht="15" hidden="false" customHeight="true" outlineLevel="0" collapsed="false">
      <c r="A1706" s="27" t="s">
        <v>100</v>
      </c>
      <c r="B1706" s="41" t="n">
        <v>46303.3277777778</v>
      </c>
      <c r="C1706" s="27" t="s">
        <v>200</v>
      </c>
      <c r="D1706" s="27" t="n">
        <v>44.7</v>
      </c>
      <c r="E1706" s="27" t="n">
        <v>19</v>
      </c>
      <c r="F1706" s="27" t="n">
        <v>34.8</v>
      </c>
      <c r="G1706" s="27" t="n">
        <v>32.8</v>
      </c>
      <c r="H1706" s="27" t="s">
        <v>196</v>
      </c>
      <c r="I1706" s="42" t="n">
        <f aca="false">(D1706-INDEX('Cohort Summary'!$D$5:$D$14,MATCH($A1706,'Cohort Summary'!$A$5:$A$14,0)))/INDEX('Cohort Summary'!$E$5:$E$14,MATCH($A1706,'Cohort Summary'!$A$5:$A$14,0))</f>
        <v>1.32068965517242</v>
      </c>
      <c r="J1706" s="42" t="n">
        <f aca="false">(E1706-INDEX('Cohort Summary'!$F$5:$F$14,MATCH($A1706,'Cohort Summary'!$A$5:$A$14,0)))/INDEX('Cohort Summary'!$G$5:$G$14,MATCH($A1706,'Cohort Summary'!$A$5:$A$14,0))</f>
        <v>0.485148514851485</v>
      </c>
      <c r="K1706" s="42" t="n">
        <f aca="false">(F1706-INDEX('Cohort Summary'!$H$5:$H$14,MATCH($A1706,'Cohort Summary'!$A$5:$A$14,0)))/INDEX('Cohort Summary'!$I$5:$I$14,MATCH($A1706,'Cohort Summary'!$A$5:$A$14,0))</f>
        <v>1.23291925465838</v>
      </c>
      <c r="L1706" s="42" t="n">
        <f aca="false">(G1706-INDEX('Cohort Summary'!$J$5:$J$14,MATCH($A1706,'Cohort Summary'!$A$5:$A$14,0)))/INDEX('Cohort Summary'!$K$5:$K$14,MATCH($A1706,'Cohort Summary'!$A$5:$A$14,0))</f>
        <v>-0.459016393442625</v>
      </c>
      <c r="M1706" s="42" t="n">
        <f aca="false">MAX(I1706:K1706)</f>
        <v>1.32068965517242</v>
      </c>
      <c r="N1706" s="27" t="s">
        <v>197</v>
      </c>
      <c r="O1706" s="27"/>
      <c r="P1706" s="27" t="str">
        <f aca="false">A1706&amp;"|"&amp;N1706</f>
        <v>NURSE-09|normal</v>
      </c>
    </row>
    <row r="1707" customFormat="false" ht="15" hidden="false" customHeight="true" outlineLevel="0" collapsed="false">
      <c r="A1707" s="27" t="s">
        <v>100</v>
      </c>
      <c r="B1707" s="41" t="n">
        <v>46303.328125</v>
      </c>
      <c r="C1707" s="27" t="s">
        <v>200</v>
      </c>
      <c r="D1707" s="27" t="n">
        <v>42.5</v>
      </c>
      <c r="E1707" s="27" t="n">
        <v>15.3</v>
      </c>
      <c r="F1707" s="27" t="n">
        <v>26.7</v>
      </c>
      <c r="G1707" s="27" t="n">
        <v>33.9</v>
      </c>
      <c r="H1707" s="27" t="s">
        <v>198</v>
      </c>
      <c r="I1707" s="42" t="n">
        <f aca="false">(D1707-INDEX('Cohort Summary'!$D$5:$D$14,MATCH($A1707,'Cohort Summary'!$A$5:$A$14,0)))/INDEX('Cohort Summary'!$E$5:$E$14,MATCH($A1707,'Cohort Summary'!$A$5:$A$14,0))</f>
        <v>0.562068965517242</v>
      </c>
      <c r="J1707" s="42" t="n">
        <f aca="false">(E1707-INDEX('Cohort Summary'!$F$5:$F$14,MATCH($A1707,'Cohort Summary'!$A$5:$A$14,0)))/INDEX('Cohort Summary'!$G$5:$G$14,MATCH($A1707,'Cohort Summary'!$A$5:$A$14,0))</f>
        <v>-1.34653465346535</v>
      </c>
      <c r="K1707" s="42" t="n">
        <f aca="false">(F1707-INDEX('Cohort Summary'!$H$5:$H$14,MATCH($A1707,'Cohort Summary'!$A$5:$A$14,0)))/INDEX('Cohort Summary'!$I$5:$I$14,MATCH($A1707,'Cohort Summary'!$A$5:$A$14,0))</f>
        <v>-1.28260869565217</v>
      </c>
      <c r="L1707" s="42" t="n">
        <f aca="false">(G1707-INDEX('Cohort Summary'!$J$5:$J$14,MATCH($A1707,'Cohort Summary'!$A$5:$A$14,0)))/INDEX('Cohort Summary'!$K$5:$K$14,MATCH($A1707,'Cohort Summary'!$A$5:$A$14,0))</f>
        <v>1.34426229508197</v>
      </c>
      <c r="M1707" s="42" t="n">
        <f aca="false">MAX(I1707:K1707)</f>
        <v>0.562068965517242</v>
      </c>
      <c r="N1707" s="27" t="s">
        <v>197</v>
      </c>
      <c r="O1707" s="27"/>
      <c r="P1707" s="27" t="str">
        <f aca="false">A1707&amp;"|"&amp;N1707</f>
        <v>NURSE-09|normal</v>
      </c>
    </row>
    <row r="1708" customFormat="false" ht="15" hidden="false" customHeight="true" outlineLevel="0" collapsed="false">
      <c r="A1708" s="27" t="s">
        <v>100</v>
      </c>
      <c r="B1708" s="41" t="n">
        <v>46303.3284722222</v>
      </c>
      <c r="C1708" s="27" t="s">
        <v>200</v>
      </c>
      <c r="D1708" s="27" t="n">
        <v>41.5</v>
      </c>
      <c r="E1708" s="27" t="n">
        <v>17.3</v>
      </c>
      <c r="F1708" s="27" t="n">
        <v>26.8</v>
      </c>
      <c r="G1708" s="27" t="n">
        <v>33.3</v>
      </c>
      <c r="H1708" s="27" t="s">
        <v>196</v>
      </c>
      <c r="I1708" s="42" t="n">
        <f aca="false">(D1708-INDEX('Cohort Summary'!$D$5:$D$14,MATCH($A1708,'Cohort Summary'!$A$5:$A$14,0)))/INDEX('Cohort Summary'!$E$5:$E$14,MATCH($A1708,'Cohort Summary'!$A$5:$A$14,0))</f>
        <v>0.217241379310346</v>
      </c>
      <c r="J1708" s="42" t="n">
        <f aca="false">(E1708-INDEX('Cohort Summary'!$F$5:$F$14,MATCH($A1708,'Cohort Summary'!$A$5:$A$14,0)))/INDEX('Cohort Summary'!$G$5:$G$14,MATCH($A1708,'Cohort Summary'!$A$5:$A$14,0))</f>
        <v>-0.356435643564356</v>
      </c>
      <c r="K1708" s="42" t="n">
        <f aca="false">(F1708-INDEX('Cohort Summary'!$H$5:$H$14,MATCH($A1708,'Cohort Summary'!$A$5:$A$14,0)))/INDEX('Cohort Summary'!$I$5:$I$14,MATCH($A1708,'Cohort Summary'!$A$5:$A$14,0))</f>
        <v>-1.25155279503106</v>
      </c>
      <c r="L1708" s="42" t="n">
        <f aca="false">(G1708-INDEX('Cohort Summary'!$J$5:$J$14,MATCH($A1708,'Cohort Summary'!$A$5:$A$14,0)))/INDEX('Cohort Summary'!$K$5:$K$14,MATCH($A1708,'Cohort Summary'!$A$5:$A$14,0))</f>
        <v>0.360655737704916</v>
      </c>
      <c r="M1708" s="42" t="n">
        <f aca="false">MAX(I1708:K1708)</f>
        <v>0.217241379310346</v>
      </c>
      <c r="N1708" s="27" t="s">
        <v>197</v>
      </c>
      <c r="O1708" s="27"/>
      <c r="P1708" s="27" t="str">
        <f aca="false">A1708&amp;"|"&amp;N1708</f>
        <v>NURSE-09|normal</v>
      </c>
    </row>
    <row r="1709" customFormat="false" ht="15" hidden="false" customHeight="true" outlineLevel="0" collapsed="false">
      <c r="A1709" s="27" t="s">
        <v>100</v>
      </c>
      <c r="B1709" s="41" t="n">
        <v>46303.3288194445</v>
      </c>
      <c r="C1709" s="27" t="s">
        <v>200</v>
      </c>
      <c r="D1709" s="27" t="n">
        <v>43.6</v>
      </c>
      <c r="E1709" s="27" t="n">
        <v>19.6</v>
      </c>
      <c r="F1709" s="27" t="n">
        <v>29.8</v>
      </c>
      <c r="G1709" s="27" t="n">
        <v>33.3</v>
      </c>
      <c r="H1709" s="27" t="s">
        <v>198</v>
      </c>
      <c r="I1709" s="42" t="n">
        <f aca="false">(D1709-INDEX('Cohort Summary'!$D$5:$D$14,MATCH($A1709,'Cohort Summary'!$A$5:$A$14,0)))/INDEX('Cohort Summary'!$E$5:$E$14,MATCH($A1709,'Cohort Summary'!$A$5:$A$14,0))</f>
        <v>0.941379310344829</v>
      </c>
      <c r="J1709" s="42" t="n">
        <f aca="false">(E1709-INDEX('Cohort Summary'!$F$5:$F$14,MATCH($A1709,'Cohort Summary'!$A$5:$A$14,0)))/INDEX('Cohort Summary'!$G$5:$G$14,MATCH($A1709,'Cohort Summary'!$A$5:$A$14,0))</f>
        <v>0.782178217821783</v>
      </c>
      <c r="K1709" s="42" t="n">
        <f aca="false">(F1709-INDEX('Cohort Summary'!$H$5:$H$14,MATCH($A1709,'Cohort Summary'!$A$5:$A$14,0)))/INDEX('Cohort Summary'!$I$5:$I$14,MATCH($A1709,'Cohort Summary'!$A$5:$A$14,0))</f>
        <v>-0.319875776397515</v>
      </c>
      <c r="L1709" s="42" t="n">
        <f aca="false">(G1709-INDEX('Cohort Summary'!$J$5:$J$14,MATCH($A1709,'Cohort Summary'!$A$5:$A$14,0)))/INDEX('Cohort Summary'!$K$5:$K$14,MATCH($A1709,'Cohort Summary'!$A$5:$A$14,0))</f>
        <v>0.360655737704916</v>
      </c>
      <c r="M1709" s="42" t="n">
        <f aca="false">MAX(I1709:K1709)</f>
        <v>0.941379310344829</v>
      </c>
      <c r="N1709" s="27" t="s">
        <v>197</v>
      </c>
      <c r="O1709" s="27"/>
      <c r="P1709" s="27" t="str">
        <f aca="false">A1709&amp;"|"&amp;N1709</f>
        <v>NURSE-09|normal</v>
      </c>
    </row>
    <row r="1710" customFormat="false" ht="15" hidden="false" customHeight="true" outlineLevel="0" collapsed="false">
      <c r="A1710" s="27" t="s">
        <v>100</v>
      </c>
      <c r="B1710" s="41" t="n">
        <v>46303.3291666667</v>
      </c>
      <c r="C1710" s="27" t="s">
        <v>200</v>
      </c>
      <c r="D1710" s="27" t="n">
        <v>44</v>
      </c>
      <c r="E1710" s="27" t="n">
        <v>16.6</v>
      </c>
      <c r="F1710" s="27" t="n">
        <v>32.3</v>
      </c>
      <c r="G1710" s="27" t="n">
        <v>32.4</v>
      </c>
      <c r="H1710" s="27" t="s">
        <v>198</v>
      </c>
      <c r="I1710" s="42" t="n">
        <f aca="false">(D1710-INDEX('Cohort Summary'!$D$5:$D$14,MATCH($A1710,'Cohort Summary'!$A$5:$A$14,0)))/INDEX('Cohort Summary'!$E$5:$E$14,MATCH($A1710,'Cohort Summary'!$A$5:$A$14,0))</f>
        <v>1.07931034482759</v>
      </c>
      <c r="J1710" s="42" t="n">
        <f aca="false">(E1710-INDEX('Cohort Summary'!$F$5:$F$14,MATCH($A1710,'Cohort Summary'!$A$5:$A$14,0)))/INDEX('Cohort Summary'!$G$5:$G$14,MATCH($A1710,'Cohort Summary'!$A$5:$A$14,0))</f>
        <v>-0.702970297029702</v>
      </c>
      <c r="K1710" s="42" t="n">
        <f aca="false">(F1710-INDEX('Cohort Summary'!$H$5:$H$14,MATCH($A1710,'Cohort Summary'!$A$5:$A$14,0)))/INDEX('Cohort Summary'!$I$5:$I$14,MATCH($A1710,'Cohort Summary'!$A$5:$A$14,0))</f>
        <v>0.456521739130434</v>
      </c>
      <c r="L1710" s="42" t="n">
        <f aca="false">(G1710-INDEX('Cohort Summary'!$J$5:$J$14,MATCH($A1710,'Cohort Summary'!$A$5:$A$14,0)))/INDEX('Cohort Summary'!$K$5:$K$14,MATCH($A1710,'Cohort Summary'!$A$5:$A$14,0))</f>
        <v>-1.11475409836066</v>
      </c>
      <c r="M1710" s="42" t="n">
        <f aca="false">MAX(I1710:K1710)</f>
        <v>1.07931034482759</v>
      </c>
      <c r="N1710" s="27" t="s">
        <v>197</v>
      </c>
      <c r="O1710" s="27"/>
      <c r="P1710" s="27" t="str">
        <f aca="false">A1710&amp;"|"&amp;N1710</f>
        <v>NURSE-09|normal</v>
      </c>
    </row>
    <row r="1711" customFormat="false" ht="15" hidden="false" customHeight="true" outlineLevel="0" collapsed="false">
      <c r="A1711" s="27" t="s">
        <v>100</v>
      </c>
      <c r="B1711" s="41" t="n">
        <v>46303.3295138889</v>
      </c>
      <c r="C1711" s="27" t="s">
        <v>200</v>
      </c>
      <c r="D1711" s="27" t="n">
        <v>45.8</v>
      </c>
      <c r="E1711" s="27" t="n">
        <v>18.8</v>
      </c>
      <c r="F1711" s="27" t="n">
        <v>29.6</v>
      </c>
      <c r="G1711" s="27" t="n">
        <v>33.4</v>
      </c>
      <c r="H1711" s="27" t="s">
        <v>199</v>
      </c>
      <c r="I1711" s="42" t="n">
        <f aca="false">(D1711-INDEX('Cohort Summary'!$D$5:$D$14,MATCH($A1711,'Cohort Summary'!$A$5:$A$14,0)))/INDEX('Cohort Summary'!$E$5:$E$14,MATCH($A1711,'Cohort Summary'!$A$5:$A$14,0))</f>
        <v>1.7</v>
      </c>
      <c r="J1711" s="42" t="n">
        <f aca="false">(E1711-INDEX('Cohort Summary'!$F$5:$F$14,MATCH($A1711,'Cohort Summary'!$A$5:$A$14,0)))/INDEX('Cohort Summary'!$G$5:$G$14,MATCH($A1711,'Cohort Summary'!$A$5:$A$14,0))</f>
        <v>0.386138613861387</v>
      </c>
      <c r="K1711" s="42" t="n">
        <f aca="false">(F1711-INDEX('Cohort Summary'!$H$5:$H$14,MATCH($A1711,'Cohort Summary'!$A$5:$A$14,0)))/INDEX('Cohort Summary'!$I$5:$I$14,MATCH($A1711,'Cohort Summary'!$A$5:$A$14,0))</f>
        <v>-0.381987577639751</v>
      </c>
      <c r="L1711" s="42" t="n">
        <f aca="false">(G1711-INDEX('Cohort Summary'!$J$5:$J$14,MATCH($A1711,'Cohort Summary'!$A$5:$A$14,0)))/INDEX('Cohort Summary'!$K$5:$K$14,MATCH($A1711,'Cohort Summary'!$A$5:$A$14,0))</f>
        <v>0.524590163934427</v>
      </c>
      <c r="M1711" s="42" t="n">
        <f aca="false">MAX(I1711:K1711)</f>
        <v>1.7</v>
      </c>
      <c r="N1711" s="27" t="s">
        <v>197</v>
      </c>
      <c r="O1711" s="27"/>
      <c r="P1711" s="27" t="str">
        <f aca="false">A1711&amp;"|"&amp;N1711</f>
        <v>NURSE-09|normal</v>
      </c>
    </row>
    <row r="1712" customFormat="false" ht="15" hidden="false" customHeight="true" outlineLevel="0" collapsed="false">
      <c r="A1712" s="27" t="s">
        <v>100</v>
      </c>
      <c r="B1712" s="41" t="n">
        <v>46303.3298611111</v>
      </c>
      <c r="C1712" s="27" t="s">
        <v>200</v>
      </c>
      <c r="D1712" s="27" t="n">
        <v>45.4</v>
      </c>
      <c r="E1712" s="27" t="n">
        <v>17.7</v>
      </c>
      <c r="F1712" s="27" t="n">
        <v>31.6</v>
      </c>
      <c r="G1712" s="27" t="n">
        <v>33.2</v>
      </c>
      <c r="H1712" s="27" t="s">
        <v>196</v>
      </c>
      <c r="I1712" s="42" t="n">
        <f aca="false">(D1712-INDEX('Cohort Summary'!$D$5:$D$14,MATCH($A1712,'Cohort Summary'!$A$5:$A$14,0)))/INDEX('Cohort Summary'!$E$5:$E$14,MATCH($A1712,'Cohort Summary'!$A$5:$A$14,0))</f>
        <v>1.56206896551724</v>
      </c>
      <c r="J1712" s="42" t="n">
        <f aca="false">(E1712-INDEX('Cohort Summary'!$F$5:$F$14,MATCH($A1712,'Cohort Summary'!$A$5:$A$14,0)))/INDEX('Cohort Summary'!$G$5:$G$14,MATCH($A1712,'Cohort Summary'!$A$5:$A$14,0))</f>
        <v>-0.158415841584159</v>
      </c>
      <c r="K1712" s="42" t="n">
        <f aca="false">(F1712-INDEX('Cohort Summary'!$H$5:$H$14,MATCH($A1712,'Cohort Summary'!$A$5:$A$14,0)))/INDEX('Cohort Summary'!$I$5:$I$14,MATCH($A1712,'Cohort Summary'!$A$5:$A$14,0))</f>
        <v>0.23913043478261</v>
      </c>
      <c r="L1712" s="42" t="n">
        <f aca="false">(G1712-INDEX('Cohort Summary'!$J$5:$J$14,MATCH($A1712,'Cohort Summary'!$A$5:$A$14,0)))/INDEX('Cohort Summary'!$K$5:$K$14,MATCH($A1712,'Cohort Summary'!$A$5:$A$14,0))</f>
        <v>0.196721311475417</v>
      </c>
      <c r="M1712" s="42" t="n">
        <f aca="false">MAX(I1712:K1712)</f>
        <v>1.56206896551724</v>
      </c>
      <c r="N1712" s="27" t="s">
        <v>197</v>
      </c>
      <c r="O1712" s="27"/>
      <c r="P1712" s="27" t="str">
        <f aca="false">A1712&amp;"|"&amp;N1712</f>
        <v>NURSE-09|normal</v>
      </c>
    </row>
    <row r="1713" customFormat="false" ht="15" hidden="false" customHeight="true" outlineLevel="0" collapsed="false">
      <c r="A1713" s="27" t="s">
        <v>100</v>
      </c>
      <c r="B1713" s="41" t="n">
        <v>46303.3302083333</v>
      </c>
      <c r="C1713" s="27" t="s">
        <v>200</v>
      </c>
      <c r="D1713" s="27" t="n">
        <v>41.5</v>
      </c>
      <c r="E1713" s="27" t="n">
        <v>17.7</v>
      </c>
      <c r="F1713" s="27" t="n">
        <v>33.1</v>
      </c>
      <c r="G1713" s="27" t="n">
        <v>34.2</v>
      </c>
      <c r="H1713" s="27" t="s">
        <v>198</v>
      </c>
      <c r="I1713" s="42" t="n">
        <f aca="false">(D1713-INDEX('Cohort Summary'!$D$5:$D$14,MATCH($A1713,'Cohort Summary'!$A$5:$A$14,0)))/INDEX('Cohort Summary'!$E$5:$E$14,MATCH($A1713,'Cohort Summary'!$A$5:$A$14,0))</f>
        <v>0.217241379310346</v>
      </c>
      <c r="J1713" s="42" t="n">
        <f aca="false">(E1713-INDEX('Cohort Summary'!$F$5:$F$14,MATCH($A1713,'Cohort Summary'!$A$5:$A$14,0)))/INDEX('Cohort Summary'!$G$5:$G$14,MATCH($A1713,'Cohort Summary'!$A$5:$A$14,0))</f>
        <v>-0.158415841584159</v>
      </c>
      <c r="K1713" s="42" t="n">
        <f aca="false">(F1713-INDEX('Cohort Summary'!$H$5:$H$14,MATCH($A1713,'Cohort Summary'!$A$5:$A$14,0)))/INDEX('Cohort Summary'!$I$5:$I$14,MATCH($A1713,'Cohort Summary'!$A$5:$A$14,0))</f>
        <v>0.70496894409938</v>
      </c>
      <c r="L1713" s="42" t="n">
        <f aca="false">(G1713-INDEX('Cohort Summary'!$J$5:$J$14,MATCH($A1713,'Cohort Summary'!$A$5:$A$14,0)))/INDEX('Cohort Summary'!$K$5:$K$14,MATCH($A1713,'Cohort Summary'!$A$5:$A$14,0))</f>
        <v>1.8360655737705</v>
      </c>
      <c r="M1713" s="42" t="n">
        <f aca="false">MAX(I1713:K1713)</f>
        <v>0.70496894409938</v>
      </c>
      <c r="N1713" s="27" t="s">
        <v>197</v>
      </c>
      <c r="O1713" s="27"/>
      <c r="P1713" s="27" t="str">
        <f aca="false">A1713&amp;"|"&amp;N1713</f>
        <v>NURSE-09|normal</v>
      </c>
    </row>
    <row r="1714" customFormat="false" ht="15" hidden="false" customHeight="true" outlineLevel="0" collapsed="false">
      <c r="A1714" s="27" t="s">
        <v>100</v>
      </c>
      <c r="B1714" s="41" t="n">
        <v>46303.3305555556</v>
      </c>
      <c r="C1714" s="27" t="s">
        <v>200</v>
      </c>
      <c r="D1714" s="27" t="n">
        <v>38.8</v>
      </c>
      <c r="E1714" s="27" t="n">
        <v>16.3</v>
      </c>
      <c r="F1714" s="27" t="n">
        <v>35.3</v>
      </c>
      <c r="G1714" s="27" t="n">
        <v>34.1</v>
      </c>
      <c r="H1714" s="27" t="s">
        <v>199</v>
      </c>
      <c r="I1714" s="42" t="n">
        <f aca="false">(D1714-INDEX('Cohort Summary'!$D$5:$D$14,MATCH($A1714,'Cohort Summary'!$A$5:$A$14,0)))/INDEX('Cohort Summary'!$E$5:$E$14,MATCH($A1714,'Cohort Summary'!$A$5:$A$14,0))</f>
        <v>-0.713793103448276</v>
      </c>
      <c r="J1714" s="42" t="n">
        <f aca="false">(E1714-INDEX('Cohort Summary'!$F$5:$F$14,MATCH($A1714,'Cohort Summary'!$A$5:$A$14,0)))/INDEX('Cohort Summary'!$G$5:$G$14,MATCH($A1714,'Cohort Summary'!$A$5:$A$14,0))</f>
        <v>-0.851485148514851</v>
      </c>
      <c r="K1714" s="42" t="n">
        <f aca="false">(F1714-INDEX('Cohort Summary'!$H$5:$H$14,MATCH($A1714,'Cohort Summary'!$A$5:$A$14,0)))/INDEX('Cohort Summary'!$I$5:$I$14,MATCH($A1714,'Cohort Summary'!$A$5:$A$14,0))</f>
        <v>1.38819875776397</v>
      </c>
      <c r="L1714" s="42" t="n">
        <f aca="false">(G1714-INDEX('Cohort Summary'!$J$5:$J$14,MATCH($A1714,'Cohort Summary'!$A$5:$A$14,0)))/INDEX('Cohort Summary'!$K$5:$K$14,MATCH($A1714,'Cohort Summary'!$A$5:$A$14,0))</f>
        <v>1.67213114754099</v>
      </c>
      <c r="M1714" s="42" t="n">
        <f aca="false">MAX(I1714:K1714)</f>
        <v>1.38819875776397</v>
      </c>
      <c r="N1714" s="27" t="s">
        <v>197</v>
      </c>
      <c r="O1714" s="27"/>
      <c r="P1714" s="27" t="str">
        <f aca="false">A1714&amp;"|"&amp;N1714</f>
        <v>NURSE-09|normal</v>
      </c>
    </row>
    <row r="1715" customFormat="false" ht="15" hidden="false" customHeight="true" outlineLevel="0" collapsed="false">
      <c r="A1715" s="27" t="s">
        <v>100</v>
      </c>
      <c r="B1715" s="41" t="n">
        <v>46303.3309027778</v>
      </c>
      <c r="C1715" s="27" t="s">
        <v>200</v>
      </c>
      <c r="D1715" s="27" t="n">
        <v>45.3</v>
      </c>
      <c r="E1715" s="27" t="n">
        <v>15.4</v>
      </c>
      <c r="F1715" s="27" t="n">
        <v>32.7</v>
      </c>
      <c r="G1715" s="27" t="n">
        <v>33.6</v>
      </c>
      <c r="H1715" s="27" t="s">
        <v>198</v>
      </c>
      <c r="I1715" s="42" t="n">
        <f aca="false">(D1715-INDEX('Cohort Summary'!$D$5:$D$14,MATCH($A1715,'Cohort Summary'!$A$5:$A$14,0)))/INDEX('Cohort Summary'!$E$5:$E$14,MATCH($A1715,'Cohort Summary'!$A$5:$A$14,0))</f>
        <v>1.52758620689655</v>
      </c>
      <c r="J1715" s="42" t="n">
        <f aca="false">(E1715-INDEX('Cohort Summary'!$F$5:$F$14,MATCH($A1715,'Cohort Summary'!$A$5:$A$14,0)))/INDEX('Cohort Summary'!$G$5:$G$14,MATCH($A1715,'Cohort Summary'!$A$5:$A$14,0))</f>
        <v>-1.2970297029703</v>
      </c>
      <c r="K1715" s="42" t="n">
        <f aca="false">(F1715-INDEX('Cohort Summary'!$H$5:$H$14,MATCH($A1715,'Cohort Summary'!$A$5:$A$14,0)))/INDEX('Cohort Summary'!$I$5:$I$14,MATCH($A1715,'Cohort Summary'!$A$5:$A$14,0))</f>
        <v>0.580745341614908</v>
      </c>
      <c r="L1715" s="42" t="n">
        <f aca="false">(G1715-INDEX('Cohort Summary'!$J$5:$J$14,MATCH($A1715,'Cohort Summary'!$A$5:$A$14,0)))/INDEX('Cohort Summary'!$K$5:$K$14,MATCH($A1715,'Cohort Summary'!$A$5:$A$14,0))</f>
        <v>0.852459016393448</v>
      </c>
      <c r="M1715" s="42" t="n">
        <f aca="false">MAX(I1715:K1715)</f>
        <v>1.52758620689655</v>
      </c>
      <c r="N1715" s="27" t="s">
        <v>197</v>
      </c>
      <c r="O1715" s="27"/>
      <c r="P1715" s="27" t="str">
        <f aca="false">A1715&amp;"|"&amp;N1715</f>
        <v>NURSE-09|normal</v>
      </c>
    </row>
    <row r="1716" customFormat="false" ht="15" hidden="false" customHeight="true" outlineLevel="0" collapsed="false">
      <c r="A1716" s="27" t="s">
        <v>100</v>
      </c>
      <c r="B1716" s="41" t="n">
        <v>46303.33125</v>
      </c>
      <c r="C1716" s="27" t="s">
        <v>200</v>
      </c>
      <c r="D1716" s="27" t="n">
        <v>43.4</v>
      </c>
      <c r="E1716" s="27" t="n">
        <v>16.1</v>
      </c>
      <c r="F1716" s="27" t="n">
        <v>31.6</v>
      </c>
      <c r="G1716" s="27" t="n">
        <v>32.6</v>
      </c>
      <c r="H1716" s="27" t="s">
        <v>198</v>
      </c>
      <c r="I1716" s="42" t="n">
        <f aca="false">(D1716-INDEX('Cohort Summary'!$D$5:$D$14,MATCH($A1716,'Cohort Summary'!$A$5:$A$14,0)))/INDEX('Cohort Summary'!$E$5:$E$14,MATCH($A1716,'Cohort Summary'!$A$5:$A$14,0))</f>
        <v>0.872413793103449</v>
      </c>
      <c r="J1716" s="42" t="n">
        <f aca="false">(E1716-INDEX('Cohort Summary'!$F$5:$F$14,MATCH($A1716,'Cohort Summary'!$A$5:$A$14,0)))/INDEX('Cohort Summary'!$G$5:$G$14,MATCH($A1716,'Cohort Summary'!$A$5:$A$14,0))</f>
        <v>-0.95049504950495</v>
      </c>
      <c r="K1716" s="42" t="n">
        <f aca="false">(F1716-INDEX('Cohort Summary'!$H$5:$H$14,MATCH($A1716,'Cohort Summary'!$A$5:$A$14,0)))/INDEX('Cohort Summary'!$I$5:$I$14,MATCH($A1716,'Cohort Summary'!$A$5:$A$14,0))</f>
        <v>0.23913043478261</v>
      </c>
      <c r="L1716" s="42" t="n">
        <f aca="false">(G1716-INDEX('Cohort Summary'!$J$5:$J$14,MATCH($A1716,'Cohort Summary'!$A$5:$A$14,0)))/INDEX('Cohort Summary'!$K$5:$K$14,MATCH($A1716,'Cohort Summary'!$A$5:$A$14,0))</f>
        <v>-0.786885245901634</v>
      </c>
      <c r="M1716" s="42" t="n">
        <f aca="false">MAX(I1716:K1716)</f>
        <v>0.872413793103449</v>
      </c>
      <c r="N1716" s="27" t="s">
        <v>197</v>
      </c>
      <c r="O1716" s="27"/>
      <c r="P1716" s="27" t="str">
        <f aca="false">A1716&amp;"|"&amp;N1716</f>
        <v>NURSE-09|normal</v>
      </c>
    </row>
    <row r="1717" customFormat="false" ht="15" hidden="false" customHeight="true" outlineLevel="0" collapsed="false">
      <c r="A1717" s="27" t="s">
        <v>100</v>
      </c>
      <c r="B1717" s="41" t="n">
        <v>46303.3315972222</v>
      </c>
      <c r="C1717" s="27" t="s">
        <v>200</v>
      </c>
      <c r="D1717" s="27" t="n">
        <v>44.3</v>
      </c>
      <c r="E1717" s="27" t="n">
        <v>16.6</v>
      </c>
      <c r="F1717" s="27" t="n">
        <v>35.7</v>
      </c>
      <c r="G1717" s="27" t="n">
        <v>32.8</v>
      </c>
      <c r="H1717" s="27" t="s">
        <v>196</v>
      </c>
      <c r="I1717" s="42" t="n">
        <f aca="false">(D1717-INDEX('Cohort Summary'!$D$5:$D$14,MATCH($A1717,'Cohort Summary'!$A$5:$A$14,0)))/INDEX('Cohort Summary'!$E$5:$E$14,MATCH($A1717,'Cohort Summary'!$A$5:$A$14,0))</f>
        <v>1.18275862068966</v>
      </c>
      <c r="J1717" s="42" t="n">
        <f aca="false">(E1717-INDEX('Cohort Summary'!$F$5:$F$14,MATCH($A1717,'Cohort Summary'!$A$5:$A$14,0)))/INDEX('Cohort Summary'!$G$5:$G$14,MATCH($A1717,'Cohort Summary'!$A$5:$A$14,0))</f>
        <v>-0.702970297029702</v>
      </c>
      <c r="K1717" s="42" t="n">
        <f aca="false">(F1717-INDEX('Cohort Summary'!$H$5:$H$14,MATCH($A1717,'Cohort Summary'!$A$5:$A$14,0)))/INDEX('Cohort Summary'!$I$5:$I$14,MATCH($A1717,'Cohort Summary'!$A$5:$A$14,0))</f>
        <v>1.51242236024845</v>
      </c>
      <c r="L1717" s="42" t="n">
        <f aca="false">(G1717-INDEX('Cohort Summary'!$J$5:$J$14,MATCH($A1717,'Cohort Summary'!$A$5:$A$14,0)))/INDEX('Cohort Summary'!$K$5:$K$14,MATCH($A1717,'Cohort Summary'!$A$5:$A$14,0))</f>
        <v>-0.459016393442625</v>
      </c>
      <c r="M1717" s="42" t="n">
        <f aca="false">MAX(I1717:K1717)</f>
        <v>1.51242236024845</v>
      </c>
      <c r="N1717" s="27" t="s">
        <v>197</v>
      </c>
      <c r="O1717" s="27"/>
      <c r="P1717" s="27" t="str">
        <f aca="false">A1717&amp;"|"&amp;N1717</f>
        <v>NURSE-09|normal</v>
      </c>
    </row>
    <row r="1718" customFormat="false" ht="15" hidden="false" customHeight="true" outlineLevel="0" collapsed="false">
      <c r="A1718" s="27" t="s">
        <v>100</v>
      </c>
      <c r="B1718" s="41" t="n">
        <v>46303.3319444444</v>
      </c>
      <c r="C1718" s="27" t="s">
        <v>200</v>
      </c>
      <c r="D1718" s="27" t="n">
        <v>42.6</v>
      </c>
      <c r="E1718" s="27" t="n">
        <v>18.7</v>
      </c>
      <c r="F1718" s="27" t="n">
        <v>26.1</v>
      </c>
      <c r="G1718" s="27" t="n">
        <v>34.5</v>
      </c>
      <c r="H1718" s="27" t="s">
        <v>199</v>
      </c>
      <c r="I1718" s="42" t="n">
        <f aca="false">(D1718-INDEX('Cohort Summary'!$D$5:$D$14,MATCH($A1718,'Cohort Summary'!$A$5:$A$14,0)))/INDEX('Cohort Summary'!$E$5:$E$14,MATCH($A1718,'Cohort Summary'!$A$5:$A$14,0))</f>
        <v>0.596551724137932</v>
      </c>
      <c r="J1718" s="42" t="n">
        <f aca="false">(E1718-INDEX('Cohort Summary'!$F$5:$F$14,MATCH($A1718,'Cohort Summary'!$A$5:$A$14,0)))/INDEX('Cohort Summary'!$G$5:$G$14,MATCH($A1718,'Cohort Summary'!$A$5:$A$14,0))</f>
        <v>0.336633663366337</v>
      </c>
      <c r="K1718" s="42" t="n">
        <f aca="false">(F1718-INDEX('Cohort Summary'!$H$5:$H$14,MATCH($A1718,'Cohort Summary'!$A$5:$A$14,0)))/INDEX('Cohort Summary'!$I$5:$I$14,MATCH($A1718,'Cohort Summary'!$A$5:$A$14,0))</f>
        <v>-1.46894409937888</v>
      </c>
      <c r="L1718" s="42" t="n">
        <f aca="false">(G1718-INDEX('Cohort Summary'!$J$5:$J$14,MATCH($A1718,'Cohort Summary'!$A$5:$A$14,0)))/INDEX('Cohort Summary'!$K$5:$K$14,MATCH($A1718,'Cohort Summary'!$A$5:$A$14,0))</f>
        <v>2.32786885245902</v>
      </c>
      <c r="M1718" s="42" t="n">
        <f aca="false">MAX(I1718:K1718)</f>
        <v>0.596551724137932</v>
      </c>
      <c r="N1718" s="27" t="s">
        <v>201</v>
      </c>
      <c r="O1718" s="27" t="s">
        <v>315</v>
      </c>
      <c r="P1718" s="27" t="str">
        <f aca="false">A1718&amp;"|"&amp;N1718</f>
        <v>NURSE-09|caution</v>
      </c>
    </row>
    <row r="1719" customFormat="false" ht="15" hidden="false" customHeight="true" outlineLevel="0" collapsed="false">
      <c r="A1719" s="27" t="s">
        <v>100</v>
      </c>
      <c r="B1719" s="41" t="n">
        <v>46303.3322916667</v>
      </c>
      <c r="C1719" s="27" t="s">
        <v>200</v>
      </c>
      <c r="D1719" s="27" t="n">
        <v>44.7</v>
      </c>
      <c r="E1719" s="27" t="n">
        <v>21.9</v>
      </c>
      <c r="F1719" s="27" t="n">
        <v>28.1</v>
      </c>
      <c r="G1719" s="27" t="n">
        <v>34.5</v>
      </c>
      <c r="H1719" s="27" t="s">
        <v>198</v>
      </c>
      <c r="I1719" s="42" t="n">
        <f aca="false">(D1719-INDEX('Cohort Summary'!$D$5:$D$14,MATCH($A1719,'Cohort Summary'!$A$5:$A$14,0)))/INDEX('Cohort Summary'!$E$5:$E$14,MATCH($A1719,'Cohort Summary'!$A$5:$A$14,0))</f>
        <v>1.32068965517242</v>
      </c>
      <c r="J1719" s="42" t="n">
        <f aca="false">(E1719-INDEX('Cohort Summary'!$F$5:$F$14,MATCH($A1719,'Cohort Summary'!$A$5:$A$14,0)))/INDEX('Cohort Summary'!$G$5:$G$14,MATCH($A1719,'Cohort Summary'!$A$5:$A$14,0))</f>
        <v>1.92079207920792</v>
      </c>
      <c r="K1719" s="42" t="n">
        <f aca="false">(F1719-INDEX('Cohort Summary'!$H$5:$H$14,MATCH($A1719,'Cohort Summary'!$A$5:$A$14,0)))/INDEX('Cohort Summary'!$I$5:$I$14,MATCH($A1719,'Cohort Summary'!$A$5:$A$14,0))</f>
        <v>-0.847826086956521</v>
      </c>
      <c r="L1719" s="42" t="n">
        <f aca="false">(G1719-INDEX('Cohort Summary'!$J$5:$J$14,MATCH($A1719,'Cohort Summary'!$A$5:$A$14,0)))/INDEX('Cohort Summary'!$K$5:$K$14,MATCH($A1719,'Cohort Summary'!$A$5:$A$14,0))</f>
        <v>2.32786885245902</v>
      </c>
      <c r="M1719" s="42" t="n">
        <f aca="false">MAX(I1719:K1719)</f>
        <v>1.92079207920792</v>
      </c>
      <c r="N1719" s="27" t="s">
        <v>201</v>
      </c>
      <c r="O1719" s="27" t="s">
        <v>315</v>
      </c>
      <c r="P1719" s="27" t="str">
        <f aca="false">A1719&amp;"|"&amp;N1719</f>
        <v>NURSE-09|caution</v>
      </c>
    </row>
    <row r="1720" customFormat="false" ht="15" hidden="false" customHeight="true" outlineLevel="0" collapsed="false">
      <c r="A1720" s="27" t="s">
        <v>100</v>
      </c>
      <c r="B1720" s="41" t="n">
        <v>46303.3326388889</v>
      </c>
      <c r="C1720" s="27" t="s">
        <v>200</v>
      </c>
      <c r="D1720" s="27" t="n">
        <v>38.2</v>
      </c>
      <c r="E1720" s="27" t="n">
        <v>17.8</v>
      </c>
      <c r="F1720" s="27" t="n">
        <v>26.8</v>
      </c>
      <c r="G1720" s="27" t="n">
        <v>33.8</v>
      </c>
      <c r="H1720" s="27" t="s">
        <v>198</v>
      </c>
      <c r="I1720" s="42" t="n">
        <f aca="false">(D1720-INDEX('Cohort Summary'!$D$5:$D$14,MATCH($A1720,'Cohort Summary'!$A$5:$A$14,0)))/INDEX('Cohort Summary'!$E$5:$E$14,MATCH($A1720,'Cohort Summary'!$A$5:$A$14,0))</f>
        <v>-0.920689655172412</v>
      </c>
      <c r="J1720" s="42" t="n">
        <f aca="false">(E1720-INDEX('Cohort Summary'!$F$5:$F$14,MATCH($A1720,'Cohort Summary'!$A$5:$A$14,0)))/INDEX('Cohort Summary'!$G$5:$G$14,MATCH($A1720,'Cohort Summary'!$A$5:$A$14,0))</f>
        <v>-0.108910891089108</v>
      </c>
      <c r="K1720" s="42" t="n">
        <f aca="false">(F1720-INDEX('Cohort Summary'!$H$5:$H$14,MATCH($A1720,'Cohort Summary'!$A$5:$A$14,0)))/INDEX('Cohort Summary'!$I$5:$I$14,MATCH($A1720,'Cohort Summary'!$A$5:$A$14,0))</f>
        <v>-1.25155279503106</v>
      </c>
      <c r="L1720" s="42" t="n">
        <f aca="false">(G1720-INDEX('Cohort Summary'!$J$5:$J$14,MATCH($A1720,'Cohort Summary'!$A$5:$A$14,0)))/INDEX('Cohort Summary'!$K$5:$K$14,MATCH($A1720,'Cohort Summary'!$A$5:$A$14,0))</f>
        <v>1.18032786885246</v>
      </c>
      <c r="M1720" s="42" t="n">
        <f aca="false">MAX(I1720:K1720)</f>
        <v>-0.108910891089108</v>
      </c>
      <c r="N1720" s="27" t="s">
        <v>197</v>
      </c>
      <c r="O1720" s="27"/>
      <c r="P1720" s="27" t="str">
        <f aca="false">A1720&amp;"|"&amp;N1720</f>
        <v>NURSE-09|normal</v>
      </c>
    </row>
    <row r="1721" customFormat="false" ht="15" hidden="false" customHeight="true" outlineLevel="0" collapsed="false">
      <c r="A1721" s="27" t="s">
        <v>100</v>
      </c>
      <c r="B1721" s="41" t="n">
        <v>46303.3329861111</v>
      </c>
      <c r="C1721" s="27" t="s">
        <v>200</v>
      </c>
      <c r="D1721" s="27" t="n">
        <v>36.4</v>
      </c>
      <c r="E1721" s="27" t="n">
        <v>18.2</v>
      </c>
      <c r="F1721" s="27" t="n">
        <v>29.9</v>
      </c>
      <c r="G1721" s="27" t="n">
        <v>33.6</v>
      </c>
      <c r="H1721" s="27" t="s">
        <v>198</v>
      </c>
      <c r="I1721" s="42" t="n">
        <f aca="false">(D1721-INDEX('Cohort Summary'!$D$5:$D$14,MATCH($A1721,'Cohort Summary'!$A$5:$A$14,0)))/INDEX('Cohort Summary'!$E$5:$E$14,MATCH($A1721,'Cohort Summary'!$A$5:$A$14,0))</f>
        <v>-1.54137931034483</v>
      </c>
      <c r="J1721" s="42" t="n">
        <f aca="false">(E1721-INDEX('Cohort Summary'!$F$5:$F$14,MATCH($A1721,'Cohort Summary'!$A$5:$A$14,0)))/INDEX('Cohort Summary'!$G$5:$G$14,MATCH($A1721,'Cohort Summary'!$A$5:$A$14,0))</f>
        <v>0.089108910891089</v>
      </c>
      <c r="K1721" s="42" t="n">
        <f aca="false">(F1721-INDEX('Cohort Summary'!$H$5:$H$14,MATCH($A1721,'Cohort Summary'!$A$5:$A$14,0)))/INDEX('Cohort Summary'!$I$5:$I$14,MATCH($A1721,'Cohort Summary'!$A$5:$A$14,0))</f>
        <v>-0.288819875776397</v>
      </c>
      <c r="L1721" s="42" t="n">
        <f aca="false">(G1721-INDEX('Cohort Summary'!$J$5:$J$14,MATCH($A1721,'Cohort Summary'!$A$5:$A$14,0)))/INDEX('Cohort Summary'!$K$5:$K$14,MATCH($A1721,'Cohort Summary'!$A$5:$A$14,0))</f>
        <v>0.852459016393448</v>
      </c>
      <c r="M1721" s="42" t="n">
        <f aca="false">MAX(I1721:K1721)</f>
        <v>0.089108910891089</v>
      </c>
      <c r="N1721" s="27" t="s">
        <v>197</v>
      </c>
      <c r="O1721" s="27"/>
      <c r="P1721" s="27" t="str">
        <f aca="false">A1721&amp;"|"&amp;N1721</f>
        <v>NURSE-09|normal</v>
      </c>
    </row>
    <row r="1722" customFormat="false" ht="15" hidden="false" customHeight="true" outlineLevel="0" collapsed="false">
      <c r="A1722" s="27" t="s">
        <v>100</v>
      </c>
      <c r="B1722" s="41" t="n">
        <v>46303.3333333333</v>
      </c>
      <c r="C1722" s="27" t="s">
        <v>200</v>
      </c>
      <c r="D1722" s="27" t="n">
        <v>43.1</v>
      </c>
      <c r="E1722" s="27" t="n">
        <v>21.7</v>
      </c>
      <c r="F1722" s="27" t="n">
        <v>29</v>
      </c>
      <c r="G1722" s="27" t="n">
        <v>34.1</v>
      </c>
      <c r="H1722" s="27" t="s">
        <v>199</v>
      </c>
      <c r="I1722" s="42" t="n">
        <f aca="false">(D1722-INDEX('Cohort Summary'!$D$5:$D$14,MATCH($A1722,'Cohort Summary'!$A$5:$A$14,0)))/INDEX('Cohort Summary'!$E$5:$E$14,MATCH($A1722,'Cohort Summary'!$A$5:$A$14,0))</f>
        <v>0.768965517241381</v>
      </c>
      <c r="J1722" s="42" t="n">
        <f aca="false">(E1722-INDEX('Cohort Summary'!$F$5:$F$14,MATCH($A1722,'Cohort Summary'!$A$5:$A$14,0)))/INDEX('Cohort Summary'!$G$5:$G$14,MATCH($A1722,'Cohort Summary'!$A$5:$A$14,0))</f>
        <v>1.82178217821782</v>
      </c>
      <c r="K1722" s="42" t="n">
        <f aca="false">(F1722-INDEX('Cohort Summary'!$H$5:$H$14,MATCH($A1722,'Cohort Summary'!$A$5:$A$14,0)))/INDEX('Cohort Summary'!$I$5:$I$14,MATCH($A1722,'Cohort Summary'!$A$5:$A$14,0))</f>
        <v>-0.568322981366459</v>
      </c>
      <c r="L1722" s="42" t="n">
        <f aca="false">(G1722-INDEX('Cohort Summary'!$J$5:$J$14,MATCH($A1722,'Cohort Summary'!$A$5:$A$14,0)))/INDEX('Cohort Summary'!$K$5:$K$14,MATCH($A1722,'Cohort Summary'!$A$5:$A$14,0))</f>
        <v>1.67213114754099</v>
      </c>
      <c r="M1722" s="42" t="n">
        <f aca="false">MAX(I1722:K1722)</f>
        <v>1.82178217821782</v>
      </c>
      <c r="N1722" s="27" t="s">
        <v>197</v>
      </c>
      <c r="O1722" s="27"/>
      <c r="P1722" s="27" t="str">
        <f aca="false">A1722&amp;"|"&amp;N1722</f>
        <v>NURSE-09|normal</v>
      </c>
    </row>
    <row r="1723" customFormat="false" ht="15" hidden="false" customHeight="true" outlineLevel="0" collapsed="false">
      <c r="A1723" s="27" t="s">
        <v>100</v>
      </c>
      <c r="B1723" s="41" t="n">
        <v>46303.3336805556</v>
      </c>
      <c r="C1723" s="27" t="s">
        <v>200</v>
      </c>
      <c r="D1723" s="27" t="n">
        <v>39.7</v>
      </c>
      <c r="E1723" s="27" t="n">
        <v>18.5</v>
      </c>
      <c r="F1723" s="27" t="n">
        <v>31.9</v>
      </c>
      <c r="G1723" s="27" t="n">
        <v>33.8</v>
      </c>
      <c r="H1723" s="27" t="s">
        <v>198</v>
      </c>
      <c r="I1723" s="42" t="n">
        <f aca="false">(D1723-INDEX('Cohort Summary'!$D$5:$D$14,MATCH($A1723,'Cohort Summary'!$A$5:$A$14,0)))/INDEX('Cohort Summary'!$E$5:$E$14,MATCH($A1723,'Cohort Summary'!$A$5:$A$14,0))</f>
        <v>-0.403448275862067</v>
      </c>
      <c r="J1723" s="42" t="n">
        <f aca="false">(E1723-INDEX('Cohort Summary'!$F$5:$F$14,MATCH($A1723,'Cohort Summary'!$A$5:$A$14,0)))/INDEX('Cohort Summary'!$G$5:$G$14,MATCH($A1723,'Cohort Summary'!$A$5:$A$14,0))</f>
        <v>0.237623762376238</v>
      </c>
      <c r="K1723" s="42" t="n">
        <f aca="false">(F1723-INDEX('Cohort Summary'!$H$5:$H$14,MATCH($A1723,'Cohort Summary'!$A$5:$A$14,0)))/INDEX('Cohort Summary'!$I$5:$I$14,MATCH($A1723,'Cohort Summary'!$A$5:$A$14,0))</f>
        <v>0.332298136645963</v>
      </c>
      <c r="L1723" s="42" t="n">
        <f aca="false">(G1723-INDEX('Cohort Summary'!$J$5:$J$14,MATCH($A1723,'Cohort Summary'!$A$5:$A$14,0)))/INDEX('Cohort Summary'!$K$5:$K$14,MATCH($A1723,'Cohort Summary'!$A$5:$A$14,0))</f>
        <v>1.18032786885246</v>
      </c>
      <c r="M1723" s="42" t="n">
        <f aca="false">MAX(I1723:K1723)</f>
        <v>0.332298136645963</v>
      </c>
      <c r="N1723" s="27" t="s">
        <v>197</v>
      </c>
      <c r="O1723" s="27"/>
      <c r="P1723" s="27" t="str">
        <f aca="false">A1723&amp;"|"&amp;N1723</f>
        <v>NURSE-09|normal</v>
      </c>
    </row>
    <row r="1724" customFormat="false" ht="15" hidden="false" customHeight="true" outlineLevel="0" collapsed="false">
      <c r="A1724" s="27" t="s">
        <v>100</v>
      </c>
      <c r="B1724" s="41" t="n">
        <v>46303.3340277778</v>
      </c>
      <c r="C1724" s="27" t="s">
        <v>200</v>
      </c>
      <c r="D1724" s="27" t="n">
        <v>38.6</v>
      </c>
      <c r="E1724" s="27" t="n">
        <v>21.4</v>
      </c>
      <c r="F1724" s="27" t="n">
        <v>35.7</v>
      </c>
      <c r="G1724" s="27" t="n">
        <v>34.6</v>
      </c>
      <c r="H1724" s="27" t="s">
        <v>199</v>
      </c>
      <c r="I1724" s="42" t="n">
        <f aca="false">(D1724-INDEX('Cohort Summary'!$D$5:$D$14,MATCH($A1724,'Cohort Summary'!$A$5:$A$14,0)))/INDEX('Cohort Summary'!$E$5:$E$14,MATCH($A1724,'Cohort Summary'!$A$5:$A$14,0))</f>
        <v>-0.782758620689654</v>
      </c>
      <c r="J1724" s="42" t="n">
        <f aca="false">(E1724-INDEX('Cohort Summary'!$F$5:$F$14,MATCH($A1724,'Cohort Summary'!$A$5:$A$14,0)))/INDEX('Cohort Summary'!$G$5:$G$14,MATCH($A1724,'Cohort Summary'!$A$5:$A$14,0))</f>
        <v>1.67326732673267</v>
      </c>
      <c r="K1724" s="42" t="n">
        <f aca="false">(F1724-INDEX('Cohort Summary'!$H$5:$H$14,MATCH($A1724,'Cohort Summary'!$A$5:$A$14,0)))/INDEX('Cohort Summary'!$I$5:$I$14,MATCH($A1724,'Cohort Summary'!$A$5:$A$14,0))</f>
        <v>1.51242236024845</v>
      </c>
      <c r="L1724" s="42" t="n">
        <f aca="false">(G1724-INDEX('Cohort Summary'!$J$5:$J$14,MATCH($A1724,'Cohort Summary'!$A$5:$A$14,0)))/INDEX('Cohort Summary'!$K$5:$K$14,MATCH($A1724,'Cohort Summary'!$A$5:$A$14,0))</f>
        <v>2.49180327868853</v>
      </c>
      <c r="M1724" s="42" t="n">
        <f aca="false">MAX(I1724:K1724)</f>
        <v>1.67326732673267</v>
      </c>
      <c r="N1724" s="27" t="s">
        <v>201</v>
      </c>
      <c r="O1724" s="27" t="s">
        <v>316</v>
      </c>
      <c r="P1724" s="27" t="str">
        <f aca="false">A1724&amp;"|"&amp;N1724</f>
        <v>NURSE-09|caution</v>
      </c>
    </row>
    <row r="1725" customFormat="false" ht="15" hidden="false" customHeight="true" outlineLevel="0" collapsed="false">
      <c r="A1725" s="27" t="s">
        <v>100</v>
      </c>
      <c r="B1725" s="41" t="n">
        <v>46303.334375</v>
      </c>
      <c r="C1725" s="27" t="s">
        <v>200</v>
      </c>
      <c r="D1725" s="27" t="n">
        <v>41.3</v>
      </c>
      <c r="E1725" s="27" t="n">
        <v>15.1</v>
      </c>
      <c r="F1725" s="27" t="n">
        <v>30.9</v>
      </c>
      <c r="G1725" s="27" t="n">
        <v>34</v>
      </c>
      <c r="H1725" s="27" t="s">
        <v>196</v>
      </c>
      <c r="I1725" s="42" t="n">
        <f aca="false">(D1725-INDEX('Cohort Summary'!$D$5:$D$14,MATCH($A1725,'Cohort Summary'!$A$5:$A$14,0)))/INDEX('Cohort Summary'!$E$5:$E$14,MATCH($A1725,'Cohort Summary'!$A$5:$A$14,0))</f>
        <v>0.148275862068965</v>
      </c>
      <c r="J1725" s="42" t="n">
        <f aca="false">(E1725-INDEX('Cohort Summary'!$F$5:$F$14,MATCH($A1725,'Cohort Summary'!$A$5:$A$14,0)))/INDEX('Cohort Summary'!$G$5:$G$14,MATCH($A1725,'Cohort Summary'!$A$5:$A$14,0))</f>
        <v>-1.44554455445545</v>
      </c>
      <c r="K1725" s="42" t="n">
        <f aca="false">(F1725-INDEX('Cohort Summary'!$H$5:$H$14,MATCH($A1725,'Cohort Summary'!$A$5:$A$14,0)))/INDEX('Cohort Summary'!$I$5:$I$14,MATCH($A1725,'Cohort Summary'!$A$5:$A$14,0))</f>
        <v>0.0217391304347827</v>
      </c>
      <c r="L1725" s="42" t="n">
        <f aca="false">(G1725-INDEX('Cohort Summary'!$J$5:$J$14,MATCH($A1725,'Cohort Summary'!$A$5:$A$14,0)))/INDEX('Cohort Summary'!$K$5:$K$14,MATCH($A1725,'Cohort Summary'!$A$5:$A$14,0))</f>
        <v>1.50819672131148</v>
      </c>
      <c r="M1725" s="42" t="n">
        <f aca="false">MAX(I1725:K1725)</f>
        <v>0.148275862068965</v>
      </c>
      <c r="N1725" s="27" t="s">
        <v>197</v>
      </c>
      <c r="O1725" s="27"/>
      <c r="P1725" s="27" t="str">
        <f aca="false">A1725&amp;"|"&amp;N1725</f>
        <v>NURSE-09|normal</v>
      </c>
    </row>
    <row r="1726" customFormat="false" ht="15" hidden="false" customHeight="true" outlineLevel="0" collapsed="false">
      <c r="A1726" s="27" t="s">
        <v>100</v>
      </c>
      <c r="B1726" s="41" t="n">
        <v>46303.3347222222</v>
      </c>
      <c r="C1726" s="27" t="s">
        <v>200</v>
      </c>
      <c r="D1726" s="27" t="n">
        <v>40.5</v>
      </c>
      <c r="E1726" s="27" t="n">
        <v>17.8</v>
      </c>
      <c r="F1726" s="27" t="n">
        <v>34</v>
      </c>
      <c r="G1726" s="27" t="n">
        <v>34.1</v>
      </c>
      <c r="H1726" s="27" t="s">
        <v>196</v>
      </c>
      <c r="I1726" s="42" t="n">
        <f aca="false">(D1726-INDEX('Cohort Summary'!$D$5:$D$14,MATCH($A1726,'Cohort Summary'!$A$5:$A$14,0)))/INDEX('Cohort Summary'!$E$5:$E$14,MATCH($A1726,'Cohort Summary'!$A$5:$A$14,0))</f>
        <v>-0.127586206896551</v>
      </c>
      <c r="J1726" s="42" t="n">
        <f aca="false">(E1726-INDEX('Cohort Summary'!$F$5:$F$14,MATCH($A1726,'Cohort Summary'!$A$5:$A$14,0)))/INDEX('Cohort Summary'!$G$5:$G$14,MATCH($A1726,'Cohort Summary'!$A$5:$A$14,0))</f>
        <v>-0.108910891089108</v>
      </c>
      <c r="K1726" s="42" t="n">
        <f aca="false">(F1726-INDEX('Cohort Summary'!$H$5:$H$14,MATCH($A1726,'Cohort Summary'!$A$5:$A$14,0)))/INDEX('Cohort Summary'!$I$5:$I$14,MATCH($A1726,'Cohort Summary'!$A$5:$A$14,0))</f>
        <v>0.984472049689442</v>
      </c>
      <c r="L1726" s="42" t="n">
        <f aca="false">(G1726-INDEX('Cohort Summary'!$J$5:$J$14,MATCH($A1726,'Cohort Summary'!$A$5:$A$14,0)))/INDEX('Cohort Summary'!$K$5:$K$14,MATCH($A1726,'Cohort Summary'!$A$5:$A$14,0))</f>
        <v>1.67213114754099</v>
      </c>
      <c r="M1726" s="42" t="n">
        <f aca="false">MAX(I1726:K1726)</f>
        <v>0.984472049689442</v>
      </c>
      <c r="N1726" s="27" t="s">
        <v>197</v>
      </c>
      <c r="O1726" s="27"/>
      <c r="P1726" s="27" t="str">
        <f aca="false">A1726&amp;"|"&amp;N1726</f>
        <v>NURSE-09|normal</v>
      </c>
    </row>
    <row r="1727" customFormat="false" ht="15" hidden="false" customHeight="true" outlineLevel="0" collapsed="false">
      <c r="A1727" s="27" t="s">
        <v>100</v>
      </c>
      <c r="B1727" s="41" t="n">
        <v>46303.3350694445</v>
      </c>
      <c r="C1727" s="27" t="s">
        <v>200</v>
      </c>
      <c r="D1727" s="27" t="n">
        <v>42.2</v>
      </c>
      <c r="E1727" s="27" t="n">
        <v>16.5</v>
      </c>
      <c r="F1727" s="27" t="n">
        <v>35.8</v>
      </c>
      <c r="G1727" s="27" t="n">
        <v>33.3</v>
      </c>
      <c r="H1727" s="27" t="s">
        <v>196</v>
      </c>
      <c r="I1727" s="42" t="n">
        <f aca="false">(D1727-INDEX('Cohort Summary'!$D$5:$D$14,MATCH($A1727,'Cohort Summary'!$A$5:$A$14,0)))/INDEX('Cohort Summary'!$E$5:$E$14,MATCH($A1727,'Cohort Summary'!$A$5:$A$14,0))</f>
        <v>0.458620689655174</v>
      </c>
      <c r="J1727" s="42" t="n">
        <f aca="false">(E1727-INDEX('Cohort Summary'!$F$5:$F$14,MATCH($A1727,'Cohort Summary'!$A$5:$A$14,0)))/INDEX('Cohort Summary'!$G$5:$G$14,MATCH($A1727,'Cohort Summary'!$A$5:$A$14,0))</f>
        <v>-0.752475247524752</v>
      </c>
      <c r="K1727" s="42" t="n">
        <f aca="false">(F1727-INDEX('Cohort Summary'!$H$5:$H$14,MATCH($A1727,'Cohort Summary'!$A$5:$A$14,0)))/INDEX('Cohort Summary'!$I$5:$I$14,MATCH($A1727,'Cohort Summary'!$A$5:$A$14,0))</f>
        <v>1.54347826086956</v>
      </c>
      <c r="L1727" s="42" t="n">
        <f aca="false">(G1727-INDEX('Cohort Summary'!$J$5:$J$14,MATCH($A1727,'Cohort Summary'!$A$5:$A$14,0)))/INDEX('Cohort Summary'!$K$5:$K$14,MATCH($A1727,'Cohort Summary'!$A$5:$A$14,0))</f>
        <v>0.360655737704916</v>
      </c>
      <c r="M1727" s="42" t="n">
        <f aca="false">MAX(I1727:K1727)</f>
        <v>1.54347826086956</v>
      </c>
      <c r="N1727" s="27" t="s">
        <v>197</v>
      </c>
      <c r="O1727" s="27"/>
      <c r="P1727" s="27" t="str">
        <f aca="false">A1727&amp;"|"&amp;N1727</f>
        <v>NURSE-09|normal</v>
      </c>
    </row>
    <row r="1728" customFormat="false" ht="15" hidden="false" customHeight="true" outlineLevel="0" collapsed="false">
      <c r="A1728" s="27" t="s">
        <v>100</v>
      </c>
      <c r="B1728" s="41" t="n">
        <v>46303.3354166667</v>
      </c>
      <c r="C1728" s="27" t="s">
        <v>200</v>
      </c>
      <c r="D1728" s="27" t="n">
        <v>37</v>
      </c>
      <c r="E1728" s="27" t="n">
        <v>20.9</v>
      </c>
      <c r="F1728" s="27" t="n">
        <v>26.9</v>
      </c>
      <c r="G1728" s="27" t="n">
        <v>34.6</v>
      </c>
      <c r="H1728" s="27" t="s">
        <v>198</v>
      </c>
      <c r="I1728" s="42" t="n">
        <f aca="false">(D1728-INDEX('Cohort Summary'!$D$5:$D$14,MATCH($A1728,'Cohort Summary'!$A$5:$A$14,0)))/INDEX('Cohort Summary'!$E$5:$E$14,MATCH($A1728,'Cohort Summary'!$A$5:$A$14,0))</f>
        <v>-1.33448275862069</v>
      </c>
      <c r="J1728" s="42" t="n">
        <f aca="false">(E1728-INDEX('Cohort Summary'!$F$5:$F$14,MATCH($A1728,'Cohort Summary'!$A$5:$A$14,0)))/INDEX('Cohort Summary'!$G$5:$G$14,MATCH($A1728,'Cohort Summary'!$A$5:$A$14,0))</f>
        <v>1.42574257425743</v>
      </c>
      <c r="K1728" s="42" t="n">
        <f aca="false">(F1728-INDEX('Cohort Summary'!$H$5:$H$14,MATCH($A1728,'Cohort Summary'!$A$5:$A$14,0)))/INDEX('Cohort Summary'!$I$5:$I$14,MATCH($A1728,'Cohort Summary'!$A$5:$A$14,0))</f>
        <v>-1.22049689440994</v>
      </c>
      <c r="L1728" s="42" t="n">
        <f aca="false">(G1728-INDEX('Cohort Summary'!$J$5:$J$14,MATCH($A1728,'Cohort Summary'!$A$5:$A$14,0)))/INDEX('Cohort Summary'!$K$5:$K$14,MATCH($A1728,'Cohort Summary'!$A$5:$A$14,0))</f>
        <v>2.49180327868853</v>
      </c>
      <c r="M1728" s="42" t="n">
        <f aca="false">MAX(I1728:K1728)</f>
        <v>1.42574257425743</v>
      </c>
      <c r="N1728" s="27" t="s">
        <v>201</v>
      </c>
      <c r="O1728" s="27" t="s">
        <v>316</v>
      </c>
      <c r="P1728" s="27" t="str">
        <f aca="false">A1728&amp;"|"&amp;N1728</f>
        <v>NURSE-09|caution</v>
      </c>
    </row>
    <row r="1729" customFormat="false" ht="15" hidden="false" customHeight="true" outlineLevel="0" collapsed="false">
      <c r="A1729" s="27" t="s">
        <v>100</v>
      </c>
      <c r="B1729" s="41" t="n">
        <v>46303.3357638889</v>
      </c>
      <c r="C1729" s="27" t="s">
        <v>200</v>
      </c>
      <c r="D1729" s="27" t="n">
        <v>36.9</v>
      </c>
      <c r="E1729" s="27" t="n">
        <v>17.6</v>
      </c>
      <c r="F1729" s="27" t="n">
        <v>33.6</v>
      </c>
      <c r="G1729" s="27" t="n">
        <v>34.7</v>
      </c>
      <c r="H1729" s="27" t="s">
        <v>196</v>
      </c>
      <c r="I1729" s="42" t="n">
        <f aca="false">(D1729-INDEX('Cohort Summary'!$D$5:$D$14,MATCH($A1729,'Cohort Summary'!$A$5:$A$14,0)))/INDEX('Cohort Summary'!$E$5:$E$14,MATCH($A1729,'Cohort Summary'!$A$5:$A$14,0))</f>
        <v>-1.36896551724138</v>
      </c>
      <c r="J1729" s="42" t="n">
        <f aca="false">(E1729-INDEX('Cohort Summary'!$F$5:$F$14,MATCH($A1729,'Cohort Summary'!$A$5:$A$14,0)))/INDEX('Cohort Summary'!$G$5:$G$14,MATCH($A1729,'Cohort Summary'!$A$5:$A$14,0))</f>
        <v>-0.207920792079207</v>
      </c>
      <c r="K1729" s="42" t="n">
        <f aca="false">(F1729-INDEX('Cohort Summary'!$H$5:$H$14,MATCH($A1729,'Cohort Summary'!$A$5:$A$14,0)))/INDEX('Cohort Summary'!$I$5:$I$14,MATCH($A1729,'Cohort Summary'!$A$5:$A$14,0))</f>
        <v>0.86024844720497</v>
      </c>
      <c r="L1729" s="42" t="n">
        <f aca="false">(G1729-INDEX('Cohort Summary'!$J$5:$J$14,MATCH($A1729,'Cohort Summary'!$A$5:$A$14,0)))/INDEX('Cohort Summary'!$K$5:$K$14,MATCH($A1729,'Cohort Summary'!$A$5:$A$14,0))</f>
        <v>2.65573770491804</v>
      </c>
      <c r="M1729" s="42" t="n">
        <f aca="false">MAX(I1729:K1729)</f>
        <v>0.86024844720497</v>
      </c>
      <c r="N1729" s="27" t="s">
        <v>201</v>
      </c>
      <c r="O1729" s="27" t="s">
        <v>228</v>
      </c>
      <c r="P1729" s="27" t="str">
        <f aca="false">A1729&amp;"|"&amp;N1729</f>
        <v>NURSE-09|caution</v>
      </c>
    </row>
    <row r="1730" customFormat="false" ht="15" hidden="false" customHeight="true" outlineLevel="0" collapsed="false">
      <c r="A1730" s="27" t="s">
        <v>100</v>
      </c>
      <c r="B1730" s="41" t="n">
        <v>46303.3361111111</v>
      </c>
      <c r="C1730" s="27" t="s">
        <v>200</v>
      </c>
      <c r="D1730" s="27" t="n">
        <v>36.3</v>
      </c>
      <c r="E1730" s="27" t="n">
        <v>17.5</v>
      </c>
      <c r="F1730" s="27" t="n">
        <v>33.3</v>
      </c>
      <c r="G1730" s="27" t="n">
        <v>33.1</v>
      </c>
      <c r="H1730" s="27" t="s">
        <v>199</v>
      </c>
      <c r="I1730" s="42" t="n">
        <f aca="false">(D1730-INDEX('Cohort Summary'!$D$5:$D$14,MATCH($A1730,'Cohort Summary'!$A$5:$A$14,0)))/INDEX('Cohort Summary'!$E$5:$E$14,MATCH($A1730,'Cohort Summary'!$A$5:$A$14,0))</f>
        <v>-1.57586206896552</v>
      </c>
      <c r="J1730" s="42" t="n">
        <f aca="false">(E1730-INDEX('Cohort Summary'!$F$5:$F$14,MATCH($A1730,'Cohort Summary'!$A$5:$A$14,0)))/INDEX('Cohort Summary'!$G$5:$G$14,MATCH($A1730,'Cohort Summary'!$A$5:$A$14,0))</f>
        <v>-0.257425742574257</v>
      </c>
      <c r="K1730" s="42" t="n">
        <f aca="false">(F1730-INDEX('Cohort Summary'!$H$5:$H$14,MATCH($A1730,'Cohort Summary'!$A$5:$A$14,0)))/INDEX('Cohort Summary'!$I$5:$I$14,MATCH($A1730,'Cohort Summary'!$A$5:$A$14,0))</f>
        <v>0.767080745341615</v>
      </c>
      <c r="L1730" s="42" t="n">
        <f aca="false">(G1730-INDEX('Cohort Summary'!$J$5:$J$14,MATCH($A1730,'Cohort Summary'!$A$5:$A$14,0)))/INDEX('Cohort Summary'!$K$5:$K$14,MATCH($A1730,'Cohort Summary'!$A$5:$A$14,0))</f>
        <v>0.0327868852459068</v>
      </c>
      <c r="M1730" s="42" t="n">
        <f aca="false">MAX(I1730:K1730)</f>
        <v>0.767080745341615</v>
      </c>
      <c r="N1730" s="27" t="s">
        <v>197</v>
      </c>
      <c r="O1730" s="27"/>
      <c r="P1730" s="27" t="str">
        <f aca="false">A1730&amp;"|"&amp;N1730</f>
        <v>NURSE-09|normal</v>
      </c>
    </row>
    <row r="1731" customFormat="false" ht="15" hidden="false" customHeight="true" outlineLevel="0" collapsed="false">
      <c r="A1731" s="27" t="s">
        <v>100</v>
      </c>
      <c r="B1731" s="41" t="n">
        <v>46303.3364583333</v>
      </c>
      <c r="C1731" s="27" t="s">
        <v>200</v>
      </c>
      <c r="D1731" s="27" t="n">
        <v>40.6</v>
      </c>
      <c r="E1731" s="27" t="n">
        <v>17.9</v>
      </c>
      <c r="F1731" s="27" t="n">
        <v>32.9</v>
      </c>
      <c r="G1731" s="27" t="n">
        <v>33.2</v>
      </c>
      <c r="H1731" s="27" t="s">
        <v>196</v>
      </c>
      <c r="I1731" s="42" t="n">
        <f aca="false">(D1731-INDEX('Cohort Summary'!$D$5:$D$14,MATCH($A1731,'Cohort Summary'!$A$5:$A$14,0)))/INDEX('Cohort Summary'!$E$5:$E$14,MATCH($A1731,'Cohort Summary'!$A$5:$A$14,0))</f>
        <v>-0.0931034482758607</v>
      </c>
      <c r="J1731" s="42" t="n">
        <f aca="false">(E1731-INDEX('Cohort Summary'!$F$5:$F$14,MATCH($A1731,'Cohort Summary'!$A$5:$A$14,0)))/INDEX('Cohort Summary'!$G$5:$G$14,MATCH($A1731,'Cohort Summary'!$A$5:$A$14,0))</f>
        <v>-0.0594059405940599</v>
      </c>
      <c r="K1731" s="42" t="n">
        <f aca="false">(F1731-INDEX('Cohort Summary'!$H$5:$H$14,MATCH($A1731,'Cohort Summary'!$A$5:$A$14,0)))/INDEX('Cohort Summary'!$I$5:$I$14,MATCH($A1731,'Cohort Summary'!$A$5:$A$14,0))</f>
        <v>0.642857142857143</v>
      </c>
      <c r="L1731" s="42" t="n">
        <f aca="false">(G1731-INDEX('Cohort Summary'!$J$5:$J$14,MATCH($A1731,'Cohort Summary'!$A$5:$A$14,0)))/INDEX('Cohort Summary'!$K$5:$K$14,MATCH($A1731,'Cohort Summary'!$A$5:$A$14,0))</f>
        <v>0.196721311475417</v>
      </c>
      <c r="M1731" s="42" t="n">
        <f aca="false">MAX(I1731:K1731)</f>
        <v>0.642857142857143</v>
      </c>
      <c r="N1731" s="27" t="s">
        <v>197</v>
      </c>
      <c r="O1731" s="27"/>
      <c r="P1731" s="27" t="str">
        <f aca="false">A1731&amp;"|"&amp;N1731</f>
        <v>NURSE-09|normal</v>
      </c>
    </row>
    <row r="1732" customFormat="false" ht="15" hidden="false" customHeight="true" outlineLevel="0" collapsed="false">
      <c r="A1732" s="27" t="s">
        <v>100</v>
      </c>
      <c r="B1732" s="41" t="n">
        <v>46303.3368055556</v>
      </c>
      <c r="C1732" s="27" t="s">
        <v>200</v>
      </c>
      <c r="D1732" s="27" t="n">
        <v>40.4</v>
      </c>
      <c r="E1732" s="27" t="n">
        <v>19.4</v>
      </c>
      <c r="F1732" s="27" t="n">
        <v>26.9</v>
      </c>
      <c r="G1732" s="27" t="n">
        <v>33.9</v>
      </c>
      <c r="H1732" s="27" t="s">
        <v>199</v>
      </c>
      <c r="I1732" s="42" t="n">
        <f aca="false">(D1732-INDEX('Cohort Summary'!$D$5:$D$14,MATCH($A1732,'Cohort Summary'!$A$5:$A$14,0)))/INDEX('Cohort Summary'!$E$5:$E$14,MATCH($A1732,'Cohort Summary'!$A$5:$A$14,0))</f>
        <v>-0.162068965517241</v>
      </c>
      <c r="J1732" s="42" t="n">
        <f aca="false">(E1732-INDEX('Cohort Summary'!$F$5:$F$14,MATCH($A1732,'Cohort Summary'!$A$5:$A$14,0)))/INDEX('Cohort Summary'!$G$5:$G$14,MATCH($A1732,'Cohort Summary'!$A$5:$A$14,0))</f>
        <v>0.683168316831683</v>
      </c>
      <c r="K1732" s="42" t="n">
        <f aca="false">(F1732-INDEX('Cohort Summary'!$H$5:$H$14,MATCH($A1732,'Cohort Summary'!$A$5:$A$14,0)))/INDEX('Cohort Summary'!$I$5:$I$14,MATCH($A1732,'Cohort Summary'!$A$5:$A$14,0))</f>
        <v>-1.22049689440994</v>
      </c>
      <c r="L1732" s="42" t="n">
        <f aca="false">(G1732-INDEX('Cohort Summary'!$J$5:$J$14,MATCH($A1732,'Cohort Summary'!$A$5:$A$14,0)))/INDEX('Cohort Summary'!$K$5:$K$14,MATCH($A1732,'Cohort Summary'!$A$5:$A$14,0))</f>
        <v>1.34426229508197</v>
      </c>
      <c r="M1732" s="42" t="n">
        <f aca="false">MAX(I1732:K1732)</f>
        <v>0.683168316831683</v>
      </c>
      <c r="N1732" s="27" t="s">
        <v>197</v>
      </c>
      <c r="O1732" s="27"/>
      <c r="P1732" s="27" t="str">
        <f aca="false">A1732&amp;"|"&amp;N1732</f>
        <v>NURSE-09|normal</v>
      </c>
    </row>
    <row r="1733" customFormat="false" ht="15" hidden="false" customHeight="true" outlineLevel="0" collapsed="false">
      <c r="A1733" s="27" t="s">
        <v>100</v>
      </c>
      <c r="B1733" s="41" t="n">
        <v>46303.3371527778</v>
      </c>
      <c r="C1733" s="27" t="s">
        <v>200</v>
      </c>
      <c r="D1733" s="27" t="n">
        <v>37</v>
      </c>
      <c r="E1733" s="27" t="n">
        <v>15.6</v>
      </c>
      <c r="F1733" s="27" t="n">
        <v>31.4</v>
      </c>
      <c r="G1733" s="27" t="n">
        <v>34.8</v>
      </c>
      <c r="H1733" s="27" t="s">
        <v>196</v>
      </c>
      <c r="I1733" s="42" t="n">
        <f aca="false">(D1733-INDEX('Cohort Summary'!$D$5:$D$14,MATCH($A1733,'Cohort Summary'!$A$5:$A$14,0)))/INDEX('Cohort Summary'!$E$5:$E$14,MATCH($A1733,'Cohort Summary'!$A$5:$A$14,0))</f>
        <v>-1.33448275862069</v>
      </c>
      <c r="J1733" s="42" t="n">
        <f aca="false">(E1733-INDEX('Cohort Summary'!$F$5:$F$14,MATCH($A1733,'Cohort Summary'!$A$5:$A$14,0)))/INDEX('Cohort Summary'!$G$5:$G$14,MATCH($A1733,'Cohort Summary'!$A$5:$A$14,0))</f>
        <v>-1.1980198019802</v>
      </c>
      <c r="K1733" s="42" t="n">
        <f aca="false">(F1733-INDEX('Cohort Summary'!$H$5:$H$14,MATCH($A1733,'Cohort Summary'!$A$5:$A$14,0)))/INDEX('Cohort Summary'!$I$5:$I$14,MATCH($A1733,'Cohort Summary'!$A$5:$A$14,0))</f>
        <v>0.177018633540373</v>
      </c>
      <c r="L1733" s="42" t="n">
        <f aca="false">(G1733-INDEX('Cohort Summary'!$J$5:$J$14,MATCH($A1733,'Cohort Summary'!$A$5:$A$14,0)))/INDEX('Cohort Summary'!$K$5:$K$14,MATCH($A1733,'Cohort Summary'!$A$5:$A$14,0))</f>
        <v>2.81967213114754</v>
      </c>
      <c r="M1733" s="42" t="n">
        <f aca="false">MAX(I1733:K1733)</f>
        <v>0.177018633540373</v>
      </c>
      <c r="N1733" s="27" t="s">
        <v>201</v>
      </c>
      <c r="O1733" s="27" t="s">
        <v>317</v>
      </c>
      <c r="P1733" s="27" t="str">
        <f aca="false">A1733&amp;"|"&amp;N1733</f>
        <v>NURSE-09|caution</v>
      </c>
    </row>
    <row r="1734" customFormat="false" ht="15" hidden="false" customHeight="true" outlineLevel="0" collapsed="false">
      <c r="A1734" s="27" t="s">
        <v>100</v>
      </c>
      <c r="B1734" s="41" t="n">
        <v>46303.3375</v>
      </c>
      <c r="C1734" s="27" t="s">
        <v>200</v>
      </c>
      <c r="D1734" s="27" t="n">
        <v>37.8</v>
      </c>
      <c r="E1734" s="27" t="n">
        <v>20.2</v>
      </c>
      <c r="F1734" s="27" t="n">
        <v>34.1</v>
      </c>
      <c r="G1734" s="27" t="n">
        <v>34</v>
      </c>
      <c r="H1734" s="27" t="s">
        <v>199</v>
      </c>
      <c r="I1734" s="42" t="n">
        <f aca="false">(D1734-INDEX('Cohort Summary'!$D$5:$D$14,MATCH($A1734,'Cohort Summary'!$A$5:$A$14,0)))/INDEX('Cohort Summary'!$E$5:$E$14,MATCH($A1734,'Cohort Summary'!$A$5:$A$14,0))</f>
        <v>-1.05862068965517</v>
      </c>
      <c r="J1734" s="42" t="n">
        <f aca="false">(E1734-INDEX('Cohort Summary'!$F$5:$F$14,MATCH($A1734,'Cohort Summary'!$A$5:$A$14,0)))/INDEX('Cohort Summary'!$G$5:$G$14,MATCH($A1734,'Cohort Summary'!$A$5:$A$14,0))</f>
        <v>1.07920792079208</v>
      </c>
      <c r="K1734" s="42" t="n">
        <f aca="false">(F1734-INDEX('Cohort Summary'!$H$5:$H$14,MATCH($A1734,'Cohort Summary'!$A$5:$A$14,0)))/INDEX('Cohort Summary'!$I$5:$I$14,MATCH($A1734,'Cohort Summary'!$A$5:$A$14,0))</f>
        <v>1.01552795031056</v>
      </c>
      <c r="L1734" s="42" t="n">
        <f aca="false">(G1734-INDEX('Cohort Summary'!$J$5:$J$14,MATCH($A1734,'Cohort Summary'!$A$5:$A$14,0)))/INDEX('Cohort Summary'!$K$5:$K$14,MATCH($A1734,'Cohort Summary'!$A$5:$A$14,0))</f>
        <v>1.50819672131148</v>
      </c>
      <c r="M1734" s="42" t="n">
        <f aca="false">MAX(I1734:K1734)</f>
        <v>1.07920792079208</v>
      </c>
      <c r="N1734" s="27" t="s">
        <v>197</v>
      </c>
      <c r="O1734" s="27"/>
      <c r="P1734" s="27" t="str">
        <f aca="false">A1734&amp;"|"&amp;N1734</f>
        <v>NURSE-09|normal</v>
      </c>
    </row>
    <row r="1735" customFormat="false" ht="15" hidden="false" customHeight="true" outlineLevel="0" collapsed="false">
      <c r="A1735" s="27" t="s">
        <v>100</v>
      </c>
      <c r="B1735" s="41" t="n">
        <v>46303.3378472222</v>
      </c>
      <c r="C1735" s="27" t="s">
        <v>200</v>
      </c>
      <c r="D1735" s="27" t="n">
        <v>37.9</v>
      </c>
      <c r="E1735" s="27" t="n">
        <v>17.3</v>
      </c>
      <c r="F1735" s="27" t="n">
        <v>31.1</v>
      </c>
      <c r="G1735" s="27" t="n">
        <v>34.5</v>
      </c>
      <c r="H1735" s="27" t="s">
        <v>199</v>
      </c>
      <c r="I1735" s="42" t="n">
        <f aca="false">(D1735-INDEX('Cohort Summary'!$D$5:$D$14,MATCH($A1735,'Cohort Summary'!$A$5:$A$14,0)))/INDEX('Cohort Summary'!$E$5:$E$14,MATCH($A1735,'Cohort Summary'!$A$5:$A$14,0))</f>
        <v>-1.02413793103448</v>
      </c>
      <c r="J1735" s="42" t="n">
        <f aca="false">(E1735-INDEX('Cohort Summary'!$F$5:$F$14,MATCH($A1735,'Cohort Summary'!$A$5:$A$14,0)))/INDEX('Cohort Summary'!$G$5:$G$14,MATCH($A1735,'Cohort Summary'!$A$5:$A$14,0))</f>
        <v>-0.356435643564356</v>
      </c>
      <c r="K1735" s="42" t="n">
        <f aca="false">(F1735-INDEX('Cohort Summary'!$H$5:$H$14,MATCH($A1735,'Cohort Summary'!$A$5:$A$14,0)))/INDEX('Cohort Summary'!$I$5:$I$14,MATCH($A1735,'Cohort Summary'!$A$5:$A$14,0))</f>
        <v>0.0838509316770196</v>
      </c>
      <c r="L1735" s="42" t="n">
        <f aca="false">(G1735-INDEX('Cohort Summary'!$J$5:$J$14,MATCH($A1735,'Cohort Summary'!$A$5:$A$14,0)))/INDEX('Cohort Summary'!$K$5:$K$14,MATCH($A1735,'Cohort Summary'!$A$5:$A$14,0))</f>
        <v>2.32786885245902</v>
      </c>
      <c r="M1735" s="42" t="n">
        <f aca="false">MAX(I1735:K1735)</f>
        <v>0.0838509316770196</v>
      </c>
      <c r="N1735" s="27" t="s">
        <v>201</v>
      </c>
      <c r="O1735" s="27" t="s">
        <v>315</v>
      </c>
      <c r="P1735" s="27" t="str">
        <f aca="false">A1735&amp;"|"&amp;N1735</f>
        <v>NURSE-09|caution</v>
      </c>
    </row>
    <row r="1736" customFormat="false" ht="15" hidden="false" customHeight="true" outlineLevel="0" collapsed="false">
      <c r="A1736" s="27" t="s">
        <v>100</v>
      </c>
      <c r="B1736" s="41" t="n">
        <v>46303.3381944444</v>
      </c>
      <c r="C1736" s="27" t="s">
        <v>200</v>
      </c>
      <c r="D1736" s="27" t="n">
        <v>40.1</v>
      </c>
      <c r="E1736" s="27" t="n">
        <v>20.8</v>
      </c>
      <c r="F1736" s="27" t="n">
        <v>31</v>
      </c>
      <c r="G1736" s="27" t="n">
        <v>33.1</v>
      </c>
      <c r="H1736" s="27" t="s">
        <v>199</v>
      </c>
      <c r="I1736" s="42" t="n">
        <f aca="false">(D1736-INDEX('Cohort Summary'!$D$5:$D$14,MATCH($A1736,'Cohort Summary'!$A$5:$A$14,0)))/INDEX('Cohort Summary'!$E$5:$E$14,MATCH($A1736,'Cohort Summary'!$A$5:$A$14,0))</f>
        <v>-0.265517241379309</v>
      </c>
      <c r="J1736" s="42" t="n">
        <f aca="false">(E1736-INDEX('Cohort Summary'!$F$5:$F$14,MATCH($A1736,'Cohort Summary'!$A$5:$A$14,0)))/INDEX('Cohort Summary'!$G$5:$G$14,MATCH($A1736,'Cohort Summary'!$A$5:$A$14,0))</f>
        <v>1.37623762376238</v>
      </c>
      <c r="K1736" s="42" t="n">
        <f aca="false">(F1736-INDEX('Cohort Summary'!$H$5:$H$14,MATCH($A1736,'Cohort Summary'!$A$5:$A$14,0)))/INDEX('Cohort Summary'!$I$5:$I$14,MATCH($A1736,'Cohort Summary'!$A$5:$A$14,0))</f>
        <v>0.0527950310559012</v>
      </c>
      <c r="L1736" s="42" t="n">
        <f aca="false">(G1736-INDEX('Cohort Summary'!$J$5:$J$14,MATCH($A1736,'Cohort Summary'!$A$5:$A$14,0)))/INDEX('Cohort Summary'!$K$5:$K$14,MATCH($A1736,'Cohort Summary'!$A$5:$A$14,0))</f>
        <v>0.0327868852459068</v>
      </c>
      <c r="M1736" s="42" t="n">
        <f aca="false">MAX(I1736:K1736)</f>
        <v>1.37623762376238</v>
      </c>
      <c r="N1736" s="27" t="s">
        <v>197</v>
      </c>
      <c r="O1736" s="27"/>
      <c r="P1736" s="27" t="str">
        <f aca="false">A1736&amp;"|"&amp;N1736</f>
        <v>NURSE-09|normal</v>
      </c>
    </row>
    <row r="1737" customFormat="false" ht="15" hidden="false" customHeight="true" outlineLevel="0" collapsed="false">
      <c r="A1737" s="27" t="s">
        <v>100</v>
      </c>
      <c r="B1737" s="41" t="n">
        <v>46303.3385416667</v>
      </c>
      <c r="C1737" s="27" t="s">
        <v>200</v>
      </c>
      <c r="D1737" s="27" t="n">
        <v>38.2</v>
      </c>
      <c r="E1737" s="27" t="n">
        <v>18.4</v>
      </c>
      <c r="F1737" s="27" t="n">
        <v>33.1</v>
      </c>
      <c r="G1737" s="27" t="n">
        <v>33.8</v>
      </c>
      <c r="H1737" s="27" t="s">
        <v>196</v>
      </c>
      <c r="I1737" s="42" t="n">
        <f aca="false">(D1737-INDEX('Cohort Summary'!$D$5:$D$14,MATCH($A1737,'Cohort Summary'!$A$5:$A$14,0)))/INDEX('Cohort Summary'!$E$5:$E$14,MATCH($A1737,'Cohort Summary'!$A$5:$A$14,0))</f>
        <v>-0.920689655172412</v>
      </c>
      <c r="J1737" s="42" t="n">
        <f aca="false">(E1737-INDEX('Cohort Summary'!$F$5:$F$14,MATCH($A1737,'Cohort Summary'!$A$5:$A$14,0)))/INDEX('Cohort Summary'!$G$5:$G$14,MATCH($A1737,'Cohort Summary'!$A$5:$A$14,0))</f>
        <v>0.188118811881188</v>
      </c>
      <c r="K1737" s="42" t="n">
        <f aca="false">(F1737-INDEX('Cohort Summary'!$H$5:$H$14,MATCH($A1737,'Cohort Summary'!$A$5:$A$14,0)))/INDEX('Cohort Summary'!$I$5:$I$14,MATCH($A1737,'Cohort Summary'!$A$5:$A$14,0))</f>
        <v>0.70496894409938</v>
      </c>
      <c r="L1737" s="42" t="n">
        <f aca="false">(G1737-INDEX('Cohort Summary'!$J$5:$J$14,MATCH($A1737,'Cohort Summary'!$A$5:$A$14,0)))/INDEX('Cohort Summary'!$K$5:$K$14,MATCH($A1737,'Cohort Summary'!$A$5:$A$14,0))</f>
        <v>1.18032786885246</v>
      </c>
      <c r="M1737" s="42" t="n">
        <f aca="false">MAX(I1737:K1737)</f>
        <v>0.70496894409938</v>
      </c>
      <c r="N1737" s="27" t="s">
        <v>197</v>
      </c>
      <c r="O1737" s="27"/>
      <c r="P1737" s="27" t="str">
        <f aca="false">A1737&amp;"|"&amp;N1737</f>
        <v>NURSE-09|normal</v>
      </c>
    </row>
    <row r="1738" customFormat="false" ht="15" hidden="false" customHeight="true" outlineLevel="0" collapsed="false">
      <c r="A1738" s="27" t="s">
        <v>100</v>
      </c>
      <c r="B1738" s="41" t="n">
        <v>46303.3388888889</v>
      </c>
      <c r="C1738" s="27" t="s">
        <v>200</v>
      </c>
      <c r="D1738" s="27" t="n">
        <v>43.5</v>
      </c>
      <c r="E1738" s="27" t="n">
        <v>20.4</v>
      </c>
      <c r="F1738" s="27" t="n">
        <v>28.1</v>
      </c>
      <c r="G1738" s="27" t="n">
        <v>33.8</v>
      </c>
      <c r="H1738" s="27" t="s">
        <v>196</v>
      </c>
      <c r="I1738" s="42" t="n">
        <f aca="false">(D1738-INDEX('Cohort Summary'!$D$5:$D$14,MATCH($A1738,'Cohort Summary'!$A$5:$A$14,0)))/INDEX('Cohort Summary'!$E$5:$E$14,MATCH($A1738,'Cohort Summary'!$A$5:$A$14,0))</f>
        <v>0.906896551724139</v>
      </c>
      <c r="J1738" s="42" t="n">
        <f aca="false">(E1738-INDEX('Cohort Summary'!$F$5:$F$14,MATCH($A1738,'Cohort Summary'!$A$5:$A$14,0)))/INDEX('Cohort Summary'!$G$5:$G$14,MATCH($A1738,'Cohort Summary'!$A$5:$A$14,0))</f>
        <v>1.17821782178218</v>
      </c>
      <c r="K1738" s="42" t="n">
        <f aca="false">(F1738-INDEX('Cohort Summary'!$H$5:$H$14,MATCH($A1738,'Cohort Summary'!$A$5:$A$14,0)))/INDEX('Cohort Summary'!$I$5:$I$14,MATCH($A1738,'Cohort Summary'!$A$5:$A$14,0))</f>
        <v>-0.847826086956521</v>
      </c>
      <c r="L1738" s="42" t="n">
        <f aca="false">(G1738-INDEX('Cohort Summary'!$J$5:$J$14,MATCH($A1738,'Cohort Summary'!$A$5:$A$14,0)))/INDEX('Cohort Summary'!$K$5:$K$14,MATCH($A1738,'Cohort Summary'!$A$5:$A$14,0))</f>
        <v>1.18032786885246</v>
      </c>
      <c r="M1738" s="42" t="n">
        <f aca="false">MAX(I1738:K1738)</f>
        <v>1.17821782178218</v>
      </c>
      <c r="N1738" s="27" t="s">
        <v>197</v>
      </c>
      <c r="O1738" s="27"/>
      <c r="P1738" s="27" t="str">
        <f aca="false">A1738&amp;"|"&amp;N1738</f>
        <v>NURSE-09|normal</v>
      </c>
    </row>
    <row r="1739" customFormat="false" ht="15" hidden="false" customHeight="true" outlineLevel="0" collapsed="false">
      <c r="A1739" s="27" t="s">
        <v>100</v>
      </c>
      <c r="B1739" s="41" t="n">
        <v>46303.3392361111</v>
      </c>
      <c r="C1739" s="27" t="s">
        <v>200</v>
      </c>
      <c r="D1739" s="27" t="n">
        <v>38.9</v>
      </c>
      <c r="E1739" s="27" t="n">
        <v>16.2</v>
      </c>
      <c r="F1739" s="27" t="n">
        <v>35.3</v>
      </c>
      <c r="G1739" s="27" t="n">
        <v>33.3</v>
      </c>
      <c r="H1739" s="27" t="s">
        <v>199</v>
      </c>
      <c r="I1739" s="42" t="n">
        <f aca="false">(D1739-INDEX('Cohort Summary'!$D$5:$D$14,MATCH($A1739,'Cohort Summary'!$A$5:$A$14,0)))/INDEX('Cohort Summary'!$E$5:$E$14,MATCH($A1739,'Cohort Summary'!$A$5:$A$14,0))</f>
        <v>-0.679310344827586</v>
      </c>
      <c r="J1739" s="42" t="n">
        <f aca="false">(E1739-INDEX('Cohort Summary'!$F$5:$F$14,MATCH($A1739,'Cohort Summary'!$A$5:$A$14,0)))/INDEX('Cohort Summary'!$G$5:$G$14,MATCH($A1739,'Cohort Summary'!$A$5:$A$14,0))</f>
        <v>-0.900990099009901</v>
      </c>
      <c r="K1739" s="42" t="n">
        <f aca="false">(F1739-INDEX('Cohort Summary'!$H$5:$H$14,MATCH($A1739,'Cohort Summary'!$A$5:$A$14,0)))/INDEX('Cohort Summary'!$I$5:$I$14,MATCH($A1739,'Cohort Summary'!$A$5:$A$14,0))</f>
        <v>1.38819875776397</v>
      </c>
      <c r="L1739" s="42" t="n">
        <f aca="false">(G1739-INDEX('Cohort Summary'!$J$5:$J$14,MATCH($A1739,'Cohort Summary'!$A$5:$A$14,0)))/INDEX('Cohort Summary'!$K$5:$K$14,MATCH($A1739,'Cohort Summary'!$A$5:$A$14,0))</f>
        <v>0.360655737704916</v>
      </c>
      <c r="M1739" s="42" t="n">
        <f aca="false">MAX(I1739:K1739)</f>
        <v>1.38819875776397</v>
      </c>
      <c r="N1739" s="27" t="s">
        <v>197</v>
      </c>
      <c r="O1739" s="27"/>
      <c r="P1739" s="27" t="str">
        <f aca="false">A1739&amp;"|"&amp;N1739</f>
        <v>NURSE-09|normal</v>
      </c>
    </row>
    <row r="1740" customFormat="false" ht="15" hidden="false" customHeight="true" outlineLevel="0" collapsed="false">
      <c r="A1740" s="27" t="s">
        <v>100</v>
      </c>
      <c r="B1740" s="41" t="n">
        <v>46303.3395833333</v>
      </c>
      <c r="C1740" s="27" t="s">
        <v>200</v>
      </c>
      <c r="D1740" s="27" t="n">
        <v>37.5</v>
      </c>
      <c r="E1740" s="27" t="n">
        <v>21</v>
      </c>
      <c r="F1740" s="27" t="n">
        <v>31.2</v>
      </c>
      <c r="G1740" s="27" t="n">
        <v>33.3</v>
      </c>
      <c r="H1740" s="27" t="s">
        <v>199</v>
      </c>
      <c r="I1740" s="42" t="n">
        <f aca="false">(D1740-INDEX('Cohort Summary'!$D$5:$D$14,MATCH($A1740,'Cohort Summary'!$A$5:$A$14,0)))/INDEX('Cohort Summary'!$E$5:$E$14,MATCH($A1740,'Cohort Summary'!$A$5:$A$14,0))</f>
        <v>-1.16206896551724</v>
      </c>
      <c r="J1740" s="42" t="n">
        <f aca="false">(E1740-INDEX('Cohort Summary'!$F$5:$F$14,MATCH($A1740,'Cohort Summary'!$A$5:$A$14,0)))/INDEX('Cohort Summary'!$G$5:$G$14,MATCH($A1740,'Cohort Summary'!$A$5:$A$14,0))</f>
        <v>1.47524752475248</v>
      </c>
      <c r="K1740" s="42" t="n">
        <f aca="false">(F1740-INDEX('Cohort Summary'!$H$5:$H$14,MATCH($A1740,'Cohort Summary'!$A$5:$A$14,0)))/INDEX('Cohort Summary'!$I$5:$I$14,MATCH($A1740,'Cohort Summary'!$A$5:$A$14,0))</f>
        <v>0.114906832298137</v>
      </c>
      <c r="L1740" s="42" t="n">
        <f aca="false">(G1740-INDEX('Cohort Summary'!$J$5:$J$14,MATCH($A1740,'Cohort Summary'!$A$5:$A$14,0)))/INDEX('Cohort Summary'!$K$5:$K$14,MATCH($A1740,'Cohort Summary'!$A$5:$A$14,0))</f>
        <v>0.360655737704916</v>
      </c>
      <c r="M1740" s="42" t="n">
        <f aca="false">MAX(I1740:K1740)</f>
        <v>1.47524752475248</v>
      </c>
      <c r="N1740" s="27" t="s">
        <v>197</v>
      </c>
      <c r="O1740" s="27"/>
      <c r="P1740" s="27" t="str">
        <f aca="false">A1740&amp;"|"&amp;N1740</f>
        <v>NURSE-09|normal</v>
      </c>
    </row>
    <row r="1741" customFormat="false" ht="15" hidden="false" customHeight="true" outlineLevel="0" collapsed="false">
      <c r="A1741" s="27" t="s">
        <v>100</v>
      </c>
      <c r="B1741" s="41" t="n">
        <v>46303.3399305556</v>
      </c>
      <c r="C1741" s="27" t="s">
        <v>200</v>
      </c>
      <c r="D1741" s="27" t="n">
        <v>45.2</v>
      </c>
      <c r="E1741" s="27" t="n">
        <v>17.3</v>
      </c>
      <c r="F1741" s="27" t="n">
        <v>32.6</v>
      </c>
      <c r="G1741" s="27" t="n">
        <v>33.6</v>
      </c>
      <c r="H1741" s="27" t="s">
        <v>199</v>
      </c>
      <c r="I1741" s="42" t="n">
        <f aca="false">(D1741-INDEX('Cohort Summary'!$D$5:$D$14,MATCH($A1741,'Cohort Summary'!$A$5:$A$14,0)))/INDEX('Cohort Summary'!$E$5:$E$14,MATCH($A1741,'Cohort Summary'!$A$5:$A$14,0))</f>
        <v>1.49310344827586</v>
      </c>
      <c r="J1741" s="42" t="n">
        <f aca="false">(E1741-INDEX('Cohort Summary'!$F$5:$F$14,MATCH($A1741,'Cohort Summary'!$A$5:$A$14,0)))/INDEX('Cohort Summary'!$G$5:$G$14,MATCH($A1741,'Cohort Summary'!$A$5:$A$14,0))</f>
        <v>-0.356435643564356</v>
      </c>
      <c r="K1741" s="42" t="n">
        <f aca="false">(F1741-INDEX('Cohort Summary'!$H$5:$H$14,MATCH($A1741,'Cohort Summary'!$A$5:$A$14,0)))/INDEX('Cohort Summary'!$I$5:$I$14,MATCH($A1741,'Cohort Summary'!$A$5:$A$14,0))</f>
        <v>0.54968944099379</v>
      </c>
      <c r="L1741" s="42" t="n">
        <f aca="false">(G1741-INDEX('Cohort Summary'!$J$5:$J$14,MATCH($A1741,'Cohort Summary'!$A$5:$A$14,0)))/INDEX('Cohort Summary'!$K$5:$K$14,MATCH($A1741,'Cohort Summary'!$A$5:$A$14,0))</f>
        <v>0.852459016393448</v>
      </c>
      <c r="M1741" s="42" t="n">
        <f aca="false">MAX(I1741:K1741)</f>
        <v>1.49310344827586</v>
      </c>
      <c r="N1741" s="27" t="s">
        <v>197</v>
      </c>
      <c r="O1741" s="27"/>
      <c r="P1741" s="27" t="str">
        <f aca="false">A1741&amp;"|"&amp;N1741</f>
        <v>NURSE-09|normal</v>
      </c>
    </row>
    <row r="1742" customFormat="false" ht="15" hidden="false" customHeight="true" outlineLevel="0" collapsed="false">
      <c r="A1742" s="27" t="s">
        <v>100</v>
      </c>
      <c r="B1742" s="41" t="n">
        <v>46303.3402777778</v>
      </c>
      <c r="C1742" s="27" t="s">
        <v>200</v>
      </c>
      <c r="D1742" s="27" t="n">
        <v>41.6</v>
      </c>
      <c r="E1742" s="27" t="n">
        <v>20.8</v>
      </c>
      <c r="F1742" s="27" t="n">
        <v>27.1</v>
      </c>
      <c r="G1742" s="27" t="n">
        <v>34.6</v>
      </c>
      <c r="H1742" s="27" t="s">
        <v>198</v>
      </c>
      <c r="I1742" s="42" t="n">
        <f aca="false">(D1742-INDEX('Cohort Summary'!$D$5:$D$14,MATCH($A1742,'Cohort Summary'!$A$5:$A$14,0)))/INDEX('Cohort Summary'!$E$5:$E$14,MATCH($A1742,'Cohort Summary'!$A$5:$A$14,0))</f>
        <v>0.251724137931036</v>
      </c>
      <c r="J1742" s="42" t="n">
        <f aca="false">(E1742-INDEX('Cohort Summary'!$F$5:$F$14,MATCH($A1742,'Cohort Summary'!$A$5:$A$14,0)))/INDEX('Cohort Summary'!$G$5:$G$14,MATCH($A1742,'Cohort Summary'!$A$5:$A$14,0))</f>
        <v>1.37623762376238</v>
      </c>
      <c r="K1742" s="42" t="n">
        <f aca="false">(F1742-INDEX('Cohort Summary'!$H$5:$H$14,MATCH($A1742,'Cohort Summary'!$A$5:$A$14,0)))/INDEX('Cohort Summary'!$I$5:$I$14,MATCH($A1742,'Cohort Summary'!$A$5:$A$14,0))</f>
        <v>-1.1583850931677</v>
      </c>
      <c r="L1742" s="42" t="n">
        <f aca="false">(G1742-INDEX('Cohort Summary'!$J$5:$J$14,MATCH($A1742,'Cohort Summary'!$A$5:$A$14,0)))/INDEX('Cohort Summary'!$K$5:$K$14,MATCH($A1742,'Cohort Summary'!$A$5:$A$14,0))</f>
        <v>2.49180327868853</v>
      </c>
      <c r="M1742" s="42" t="n">
        <f aca="false">MAX(I1742:K1742)</f>
        <v>1.37623762376238</v>
      </c>
      <c r="N1742" s="27" t="s">
        <v>201</v>
      </c>
      <c r="O1742" s="27" t="s">
        <v>316</v>
      </c>
      <c r="P1742" s="27" t="str">
        <f aca="false">A1742&amp;"|"&amp;N1742</f>
        <v>NURSE-09|caution</v>
      </c>
    </row>
    <row r="1743" customFormat="false" ht="15" hidden="false" customHeight="true" outlineLevel="0" collapsed="false">
      <c r="A1743" s="27" t="s">
        <v>100</v>
      </c>
      <c r="B1743" s="41" t="n">
        <v>46303.340625</v>
      </c>
      <c r="C1743" s="27" t="s">
        <v>200</v>
      </c>
      <c r="D1743" s="27" t="n">
        <v>42.5</v>
      </c>
      <c r="E1743" s="27" t="n">
        <v>15.6</v>
      </c>
      <c r="F1743" s="27" t="n">
        <v>31.5</v>
      </c>
      <c r="G1743" s="27" t="n">
        <v>33.9</v>
      </c>
      <c r="H1743" s="27" t="s">
        <v>196</v>
      </c>
      <c r="I1743" s="42" t="n">
        <f aca="false">(D1743-INDEX('Cohort Summary'!$D$5:$D$14,MATCH($A1743,'Cohort Summary'!$A$5:$A$14,0)))/INDEX('Cohort Summary'!$E$5:$E$14,MATCH($A1743,'Cohort Summary'!$A$5:$A$14,0))</f>
        <v>0.562068965517242</v>
      </c>
      <c r="J1743" s="42" t="n">
        <f aca="false">(E1743-INDEX('Cohort Summary'!$F$5:$F$14,MATCH($A1743,'Cohort Summary'!$A$5:$A$14,0)))/INDEX('Cohort Summary'!$G$5:$G$14,MATCH($A1743,'Cohort Summary'!$A$5:$A$14,0))</f>
        <v>-1.1980198019802</v>
      </c>
      <c r="K1743" s="42" t="n">
        <f aca="false">(F1743-INDEX('Cohort Summary'!$H$5:$H$14,MATCH($A1743,'Cohort Summary'!$A$5:$A$14,0)))/INDEX('Cohort Summary'!$I$5:$I$14,MATCH($A1743,'Cohort Summary'!$A$5:$A$14,0))</f>
        <v>0.208074534161491</v>
      </c>
      <c r="L1743" s="42" t="n">
        <f aca="false">(G1743-INDEX('Cohort Summary'!$J$5:$J$14,MATCH($A1743,'Cohort Summary'!$A$5:$A$14,0)))/INDEX('Cohort Summary'!$K$5:$K$14,MATCH($A1743,'Cohort Summary'!$A$5:$A$14,0))</f>
        <v>1.34426229508197</v>
      </c>
      <c r="M1743" s="42" t="n">
        <f aca="false">MAX(I1743:K1743)</f>
        <v>0.562068965517242</v>
      </c>
      <c r="N1743" s="27" t="s">
        <v>197</v>
      </c>
      <c r="O1743" s="27"/>
      <c r="P1743" s="27" t="str">
        <f aca="false">A1743&amp;"|"&amp;N1743</f>
        <v>NURSE-09|normal</v>
      </c>
    </row>
    <row r="1744" customFormat="false" ht="15" hidden="false" customHeight="true" outlineLevel="0" collapsed="false">
      <c r="A1744" s="27" t="s">
        <v>100</v>
      </c>
      <c r="B1744" s="41" t="n">
        <v>46303.3409722222</v>
      </c>
      <c r="C1744" s="27" t="s">
        <v>200</v>
      </c>
      <c r="D1744" s="27" t="n">
        <v>44.9</v>
      </c>
      <c r="E1744" s="27" t="n">
        <v>16.3</v>
      </c>
      <c r="F1744" s="27" t="n">
        <v>33.8</v>
      </c>
      <c r="G1744" s="27" t="n">
        <v>34.4</v>
      </c>
      <c r="H1744" s="27" t="s">
        <v>199</v>
      </c>
      <c r="I1744" s="42" t="n">
        <f aca="false">(D1744-INDEX('Cohort Summary'!$D$5:$D$14,MATCH($A1744,'Cohort Summary'!$A$5:$A$14,0)))/INDEX('Cohort Summary'!$E$5:$E$14,MATCH($A1744,'Cohort Summary'!$A$5:$A$14,0))</f>
        <v>1.38965517241379</v>
      </c>
      <c r="J1744" s="42" t="n">
        <f aca="false">(E1744-INDEX('Cohort Summary'!$F$5:$F$14,MATCH($A1744,'Cohort Summary'!$A$5:$A$14,0)))/INDEX('Cohort Summary'!$G$5:$G$14,MATCH($A1744,'Cohort Summary'!$A$5:$A$14,0))</f>
        <v>-0.851485148514851</v>
      </c>
      <c r="K1744" s="42" t="n">
        <f aca="false">(F1744-INDEX('Cohort Summary'!$H$5:$H$14,MATCH($A1744,'Cohort Summary'!$A$5:$A$14,0)))/INDEX('Cohort Summary'!$I$5:$I$14,MATCH($A1744,'Cohort Summary'!$A$5:$A$14,0))</f>
        <v>0.922360248447205</v>
      </c>
      <c r="L1744" s="42" t="n">
        <f aca="false">(G1744-INDEX('Cohort Summary'!$J$5:$J$14,MATCH($A1744,'Cohort Summary'!$A$5:$A$14,0)))/INDEX('Cohort Summary'!$K$5:$K$14,MATCH($A1744,'Cohort Summary'!$A$5:$A$14,0))</f>
        <v>2.16393442622951</v>
      </c>
      <c r="M1744" s="42" t="n">
        <f aca="false">MAX(I1744:K1744)</f>
        <v>1.38965517241379</v>
      </c>
      <c r="N1744" s="27" t="s">
        <v>201</v>
      </c>
      <c r="O1744" s="27" t="s">
        <v>318</v>
      </c>
      <c r="P1744" s="27" t="str">
        <f aca="false">A1744&amp;"|"&amp;N1744</f>
        <v>NURSE-09|caution</v>
      </c>
    </row>
    <row r="1745" customFormat="false" ht="15" hidden="false" customHeight="true" outlineLevel="0" collapsed="false">
      <c r="A1745" s="27" t="s">
        <v>100</v>
      </c>
      <c r="B1745" s="41" t="n">
        <v>46303.3413194444</v>
      </c>
      <c r="C1745" s="27" t="s">
        <v>200</v>
      </c>
      <c r="D1745" s="27" t="n">
        <v>37.9</v>
      </c>
      <c r="E1745" s="27" t="n">
        <v>19.9</v>
      </c>
      <c r="F1745" s="27" t="n">
        <v>34.1</v>
      </c>
      <c r="G1745" s="27" t="n">
        <v>33.5</v>
      </c>
      <c r="H1745" s="27" t="s">
        <v>199</v>
      </c>
      <c r="I1745" s="42" t="n">
        <f aca="false">(D1745-INDEX('Cohort Summary'!$D$5:$D$14,MATCH($A1745,'Cohort Summary'!$A$5:$A$14,0)))/INDEX('Cohort Summary'!$E$5:$E$14,MATCH($A1745,'Cohort Summary'!$A$5:$A$14,0))</f>
        <v>-1.02413793103448</v>
      </c>
      <c r="J1745" s="42" t="n">
        <f aca="false">(E1745-INDEX('Cohort Summary'!$F$5:$F$14,MATCH($A1745,'Cohort Summary'!$A$5:$A$14,0)))/INDEX('Cohort Summary'!$G$5:$G$14,MATCH($A1745,'Cohort Summary'!$A$5:$A$14,0))</f>
        <v>0.93069306930693</v>
      </c>
      <c r="K1745" s="42" t="n">
        <f aca="false">(F1745-INDEX('Cohort Summary'!$H$5:$H$14,MATCH($A1745,'Cohort Summary'!$A$5:$A$14,0)))/INDEX('Cohort Summary'!$I$5:$I$14,MATCH($A1745,'Cohort Summary'!$A$5:$A$14,0))</f>
        <v>1.01552795031056</v>
      </c>
      <c r="L1745" s="42" t="n">
        <f aca="false">(G1745-INDEX('Cohort Summary'!$J$5:$J$14,MATCH($A1745,'Cohort Summary'!$A$5:$A$14,0)))/INDEX('Cohort Summary'!$K$5:$K$14,MATCH($A1745,'Cohort Summary'!$A$5:$A$14,0))</f>
        <v>0.688524590163937</v>
      </c>
      <c r="M1745" s="42" t="n">
        <f aca="false">MAX(I1745:K1745)</f>
        <v>1.01552795031056</v>
      </c>
      <c r="N1745" s="27" t="s">
        <v>197</v>
      </c>
      <c r="O1745" s="27"/>
      <c r="P1745" s="27" t="str">
        <f aca="false">A1745&amp;"|"&amp;N1745</f>
        <v>NURSE-09|normal</v>
      </c>
    </row>
    <row r="1746" customFormat="false" ht="15" hidden="false" customHeight="true" outlineLevel="0" collapsed="false">
      <c r="A1746" s="27" t="s">
        <v>100</v>
      </c>
      <c r="B1746" s="41" t="n">
        <v>46303.3416666667</v>
      </c>
      <c r="C1746" s="27" t="s">
        <v>200</v>
      </c>
      <c r="D1746" s="27" t="n">
        <v>36.4</v>
      </c>
      <c r="E1746" s="27" t="n">
        <v>21.9</v>
      </c>
      <c r="F1746" s="27" t="n">
        <v>33.6</v>
      </c>
      <c r="G1746" s="27" t="n">
        <v>34.4</v>
      </c>
      <c r="H1746" s="27" t="s">
        <v>196</v>
      </c>
      <c r="I1746" s="42" t="n">
        <f aca="false">(D1746-INDEX('Cohort Summary'!$D$5:$D$14,MATCH($A1746,'Cohort Summary'!$A$5:$A$14,0)))/INDEX('Cohort Summary'!$E$5:$E$14,MATCH($A1746,'Cohort Summary'!$A$5:$A$14,0))</f>
        <v>-1.54137931034483</v>
      </c>
      <c r="J1746" s="42" t="n">
        <f aca="false">(E1746-INDEX('Cohort Summary'!$F$5:$F$14,MATCH($A1746,'Cohort Summary'!$A$5:$A$14,0)))/INDEX('Cohort Summary'!$G$5:$G$14,MATCH($A1746,'Cohort Summary'!$A$5:$A$14,0))</f>
        <v>1.92079207920792</v>
      </c>
      <c r="K1746" s="42" t="n">
        <f aca="false">(F1746-INDEX('Cohort Summary'!$H$5:$H$14,MATCH($A1746,'Cohort Summary'!$A$5:$A$14,0)))/INDEX('Cohort Summary'!$I$5:$I$14,MATCH($A1746,'Cohort Summary'!$A$5:$A$14,0))</f>
        <v>0.86024844720497</v>
      </c>
      <c r="L1746" s="42" t="n">
        <f aca="false">(G1746-INDEX('Cohort Summary'!$J$5:$J$14,MATCH($A1746,'Cohort Summary'!$A$5:$A$14,0)))/INDEX('Cohort Summary'!$K$5:$K$14,MATCH($A1746,'Cohort Summary'!$A$5:$A$14,0))</f>
        <v>2.16393442622951</v>
      </c>
      <c r="M1746" s="42" t="n">
        <f aca="false">MAX(I1746:K1746)</f>
        <v>1.92079207920792</v>
      </c>
      <c r="N1746" s="27" t="s">
        <v>201</v>
      </c>
      <c r="O1746" s="27" t="s">
        <v>318</v>
      </c>
      <c r="P1746" s="27" t="str">
        <f aca="false">A1746&amp;"|"&amp;N1746</f>
        <v>NURSE-09|caution</v>
      </c>
    </row>
    <row r="1747" customFormat="false" ht="15" hidden="false" customHeight="true" outlineLevel="0" collapsed="false">
      <c r="A1747" s="27" t="s">
        <v>100</v>
      </c>
      <c r="B1747" s="41" t="n">
        <v>46303.3420138889</v>
      </c>
      <c r="C1747" s="27" t="s">
        <v>200</v>
      </c>
      <c r="D1747" s="27" t="n">
        <v>36.2</v>
      </c>
      <c r="E1747" s="27" t="n">
        <v>18.7</v>
      </c>
      <c r="F1747" s="27" t="n">
        <v>26.7</v>
      </c>
      <c r="G1747" s="27" t="n">
        <v>35</v>
      </c>
      <c r="H1747" s="27" t="s">
        <v>199</v>
      </c>
      <c r="I1747" s="42" t="n">
        <f aca="false">(D1747-INDEX('Cohort Summary'!$D$5:$D$14,MATCH($A1747,'Cohort Summary'!$A$5:$A$14,0)))/INDEX('Cohort Summary'!$E$5:$E$14,MATCH($A1747,'Cohort Summary'!$A$5:$A$14,0))</f>
        <v>-1.61034482758621</v>
      </c>
      <c r="J1747" s="42" t="n">
        <f aca="false">(E1747-INDEX('Cohort Summary'!$F$5:$F$14,MATCH($A1747,'Cohort Summary'!$A$5:$A$14,0)))/INDEX('Cohort Summary'!$G$5:$G$14,MATCH($A1747,'Cohort Summary'!$A$5:$A$14,0))</f>
        <v>0.336633663366337</v>
      </c>
      <c r="K1747" s="42" t="n">
        <f aca="false">(F1747-INDEX('Cohort Summary'!$H$5:$H$14,MATCH($A1747,'Cohort Summary'!$A$5:$A$14,0)))/INDEX('Cohort Summary'!$I$5:$I$14,MATCH($A1747,'Cohort Summary'!$A$5:$A$14,0))</f>
        <v>-1.28260869565217</v>
      </c>
      <c r="L1747" s="42" t="n">
        <f aca="false">(G1747-INDEX('Cohort Summary'!$J$5:$J$14,MATCH($A1747,'Cohort Summary'!$A$5:$A$14,0)))/INDEX('Cohort Summary'!$K$5:$K$14,MATCH($A1747,'Cohort Summary'!$A$5:$A$14,0))</f>
        <v>3.14754098360656</v>
      </c>
      <c r="M1747" s="42" t="n">
        <f aca="false">MAX(I1747:K1747)</f>
        <v>0.336633663366337</v>
      </c>
      <c r="N1747" s="27" t="s">
        <v>201</v>
      </c>
      <c r="O1747" s="27" t="s">
        <v>319</v>
      </c>
      <c r="P1747" s="27" t="str">
        <f aca="false">A1747&amp;"|"&amp;N1747</f>
        <v>NURSE-09|caution</v>
      </c>
    </row>
    <row r="1748" customFormat="false" ht="15" hidden="false" customHeight="true" outlineLevel="0" collapsed="false">
      <c r="A1748" s="27" t="s">
        <v>100</v>
      </c>
      <c r="B1748" s="41" t="n">
        <v>46303.3423611111</v>
      </c>
      <c r="C1748" s="27" t="s">
        <v>200</v>
      </c>
      <c r="D1748" s="27" t="n">
        <v>40.7</v>
      </c>
      <c r="E1748" s="27" t="n">
        <v>18.7</v>
      </c>
      <c r="F1748" s="27" t="n">
        <v>32.7</v>
      </c>
      <c r="G1748" s="27" t="n">
        <v>33.8</v>
      </c>
      <c r="H1748" s="27" t="s">
        <v>198</v>
      </c>
      <c r="I1748" s="42" t="n">
        <f aca="false">(D1748-INDEX('Cohort Summary'!$D$5:$D$14,MATCH($A1748,'Cohort Summary'!$A$5:$A$14,0)))/INDEX('Cohort Summary'!$E$5:$E$14,MATCH($A1748,'Cohort Summary'!$A$5:$A$14,0))</f>
        <v>-0.0586206896551706</v>
      </c>
      <c r="J1748" s="42" t="n">
        <f aca="false">(E1748-INDEX('Cohort Summary'!$F$5:$F$14,MATCH($A1748,'Cohort Summary'!$A$5:$A$14,0)))/INDEX('Cohort Summary'!$G$5:$G$14,MATCH($A1748,'Cohort Summary'!$A$5:$A$14,0))</f>
        <v>0.336633663366337</v>
      </c>
      <c r="K1748" s="42" t="n">
        <f aca="false">(F1748-INDEX('Cohort Summary'!$H$5:$H$14,MATCH($A1748,'Cohort Summary'!$A$5:$A$14,0)))/INDEX('Cohort Summary'!$I$5:$I$14,MATCH($A1748,'Cohort Summary'!$A$5:$A$14,0))</f>
        <v>0.580745341614908</v>
      </c>
      <c r="L1748" s="42" t="n">
        <f aca="false">(G1748-INDEX('Cohort Summary'!$J$5:$J$14,MATCH($A1748,'Cohort Summary'!$A$5:$A$14,0)))/INDEX('Cohort Summary'!$K$5:$K$14,MATCH($A1748,'Cohort Summary'!$A$5:$A$14,0))</f>
        <v>1.18032786885246</v>
      </c>
      <c r="M1748" s="42" t="n">
        <f aca="false">MAX(I1748:K1748)</f>
        <v>0.580745341614908</v>
      </c>
      <c r="N1748" s="27" t="s">
        <v>197</v>
      </c>
      <c r="O1748" s="27"/>
      <c r="P1748" s="27" t="str">
        <f aca="false">A1748&amp;"|"&amp;N1748</f>
        <v>NURSE-09|normal</v>
      </c>
    </row>
    <row r="1749" customFormat="false" ht="15" hidden="false" customHeight="true" outlineLevel="0" collapsed="false">
      <c r="A1749" s="27" t="s">
        <v>100</v>
      </c>
      <c r="B1749" s="41" t="n">
        <v>46303.3427083333</v>
      </c>
      <c r="C1749" s="27" t="s">
        <v>200</v>
      </c>
      <c r="D1749" s="27" t="n">
        <v>36.1</v>
      </c>
      <c r="E1749" s="27" t="n">
        <v>20.1</v>
      </c>
      <c r="F1749" s="27" t="n">
        <v>33.2</v>
      </c>
      <c r="G1749" s="27" t="n">
        <v>34.7</v>
      </c>
      <c r="H1749" s="27" t="s">
        <v>196</v>
      </c>
      <c r="I1749" s="42" t="n">
        <f aca="false">(D1749-INDEX('Cohort Summary'!$D$5:$D$14,MATCH($A1749,'Cohort Summary'!$A$5:$A$14,0)))/INDEX('Cohort Summary'!$E$5:$E$14,MATCH($A1749,'Cohort Summary'!$A$5:$A$14,0))</f>
        <v>-1.6448275862069</v>
      </c>
      <c r="J1749" s="42" t="n">
        <f aca="false">(E1749-INDEX('Cohort Summary'!$F$5:$F$14,MATCH($A1749,'Cohort Summary'!$A$5:$A$14,0)))/INDEX('Cohort Summary'!$G$5:$G$14,MATCH($A1749,'Cohort Summary'!$A$5:$A$14,0))</f>
        <v>1.02970297029703</v>
      </c>
      <c r="K1749" s="42" t="n">
        <f aca="false">(F1749-INDEX('Cohort Summary'!$H$5:$H$14,MATCH($A1749,'Cohort Summary'!$A$5:$A$14,0)))/INDEX('Cohort Summary'!$I$5:$I$14,MATCH($A1749,'Cohort Summary'!$A$5:$A$14,0))</f>
        <v>0.736024844720498</v>
      </c>
      <c r="L1749" s="42" t="n">
        <f aca="false">(G1749-INDEX('Cohort Summary'!$J$5:$J$14,MATCH($A1749,'Cohort Summary'!$A$5:$A$14,0)))/INDEX('Cohort Summary'!$K$5:$K$14,MATCH($A1749,'Cohort Summary'!$A$5:$A$14,0))</f>
        <v>2.65573770491804</v>
      </c>
      <c r="M1749" s="42" t="n">
        <f aca="false">MAX(I1749:K1749)</f>
        <v>1.02970297029703</v>
      </c>
      <c r="N1749" s="27" t="s">
        <v>201</v>
      </c>
      <c r="O1749" s="27" t="s">
        <v>228</v>
      </c>
      <c r="P1749" s="27" t="str">
        <f aca="false">A1749&amp;"|"&amp;N1749</f>
        <v>NURSE-09|caution</v>
      </c>
    </row>
    <row r="1750" customFormat="false" ht="15" hidden="false" customHeight="true" outlineLevel="0" collapsed="false">
      <c r="A1750" s="27" t="s">
        <v>100</v>
      </c>
      <c r="B1750" s="41" t="n">
        <v>46303.3430555556</v>
      </c>
      <c r="C1750" s="27" t="s">
        <v>200</v>
      </c>
      <c r="D1750" s="27" t="n">
        <v>36.4</v>
      </c>
      <c r="E1750" s="27" t="n">
        <v>21.7</v>
      </c>
      <c r="F1750" s="27" t="n">
        <v>28</v>
      </c>
      <c r="G1750" s="27" t="n">
        <v>33.5</v>
      </c>
      <c r="H1750" s="27" t="s">
        <v>198</v>
      </c>
      <c r="I1750" s="42" t="n">
        <f aca="false">(D1750-INDEX('Cohort Summary'!$D$5:$D$14,MATCH($A1750,'Cohort Summary'!$A$5:$A$14,0)))/INDEX('Cohort Summary'!$E$5:$E$14,MATCH($A1750,'Cohort Summary'!$A$5:$A$14,0))</f>
        <v>-1.54137931034483</v>
      </c>
      <c r="J1750" s="42" t="n">
        <f aca="false">(E1750-INDEX('Cohort Summary'!$F$5:$F$14,MATCH($A1750,'Cohort Summary'!$A$5:$A$14,0)))/INDEX('Cohort Summary'!$G$5:$G$14,MATCH($A1750,'Cohort Summary'!$A$5:$A$14,0))</f>
        <v>1.82178217821782</v>
      </c>
      <c r="K1750" s="42" t="n">
        <f aca="false">(F1750-INDEX('Cohort Summary'!$H$5:$H$14,MATCH($A1750,'Cohort Summary'!$A$5:$A$14,0)))/INDEX('Cohort Summary'!$I$5:$I$14,MATCH($A1750,'Cohort Summary'!$A$5:$A$14,0))</f>
        <v>-0.878881987577639</v>
      </c>
      <c r="L1750" s="42" t="n">
        <f aca="false">(G1750-INDEX('Cohort Summary'!$J$5:$J$14,MATCH($A1750,'Cohort Summary'!$A$5:$A$14,0)))/INDEX('Cohort Summary'!$K$5:$K$14,MATCH($A1750,'Cohort Summary'!$A$5:$A$14,0))</f>
        <v>0.688524590163937</v>
      </c>
      <c r="M1750" s="42" t="n">
        <f aca="false">MAX(I1750:K1750)</f>
        <v>1.82178217821782</v>
      </c>
      <c r="N1750" s="27" t="s">
        <v>197</v>
      </c>
      <c r="O1750" s="27"/>
      <c r="P1750" s="27" t="str">
        <f aca="false">A1750&amp;"|"&amp;N1750</f>
        <v>NURSE-09|normal</v>
      </c>
    </row>
    <row r="1751" customFormat="false" ht="15" hidden="false" customHeight="true" outlineLevel="0" collapsed="false">
      <c r="A1751" s="27" t="s">
        <v>100</v>
      </c>
      <c r="B1751" s="41" t="n">
        <v>46303.3434027778</v>
      </c>
      <c r="C1751" s="27" t="s">
        <v>200</v>
      </c>
      <c r="D1751" s="27" t="n">
        <v>37.6</v>
      </c>
      <c r="E1751" s="27" t="n">
        <v>20.3</v>
      </c>
      <c r="F1751" s="27" t="n">
        <v>26.1</v>
      </c>
      <c r="G1751" s="27" t="n">
        <v>33.7</v>
      </c>
      <c r="H1751" s="27" t="s">
        <v>199</v>
      </c>
      <c r="I1751" s="42" t="n">
        <f aca="false">(D1751-INDEX('Cohort Summary'!$D$5:$D$14,MATCH($A1751,'Cohort Summary'!$A$5:$A$14,0)))/INDEX('Cohort Summary'!$E$5:$E$14,MATCH($A1751,'Cohort Summary'!$A$5:$A$14,0))</f>
        <v>-1.12758620689655</v>
      </c>
      <c r="J1751" s="42" t="n">
        <f aca="false">(E1751-INDEX('Cohort Summary'!$F$5:$F$14,MATCH($A1751,'Cohort Summary'!$A$5:$A$14,0)))/INDEX('Cohort Summary'!$G$5:$G$14,MATCH($A1751,'Cohort Summary'!$A$5:$A$14,0))</f>
        <v>1.12871287128713</v>
      </c>
      <c r="K1751" s="42" t="n">
        <f aca="false">(F1751-INDEX('Cohort Summary'!$H$5:$H$14,MATCH($A1751,'Cohort Summary'!$A$5:$A$14,0)))/INDEX('Cohort Summary'!$I$5:$I$14,MATCH($A1751,'Cohort Summary'!$A$5:$A$14,0))</f>
        <v>-1.46894409937888</v>
      </c>
      <c r="L1751" s="42" t="n">
        <f aca="false">(G1751-INDEX('Cohort Summary'!$J$5:$J$14,MATCH($A1751,'Cohort Summary'!$A$5:$A$14,0)))/INDEX('Cohort Summary'!$K$5:$K$14,MATCH($A1751,'Cohort Summary'!$A$5:$A$14,0))</f>
        <v>1.01639344262296</v>
      </c>
      <c r="M1751" s="42" t="n">
        <f aca="false">MAX(I1751:K1751)</f>
        <v>1.12871287128713</v>
      </c>
      <c r="N1751" s="27" t="s">
        <v>197</v>
      </c>
      <c r="O1751" s="27"/>
      <c r="P1751" s="27" t="str">
        <f aca="false">A1751&amp;"|"&amp;N1751</f>
        <v>NURSE-09|normal</v>
      </c>
    </row>
    <row r="1752" customFormat="false" ht="15" hidden="false" customHeight="true" outlineLevel="0" collapsed="false">
      <c r="A1752" s="27" t="s">
        <v>100</v>
      </c>
      <c r="B1752" s="41" t="n">
        <v>46303.34375</v>
      </c>
      <c r="C1752" s="27" t="s">
        <v>200</v>
      </c>
      <c r="D1752" s="27" t="n">
        <v>39.1</v>
      </c>
      <c r="E1752" s="27" t="n">
        <v>18.5</v>
      </c>
      <c r="F1752" s="27" t="n">
        <v>27.3</v>
      </c>
      <c r="G1752" s="27" t="n">
        <v>34.4</v>
      </c>
      <c r="H1752" s="27" t="s">
        <v>198</v>
      </c>
      <c r="I1752" s="42" t="n">
        <f aca="false">(D1752-INDEX('Cohort Summary'!$D$5:$D$14,MATCH($A1752,'Cohort Summary'!$A$5:$A$14,0)))/INDEX('Cohort Summary'!$E$5:$E$14,MATCH($A1752,'Cohort Summary'!$A$5:$A$14,0))</f>
        <v>-0.610344827586206</v>
      </c>
      <c r="J1752" s="42" t="n">
        <f aca="false">(E1752-INDEX('Cohort Summary'!$F$5:$F$14,MATCH($A1752,'Cohort Summary'!$A$5:$A$14,0)))/INDEX('Cohort Summary'!$G$5:$G$14,MATCH($A1752,'Cohort Summary'!$A$5:$A$14,0))</f>
        <v>0.237623762376238</v>
      </c>
      <c r="K1752" s="42" t="n">
        <f aca="false">(F1752-INDEX('Cohort Summary'!$H$5:$H$14,MATCH($A1752,'Cohort Summary'!$A$5:$A$14,0)))/INDEX('Cohort Summary'!$I$5:$I$14,MATCH($A1752,'Cohort Summary'!$A$5:$A$14,0))</f>
        <v>-1.09627329192547</v>
      </c>
      <c r="L1752" s="42" t="n">
        <f aca="false">(G1752-INDEX('Cohort Summary'!$J$5:$J$14,MATCH($A1752,'Cohort Summary'!$A$5:$A$14,0)))/INDEX('Cohort Summary'!$K$5:$K$14,MATCH($A1752,'Cohort Summary'!$A$5:$A$14,0))</f>
        <v>2.16393442622951</v>
      </c>
      <c r="M1752" s="42" t="n">
        <f aca="false">MAX(I1752:K1752)</f>
        <v>0.237623762376238</v>
      </c>
      <c r="N1752" s="27" t="s">
        <v>201</v>
      </c>
      <c r="O1752" s="27" t="s">
        <v>318</v>
      </c>
      <c r="P1752" s="27" t="str">
        <f aca="false">A1752&amp;"|"&amp;N1752</f>
        <v>NURSE-09|caution</v>
      </c>
    </row>
    <row r="1753" customFormat="false" ht="15" hidden="false" customHeight="true" outlineLevel="0" collapsed="false">
      <c r="A1753" s="27" t="s">
        <v>100</v>
      </c>
      <c r="B1753" s="41" t="n">
        <v>46303.3440972222</v>
      </c>
      <c r="C1753" s="27" t="s">
        <v>200</v>
      </c>
      <c r="D1753" s="27" t="n">
        <v>40.9</v>
      </c>
      <c r="E1753" s="27" t="n">
        <v>21.8</v>
      </c>
      <c r="F1753" s="27" t="n">
        <v>34.4</v>
      </c>
      <c r="G1753" s="27" t="n">
        <v>33.9</v>
      </c>
      <c r="H1753" s="27" t="s">
        <v>198</v>
      </c>
      <c r="I1753" s="42" t="n">
        <f aca="false">(D1753-INDEX('Cohort Summary'!$D$5:$D$14,MATCH($A1753,'Cohort Summary'!$A$5:$A$14,0)))/INDEX('Cohort Summary'!$E$5:$E$14,MATCH($A1753,'Cohort Summary'!$A$5:$A$14,0))</f>
        <v>0.0103448275862073</v>
      </c>
      <c r="J1753" s="42" t="n">
        <f aca="false">(E1753-INDEX('Cohort Summary'!$F$5:$F$14,MATCH($A1753,'Cohort Summary'!$A$5:$A$14,0)))/INDEX('Cohort Summary'!$G$5:$G$14,MATCH($A1753,'Cohort Summary'!$A$5:$A$14,0))</f>
        <v>1.87128712871287</v>
      </c>
      <c r="K1753" s="42" t="n">
        <f aca="false">(F1753-INDEX('Cohort Summary'!$H$5:$H$14,MATCH($A1753,'Cohort Summary'!$A$5:$A$14,0)))/INDEX('Cohort Summary'!$I$5:$I$14,MATCH($A1753,'Cohort Summary'!$A$5:$A$14,0))</f>
        <v>1.10869565217391</v>
      </c>
      <c r="L1753" s="42" t="n">
        <f aca="false">(G1753-INDEX('Cohort Summary'!$J$5:$J$14,MATCH($A1753,'Cohort Summary'!$A$5:$A$14,0)))/INDEX('Cohort Summary'!$K$5:$K$14,MATCH($A1753,'Cohort Summary'!$A$5:$A$14,0))</f>
        <v>1.34426229508197</v>
      </c>
      <c r="M1753" s="42" t="n">
        <f aca="false">MAX(I1753:K1753)</f>
        <v>1.87128712871287</v>
      </c>
      <c r="N1753" s="27" t="s">
        <v>197</v>
      </c>
      <c r="O1753" s="27"/>
      <c r="P1753" s="27" t="str">
        <f aca="false">A1753&amp;"|"&amp;N1753</f>
        <v>NURSE-09|normal</v>
      </c>
    </row>
    <row r="1754" customFormat="false" ht="15" hidden="false" customHeight="true" outlineLevel="0" collapsed="false">
      <c r="A1754" s="27" t="s">
        <v>100</v>
      </c>
      <c r="B1754" s="41" t="n">
        <v>46303.3444444445</v>
      </c>
      <c r="C1754" s="27" t="s">
        <v>200</v>
      </c>
      <c r="D1754" s="27" t="n">
        <v>44.9</v>
      </c>
      <c r="E1754" s="27" t="n">
        <v>19</v>
      </c>
      <c r="F1754" s="27" t="n">
        <v>31.3</v>
      </c>
      <c r="G1754" s="27" t="n">
        <v>33.9</v>
      </c>
      <c r="H1754" s="27" t="s">
        <v>199</v>
      </c>
      <c r="I1754" s="42" t="n">
        <f aca="false">(D1754-INDEX('Cohort Summary'!$D$5:$D$14,MATCH($A1754,'Cohort Summary'!$A$5:$A$14,0)))/INDEX('Cohort Summary'!$E$5:$E$14,MATCH($A1754,'Cohort Summary'!$A$5:$A$14,0))</f>
        <v>1.38965517241379</v>
      </c>
      <c r="J1754" s="42" t="n">
        <f aca="false">(E1754-INDEX('Cohort Summary'!$F$5:$F$14,MATCH($A1754,'Cohort Summary'!$A$5:$A$14,0)))/INDEX('Cohort Summary'!$G$5:$G$14,MATCH($A1754,'Cohort Summary'!$A$5:$A$14,0))</f>
        <v>0.485148514851485</v>
      </c>
      <c r="K1754" s="42" t="n">
        <f aca="false">(F1754-INDEX('Cohort Summary'!$H$5:$H$14,MATCH($A1754,'Cohort Summary'!$A$5:$A$14,0)))/INDEX('Cohort Summary'!$I$5:$I$14,MATCH($A1754,'Cohort Summary'!$A$5:$A$14,0))</f>
        <v>0.145962732919255</v>
      </c>
      <c r="L1754" s="42" t="n">
        <f aca="false">(G1754-INDEX('Cohort Summary'!$J$5:$J$14,MATCH($A1754,'Cohort Summary'!$A$5:$A$14,0)))/INDEX('Cohort Summary'!$K$5:$K$14,MATCH($A1754,'Cohort Summary'!$A$5:$A$14,0))</f>
        <v>1.34426229508197</v>
      </c>
      <c r="M1754" s="42" t="n">
        <f aca="false">MAX(I1754:K1754)</f>
        <v>1.38965517241379</v>
      </c>
      <c r="N1754" s="27" t="s">
        <v>197</v>
      </c>
      <c r="O1754" s="27"/>
      <c r="P1754" s="27" t="str">
        <f aca="false">A1754&amp;"|"&amp;N1754</f>
        <v>NURSE-09|normal</v>
      </c>
    </row>
    <row r="1755" customFormat="false" ht="15" hidden="false" customHeight="true" outlineLevel="0" collapsed="false">
      <c r="A1755" s="27" t="s">
        <v>100</v>
      </c>
      <c r="B1755" s="41" t="n">
        <v>46303.3447916667</v>
      </c>
      <c r="C1755" s="27" t="s">
        <v>200</v>
      </c>
      <c r="D1755" s="27" t="n">
        <v>37.2</v>
      </c>
      <c r="E1755" s="27" t="n">
        <v>20</v>
      </c>
      <c r="F1755" s="27" t="n">
        <v>29.3</v>
      </c>
      <c r="G1755" s="27" t="n">
        <v>33.7</v>
      </c>
      <c r="H1755" s="27" t="s">
        <v>198</v>
      </c>
      <c r="I1755" s="42" t="n">
        <f aca="false">(D1755-INDEX('Cohort Summary'!$D$5:$D$14,MATCH($A1755,'Cohort Summary'!$A$5:$A$14,0)))/INDEX('Cohort Summary'!$E$5:$E$14,MATCH($A1755,'Cohort Summary'!$A$5:$A$14,0))</f>
        <v>-1.26551724137931</v>
      </c>
      <c r="J1755" s="42" t="n">
        <f aca="false">(E1755-INDEX('Cohort Summary'!$F$5:$F$14,MATCH($A1755,'Cohort Summary'!$A$5:$A$14,0)))/INDEX('Cohort Summary'!$G$5:$G$14,MATCH($A1755,'Cohort Summary'!$A$5:$A$14,0))</f>
        <v>0.98019801980198</v>
      </c>
      <c r="K1755" s="42" t="n">
        <f aca="false">(F1755-INDEX('Cohort Summary'!$H$5:$H$14,MATCH($A1755,'Cohort Summary'!$A$5:$A$14,0)))/INDEX('Cohort Summary'!$I$5:$I$14,MATCH($A1755,'Cohort Summary'!$A$5:$A$14,0))</f>
        <v>-0.475155279503105</v>
      </c>
      <c r="L1755" s="42" t="n">
        <f aca="false">(G1755-INDEX('Cohort Summary'!$J$5:$J$14,MATCH($A1755,'Cohort Summary'!$A$5:$A$14,0)))/INDEX('Cohort Summary'!$K$5:$K$14,MATCH($A1755,'Cohort Summary'!$A$5:$A$14,0))</f>
        <v>1.01639344262296</v>
      </c>
      <c r="M1755" s="42" t="n">
        <f aca="false">MAX(I1755:K1755)</f>
        <v>0.98019801980198</v>
      </c>
      <c r="N1755" s="27" t="s">
        <v>197</v>
      </c>
      <c r="O1755" s="27"/>
      <c r="P1755" s="27" t="str">
        <f aca="false">A1755&amp;"|"&amp;N1755</f>
        <v>NURSE-09|normal</v>
      </c>
    </row>
    <row r="1756" customFormat="false" ht="15" hidden="false" customHeight="true" outlineLevel="0" collapsed="false">
      <c r="A1756" s="27" t="s">
        <v>100</v>
      </c>
      <c r="B1756" s="41" t="n">
        <v>46303.3451388889</v>
      </c>
      <c r="C1756" s="27" t="s">
        <v>200</v>
      </c>
      <c r="D1756" s="27" t="n">
        <v>43.7</v>
      </c>
      <c r="E1756" s="27" t="n">
        <v>19</v>
      </c>
      <c r="F1756" s="27" t="n">
        <v>34.3</v>
      </c>
      <c r="G1756" s="27" t="n">
        <v>33.8</v>
      </c>
      <c r="H1756" s="27" t="s">
        <v>199</v>
      </c>
      <c r="I1756" s="42" t="n">
        <f aca="false">(D1756-INDEX('Cohort Summary'!$D$5:$D$14,MATCH($A1756,'Cohort Summary'!$A$5:$A$14,0)))/INDEX('Cohort Summary'!$E$5:$E$14,MATCH($A1756,'Cohort Summary'!$A$5:$A$14,0))</f>
        <v>0.975862068965519</v>
      </c>
      <c r="J1756" s="42" t="n">
        <f aca="false">(E1756-INDEX('Cohort Summary'!$F$5:$F$14,MATCH($A1756,'Cohort Summary'!$A$5:$A$14,0)))/INDEX('Cohort Summary'!$G$5:$G$14,MATCH($A1756,'Cohort Summary'!$A$5:$A$14,0))</f>
        <v>0.485148514851485</v>
      </c>
      <c r="K1756" s="42" t="n">
        <f aca="false">(F1756-INDEX('Cohort Summary'!$H$5:$H$14,MATCH($A1756,'Cohort Summary'!$A$5:$A$14,0)))/INDEX('Cohort Summary'!$I$5:$I$14,MATCH($A1756,'Cohort Summary'!$A$5:$A$14,0))</f>
        <v>1.07763975155279</v>
      </c>
      <c r="L1756" s="42" t="n">
        <f aca="false">(G1756-INDEX('Cohort Summary'!$J$5:$J$14,MATCH($A1756,'Cohort Summary'!$A$5:$A$14,0)))/INDEX('Cohort Summary'!$K$5:$K$14,MATCH($A1756,'Cohort Summary'!$A$5:$A$14,0))</f>
        <v>1.18032786885246</v>
      </c>
      <c r="M1756" s="42" t="n">
        <f aca="false">MAX(I1756:K1756)</f>
        <v>1.07763975155279</v>
      </c>
      <c r="N1756" s="27" t="s">
        <v>197</v>
      </c>
      <c r="O1756" s="27"/>
      <c r="P1756" s="27" t="str">
        <f aca="false">A1756&amp;"|"&amp;N1756</f>
        <v>NURSE-09|normal</v>
      </c>
    </row>
    <row r="1757" customFormat="false" ht="15" hidden="false" customHeight="true" outlineLevel="0" collapsed="false">
      <c r="A1757" s="27" t="s">
        <v>100</v>
      </c>
      <c r="B1757" s="41" t="n">
        <v>46303.3454861111</v>
      </c>
      <c r="C1757" s="27" t="s">
        <v>200</v>
      </c>
      <c r="D1757" s="27" t="n">
        <v>41.1</v>
      </c>
      <c r="E1757" s="27" t="n">
        <v>19.4</v>
      </c>
      <c r="F1757" s="27" t="n">
        <v>28.4</v>
      </c>
      <c r="G1757" s="27" t="n">
        <v>35.1</v>
      </c>
      <c r="H1757" s="27" t="s">
        <v>199</v>
      </c>
      <c r="I1757" s="42" t="n">
        <f aca="false">(D1757-INDEX('Cohort Summary'!$D$5:$D$14,MATCH($A1757,'Cohort Summary'!$A$5:$A$14,0)))/INDEX('Cohort Summary'!$E$5:$E$14,MATCH($A1757,'Cohort Summary'!$A$5:$A$14,0))</f>
        <v>0.0793103448275876</v>
      </c>
      <c r="J1757" s="42" t="n">
        <f aca="false">(E1757-INDEX('Cohort Summary'!$F$5:$F$14,MATCH($A1757,'Cohort Summary'!$A$5:$A$14,0)))/INDEX('Cohort Summary'!$G$5:$G$14,MATCH($A1757,'Cohort Summary'!$A$5:$A$14,0))</f>
        <v>0.683168316831683</v>
      </c>
      <c r="K1757" s="42" t="n">
        <f aca="false">(F1757-INDEX('Cohort Summary'!$H$5:$H$14,MATCH($A1757,'Cohort Summary'!$A$5:$A$14,0)))/INDEX('Cohort Summary'!$I$5:$I$14,MATCH($A1757,'Cohort Summary'!$A$5:$A$14,0))</f>
        <v>-0.754658385093168</v>
      </c>
      <c r="L1757" s="42" t="n">
        <f aca="false">(G1757-INDEX('Cohort Summary'!$J$5:$J$14,MATCH($A1757,'Cohort Summary'!$A$5:$A$14,0)))/INDEX('Cohort Summary'!$K$5:$K$14,MATCH($A1757,'Cohort Summary'!$A$5:$A$14,0))</f>
        <v>3.31147540983607</v>
      </c>
      <c r="M1757" s="42" t="n">
        <f aca="false">MAX(I1757:K1757)</f>
        <v>0.683168316831683</v>
      </c>
      <c r="N1757" s="27" t="s">
        <v>201</v>
      </c>
      <c r="O1757" s="27" t="s">
        <v>320</v>
      </c>
      <c r="P1757" s="27" t="str">
        <f aca="false">A1757&amp;"|"&amp;N1757</f>
        <v>NURSE-09|caution</v>
      </c>
    </row>
    <row r="1758" customFormat="false" ht="15" hidden="false" customHeight="true" outlineLevel="0" collapsed="false">
      <c r="A1758" s="27" t="s">
        <v>100</v>
      </c>
      <c r="B1758" s="41" t="n">
        <v>46303.3458333333</v>
      </c>
      <c r="C1758" s="27" t="s">
        <v>200</v>
      </c>
      <c r="D1758" s="27" t="n">
        <v>41.9</v>
      </c>
      <c r="E1758" s="27" t="n">
        <v>21.7</v>
      </c>
      <c r="F1758" s="27" t="n">
        <v>28.6</v>
      </c>
      <c r="G1758" s="27" t="n">
        <v>34.1</v>
      </c>
      <c r="H1758" s="27" t="s">
        <v>198</v>
      </c>
      <c r="I1758" s="42" t="n">
        <f aca="false">(D1758-INDEX('Cohort Summary'!$D$5:$D$14,MATCH($A1758,'Cohort Summary'!$A$5:$A$14,0)))/INDEX('Cohort Summary'!$E$5:$E$14,MATCH($A1758,'Cohort Summary'!$A$5:$A$14,0))</f>
        <v>0.355172413793104</v>
      </c>
      <c r="J1758" s="42" t="n">
        <f aca="false">(E1758-INDEX('Cohort Summary'!$F$5:$F$14,MATCH($A1758,'Cohort Summary'!$A$5:$A$14,0)))/INDEX('Cohort Summary'!$G$5:$G$14,MATCH($A1758,'Cohort Summary'!$A$5:$A$14,0))</f>
        <v>1.82178217821782</v>
      </c>
      <c r="K1758" s="42" t="n">
        <f aca="false">(F1758-INDEX('Cohort Summary'!$H$5:$H$14,MATCH($A1758,'Cohort Summary'!$A$5:$A$14,0)))/INDEX('Cohort Summary'!$I$5:$I$14,MATCH($A1758,'Cohort Summary'!$A$5:$A$14,0))</f>
        <v>-0.692546583850931</v>
      </c>
      <c r="L1758" s="42" t="n">
        <f aca="false">(G1758-INDEX('Cohort Summary'!$J$5:$J$14,MATCH($A1758,'Cohort Summary'!$A$5:$A$14,0)))/INDEX('Cohort Summary'!$K$5:$K$14,MATCH($A1758,'Cohort Summary'!$A$5:$A$14,0))</f>
        <v>1.67213114754099</v>
      </c>
      <c r="M1758" s="42" t="n">
        <f aca="false">MAX(I1758:K1758)</f>
        <v>1.82178217821782</v>
      </c>
      <c r="N1758" s="27" t="s">
        <v>197</v>
      </c>
      <c r="O1758" s="27"/>
      <c r="P1758" s="27" t="str">
        <f aca="false">A1758&amp;"|"&amp;N1758</f>
        <v>NURSE-09|normal</v>
      </c>
    </row>
    <row r="1759" customFormat="false" ht="15" hidden="false" customHeight="true" outlineLevel="0" collapsed="false">
      <c r="A1759" s="27" t="s">
        <v>100</v>
      </c>
      <c r="B1759" s="41" t="n">
        <v>46303.3461805556</v>
      </c>
      <c r="C1759" s="27" t="s">
        <v>200</v>
      </c>
      <c r="D1759" s="27" t="n">
        <v>37.5</v>
      </c>
      <c r="E1759" s="27" t="n">
        <v>20.7</v>
      </c>
      <c r="F1759" s="27" t="n">
        <v>28.7</v>
      </c>
      <c r="G1759" s="27" t="n">
        <v>33.9</v>
      </c>
      <c r="H1759" s="27" t="s">
        <v>198</v>
      </c>
      <c r="I1759" s="42" t="n">
        <f aca="false">(D1759-INDEX('Cohort Summary'!$D$5:$D$14,MATCH($A1759,'Cohort Summary'!$A$5:$A$14,0)))/INDEX('Cohort Summary'!$E$5:$E$14,MATCH($A1759,'Cohort Summary'!$A$5:$A$14,0))</f>
        <v>-1.16206896551724</v>
      </c>
      <c r="J1759" s="42" t="n">
        <f aca="false">(E1759-INDEX('Cohort Summary'!$F$5:$F$14,MATCH($A1759,'Cohort Summary'!$A$5:$A$14,0)))/INDEX('Cohort Summary'!$G$5:$G$14,MATCH($A1759,'Cohort Summary'!$A$5:$A$14,0))</f>
        <v>1.32673267326733</v>
      </c>
      <c r="K1759" s="42" t="n">
        <f aca="false">(F1759-INDEX('Cohort Summary'!$H$5:$H$14,MATCH($A1759,'Cohort Summary'!$A$5:$A$14,0)))/INDEX('Cohort Summary'!$I$5:$I$14,MATCH($A1759,'Cohort Summary'!$A$5:$A$14,0))</f>
        <v>-0.661490683229813</v>
      </c>
      <c r="L1759" s="42" t="n">
        <f aca="false">(G1759-INDEX('Cohort Summary'!$J$5:$J$14,MATCH($A1759,'Cohort Summary'!$A$5:$A$14,0)))/INDEX('Cohort Summary'!$K$5:$K$14,MATCH($A1759,'Cohort Summary'!$A$5:$A$14,0))</f>
        <v>1.34426229508197</v>
      </c>
      <c r="M1759" s="42" t="n">
        <f aca="false">MAX(I1759:K1759)</f>
        <v>1.32673267326733</v>
      </c>
      <c r="N1759" s="27" t="s">
        <v>197</v>
      </c>
      <c r="O1759" s="27"/>
      <c r="P1759" s="27" t="str">
        <f aca="false">A1759&amp;"|"&amp;N1759</f>
        <v>NURSE-09|normal</v>
      </c>
    </row>
    <row r="1760" customFormat="false" ht="15" hidden="false" customHeight="true" outlineLevel="0" collapsed="false">
      <c r="A1760" s="27" t="s">
        <v>100</v>
      </c>
      <c r="B1760" s="41" t="n">
        <v>46303.3465277778</v>
      </c>
      <c r="C1760" s="27" t="s">
        <v>200</v>
      </c>
      <c r="D1760" s="27" t="n">
        <v>40.8</v>
      </c>
      <c r="E1760" s="27" t="n">
        <v>18.3</v>
      </c>
      <c r="F1760" s="27" t="n">
        <v>33.5</v>
      </c>
      <c r="G1760" s="27" t="n">
        <v>33.9</v>
      </c>
      <c r="H1760" s="27" t="s">
        <v>196</v>
      </c>
      <c r="I1760" s="42" t="n">
        <f aca="false">(D1760-INDEX('Cohort Summary'!$D$5:$D$14,MATCH($A1760,'Cohort Summary'!$A$5:$A$14,0)))/INDEX('Cohort Summary'!$E$5:$E$14,MATCH($A1760,'Cohort Summary'!$A$5:$A$14,0))</f>
        <v>-0.0241379310344829</v>
      </c>
      <c r="J1760" s="42" t="n">
        <f aca="false">(E1760-INDEX('Cohort Summary'!$F$5:$F$14,MATCH($A1760,'Cohort Summary'!$A$5:$A$14,0)))/INDEX('Cohort Summary'!$G$5:$G$14,MATCH($A1760,'Cohort Summary'!$A$5:$A$14,0))</f>
        <v>0.138613861386139</v>
      </c>
      <c r="K1760" s="42" t="n">
        <f aca="false">(F1760-INDEX('Cohort Summary'!$H$5:$H$14,MATCH($A1760,'Cohort Summary'!$A$5:$A$14,0)))/INDEX('Cohort Summary'!$I$5:$I$14,MATCH($A1760,'Cohort Summary'!$A$5:$A$14,0))</f>
        <v>0.829192546583851</v>
      </c>
      <c r="L1760" s="42" t="n">
        <f aca="false">(G1760-INDEX('Cohort Summary'!$J$5:$J$14,MATCH($A1760,'Cohort Summary'!$A$5:$A$14,0)))/INDEX('Cohort Summary'!$K$5:$K$14,MATCH($A1760,'Cohort Summary'!$A$5:$A$14,0))</f>
        <v>1.34426229508197</v>
      </c>
      <c r="M1760" s="42" t="n">
        <f aca="false">MAX(I1760:K1760)</f>
        <v>0.829192546583851</v>
      </c>
      <c r="N1760" s="27" t="s">
        <v>197</v>
      </c>
      <c r="O1760" s="27"/>
      <c r="P1760" s="27" t="str">
        <f aca="false">A1760&amp;"|"&amp;N1760</f>
        <v>NURSE-09|normal</v>
      </c>
    </row>
    <row r="1761" customFormat="false" ht="15" hidden="false" customHeight="true" outlineLevel="0" collapsed="false">
      <c r="A1761" s="27" t="s">
        <v>100</v>
      </c>
      <c r="B1761" s="41" t="n">
        <v>46303.346875</v>
      </c>
      <c r="C1761" s="27" t="s">
        <v>200</v>
      </c>
      <c r="D1761" s="27" t="n">
        <v>37.6</v>
      </c>
      <c r="E1761" s="27" t="n">
        <v>21.4</v>
      </c>
      <c r="F1761" s="27" t="n">
        <v>33</v>
      </c>
      <c r="G1761" s="27" t="n">
        <v>34.8</v>
      </c>
      <c r="H1761" s="27" t="s">
        <v>198</v>
      </c>
      <c r="I1761" s="42" t="n">
        <f aca="false">(D1761-INDEX('Cohort Summary'!$D$5:$D$14,MATCH($A1761,'Cohort Summary'!$A$5:$A$14,0)))/INDEX('Cohort Summary'!$E$5:$E$14,MATCH($A1761,'Cohort Summary'!$A$5:$A$14,0))</f>
        <v>-1.12758620689655</v>
      </c>
      <c r="J1761" s="42" t="n">
        <f aca="false">(E1761-INDEX('Cohort Summary'!$F$5:$F$14,MATCH($A1761,'Cohort Summary'!$A$5:$A$14,0)))/INDEX('Cohort Summary'!$G$5:$G$14,MATCH($A1761,'Cohort Summary'!$A$5:$A$14,0))</f>
        <v>1.67326732673267</v>
      </c>
      <c r="K1761" s="42" t="n">
        <f aca="false">(F1761-INDEX('Cohort Summary'!$H$5:$H$14,MATCH($A1761,'Cohort Summary'!$A$5:$A$14,0)))/INDEX('Cohort Summary'!$I$5:$I$14,MATCH($A1761,'Cohort Summary'!$A$5:$A$14,0))</f>
        <v>0.673913043478261</v>
      </c>
      <c r="L1761" s="42" t="n">
        <f aca="false">(G1761-INDEX('Cohort Summary'!$J$5:$J$14,MATCH($A1761,'Cohort Summary'!$A$5:$A$14,0)))/INDEX('Cohort Summary'!$K$5:$K$14,MATCH($A1761,'Cohort Summary'!$A$5:$A$14,0))</f>
        <v>2.81967213114754</v>
      </c>
      <c r="M1761" s="42" t="n">
        <f aca="false">MAX(I1761:K1761)</f>
        <v>1.67326732673267</v>
      </c>
      <c r="N1761" s="27" t="s">
        <v>201</v>
      </c>
      <c r="O1761" s="27" t="s">
        <v>317</v>
      </c>
      <c r="P1761" s="27" t="str">
        <f aca="false">A1761&amp;"|"&amp;N1761</f>
        <v>NURSE-09|caution</v>
      </c>
    </row>
    <row r="1762" customFormat="false" ht="15" hidden="false" customHeight="true" outlineLevel="0" collapsed="false">
      <c r="A1762" s="27" t="s">
        <v>100</v>
      </c>
      <c r="B1762" s="41" t="n">
        <v>46303.3472222222</v>
      </c>
      <c r="C1762" s="27" t="s">
        <v>200</v>
      </c>
      <c r="D1762" s="27" t="n">
        <v>38.3</v>
      </c>
      <c r="E1762" s="27" t="n">
        <v>21.3</v>
      </c>
      <c r="F1762" s="27" t="n">
        <v>29.6</v>
      </c>
      <c r="G1762" s="27" t="n">
        <v>35.6</v>
      </c>
      <c r="H1762" s="27" t="s">
        <v>196</v>
      </c>
      <c r="I1762" s="42" t="n">
        <f aca="false">(D1762-INDEX('Cohort Summary'!$D$5:$D$14,MATCH($A1762,'Cohort Summary'!$A$5:$A$14,0)))/INDEX('Cohort Summary'!$E$5:$E$14,MATCH($A1762,'Cohort Summary'!$A$5:$A$14,0))</f>
        <v>-0.886206896551724</v>
      </c>
      <c r="J1762" s="42" t="n">
        <f aca="false">(E1762-INDEX('Cohort Summary'!$F$5:$F$14,MATCH($A1762,'Cohort Summary'!$A$5:$A$14,0)))/INDEX('Cohort Summary'!$G$5:$G$14,MATCH($A1762,'Cohort Summary'!$A$5:$A$14,0))</f>
        <v>1.62376237623762</v>
      </c>
      <c r="K1762" s="42" t="n">
        <f aca="false">(F1762-INDEX('Cohort Summary'!$H$5:$H$14,MATCH($A1762,'Cohort Summary'!$A$5:$A$14,0)))/INDEX('Cohort Summary'!$I$5:$I$14,MATCH($A1762,'Cohort Summary'!$A$5:$A$14,0))</f>
        <v>-0.381987577639751</v>
      </c>
      <c r="L1762" s="42" t="n">
        <f aca="false">(G1762-INDEX('Cohort Summary'!$J$5:$J$14,MATCH($A1762,'Cohort Summary'!$A$5:$A$14,0)))/INDEX('Cohort Summary'!$K$5:$K$14,MATCH($A1762,'Cohort Summary'!$A$5:$A$14,0))</f>
        <v>4.13114754098361</v>
      </c>
      <c r="M1762" s="42" t="n">
        <f aca="false">MAX(I1762:K1762)</f>
        <v>1.62376237623762</v>
      </c>
      <c r="N1762" s="27" t="s">
        <v>201</v>
      </c>
      <c r="O1762" s="27" t="s">
        <v>229</v>
      </c>
      <c r="P1762" s="27" t="str">
        <f aca="false">A1762&amp;"|"&amp;N1762</f>
        <v>NURSE-09|caution</v>
      </c>
    </row>
    <row r="1763" customFormat="false" ht="15" hidden="false" customHeight="true" outlineLevel="0" collapsed="false">
      <c r="A1763" s="27" t="s">
        <v>100</v>
      </c>
      <c r="B1763" s="41" t="n">
        <v>46303.3475694444</v>
      </c>
      <c r="C1763" s="27" t="s">
        <v>200</v>
      </c>
      <c r="D1763" s="27" t="n">
        <v>45.7</v>
      </c>
      <c r="E1763" s="27" t="n">
        <v>16.9</v>
      </c>
      <c r="F1763" s="27" t="n">
        <v>33.5</v>
      </c>
      <c r="G1763" s="27" t="n">
        <v>35.8</v>
      </c>
      <c r="H1763" s="27" t="s">
        <v>196</v>
      </c>
      <c r="I1763" s="42" t="n">
        <f aca="false">(D1763-INDEX('Cohort Summary'!$D$5:$D$14,MATCH($A1763,'Cohort Summary'!$A$5:$A$14,0)))/INDEX('Cohort Summary'!$E$5:$E$14,MATCH($A1763,'Cohort Summary'!$A$5:$A$14,0))</f>
        <v>1.66551724137931</v>
      </c>
      <c r="J1763" s="42" t="n">
        <f aca="false">(E1763-INDEX('Cohort Summary'!$F$5:$F$14,MATCH($A1763,'Cohort Summary'!$A$5:$A$14,0)))/INDEX('Cohort Summary'!$G$5:$G$14,MATCH($A1763,'Cohort Summary'!$A$5:$A$14,0))</f>
        <v>-0.554455445544555</v>
      </c>
      <c r="K1763" s="42" t="n">
        <f aca="false">(F1763-INDEX('Cohort Summary'!$H$5:$H$14,MATCH($A1763,'Cohort Summary'!$A$5:$A$14,0)))/INDEX('Cohort Summary'!$I$5:$I$14,MATCH($A1763,'Cohort Summary'!$A$5:$A$14,0))</f>
        <v>0.829192546583851</v>
      </c>
      <c r="L1763" s="42" t="n">
        <f aca="false">(G1763-INDEX('Cohort Summary'!$J$5:$J$14,MATCH($A1763,'Cohort Summary'!$A$5:$A$14,0)))/INDEX('Cohort Summary'!$K$5:$K$14,MATCH($A1763,'Cohort Summary'!$A$5:$A$14,0))</f>
        <v>4.45901639344262</v>
      </c>
      <c r="M1763" s="42" t="n">
        <f aca="false">MAX(I1763:K1763)</f>
        <v>1.66551724137931</v>
      </c>
      <c r="N1763" s="27" t="s">
        <v>201</v>
      </c>
      <c r="O1763" s="27" t="s">
        <v>321</v>
      </c>
      <c r="P1763" s="27" t="str">
        <f aca="false">A1763&amp;"|"&amp;N1763</f>
        <v>NURSE-09|caution</v>
      </c>
    </row>
    <row r="1764" customFormat="false" ht="15" hidden="false" customHeight="true" outlineLevel="0" collapsed="false">
      <c r="A1764" s="27" t="s">
        <v>100</v>
      </c>
      <c r="B1764" s="41" t="n">
        <v>46303.3479166667</v>
      </c>
      <c r="C1764" s="27" t="s">
        <v>200</v>
      </c>
      <c r="D1764" s="27" t="n">
        <v>42.3</v>
      </c>
      <c r="E1764" s="27" t="n">
        <v>15.8</v>
      </c>
      <c r="F1764" s="27" t="n">
        <v>31.2</v>
      </c>
      <c r="G1764" s="27" t="n">
        <v>34.9</v>
      </c>
      <c r="H1764" s="27" t="s">
        <v>196</v>
      </c>
      <c r="I1764" s="42" t="n">
        <f aca="false">(D1764-INDEX('Cohort Summary'!$D$5:$D$14,MATCH($A1764,'Cohort Summary'!$A$5:$A$14,0)))/INDEX('Cohort Summary'!$E$5:$E$14,MATCH($A1764,'Cohort Summary'!$A$5:$A$14,0))</f>
        <v>0.493103448275862</v>
      </c>
      <c r="J1764" s="42" t="n">
        <f aca="false">(E1764-INDEX('Cohort Summary'!$F$5:$F$14,MATCH($A1764,'Cohort Summary'!$A$5:$A$14,0)))/INDEX('Cohort Summary'!$G$5:$G$14,MATCH($A1764,'Cohort Summary'!$A$5:$A$14,0))</f>
        <v>-1.0990099009901</v>
      </c>
      <c r="K1764" s="42" t="n">
        <f aca="false">(F1764-INDEX('Cohort Summary'!$H$5:$H$14,MATCH($A1764,'Cohort Summary'!$A$5:$A$14,0)))/INDEX('Cohort Summary'!$I$5:$I$14,MATCH($A1764,'Cohort Summary'!$A$5:$A$14,0))</f>
        <v>0.114906832298137</v>
      </c>
      <c r="L1764" s="42" t="n">
        <f aca="false">(G1764-INDEX('Cohort Summary'!$J$5:$J$14,MATCH($A1764,'Cohort Summary'!$A$5:$A$14,0)))/INDEX('Cohort Summary'!$K$5:$K$14,MATCH($A1764,'Cohort Summary'!$A$5:$A$14,0))</f>
        <v>2.98360655737705</v>
      </c>
      <c r="M1764" s="42" t="n">
        <f aca="false">MAX(I1764:K1764)</f>
        <v>0.493103448275862</v>
      </c>
      <c r="N1764" s="27" t="s">
        <v>201</v>
      </c>
      <c r="O1764" s="27" t="s">
        <v>322</v>
      </c>
      <c r="P1764" s="27" t="str">
        <f aca="false">A1764&amp;"|"&amp;N1764</f>
        <v>NURSE-09|caution</v>
      </c>
    </row>
    <row r="1765" customFormat="false" ht="15" hidden="false" customHeight="true" outlineLevel="0" collapsed="false">
      <c r="A1765" s="27" t="s">
        <v>100</v>
      </c>
      <c r="B1765" s="41" t="n">
        <v>46303.3482638889</v>
      </c>
      <c r="C1765" s="27" t="s">
        <v>200</v>
      </c>
      <c r="D1765" s="27" t="n">
        <v>43.6</v>
      </c>
      <c r="E1765" s="27" t="n">
        <v>18.6</v>
      </c>
      <c r="F1765" s="27" t="n">
        <v>31.6</v>
      </c>
      <c r="G1765" s="27" t="n">
        <v>34.8</v>
      </c>
      <c r="H1765" s="27" t="s">
        <v>198</v>
      </c>
      <c r="I1765" s="42" t="n">
        <f aca="false">(D1765-INDEX('Cohort Summary'!$D$5:$D$14,MATCH($A1765,'Cohort Summary'!$A$5:$A$14,0)))/INDEX('Cohort Summary'!$E$5:$E$14,MATCH($A1765,'Cohort Summary'!$A$5:$A$14,0))</f>
        <v>0.941379310344829</v>
      </c>
      <c r="J1765" s="42" t="n">
        <f aca="false">(E1765-INDEX('Cohort Summary'!$F$5:$F$14,MATCH($A1765,'Cohort Summary'!$A$5:$A$14,0)))/INDEX('Cohort Summary'!$G$5:$G$14,MATCH($A1765,'Cohort Summary'!$A$5:$A$14,0))</f>
        <v>0.287128712871288</v>
      </c>
      <c r="K1765" s="42" t="n">
        <f aca="false">(F1765-INDEX('Cohort Summary'!$H$5:$H$14,MATCH($A1765,'Cohort Summary'!$A$5:$A$14,0)))/INDEX('Cohort Summary'!$I$5:$I$14,MATCH($A1765,'Cohort Summary'!$A$5:$A$14,0))</f>
        <v>0.23913043478261</v>
      </c>
      <c r="L1765" s="42" t="n">
        <f aca="false">(G1765-INDEX('Cohort Summary'!$J$5:$J$14,MATCH($A1765,'Cohort Summary'!$A$5:$A$14,0)))/INDEX('Cohort Summary'!$K$5:$K$14,MATCH($A1765,'Cohort Summary'!$A$5:$A$14,0))</f>
        <v>2.81967213114754</v>
      </c>
      <c r="M1765" s="42" t="n">
        <f aca="false">MAX(I1765:K1765)</f>
        <v>0.941379310344829</v>
      </c>
      <c r="N1765" s="27" t="s">
        <v>201</v>
      </c>
      <c r="O1765" s="27" t="s">
        <v>317</v>
      </c>
      <c r="P1765" s="27" t="str">
        <f aca="false">A1765&amp;"|"&amp;N1765</f>
        <v>NURSE-09|caution</v>
      </c>
    </row>
    <row r="1766" customFormat="false" ht="15" hidden="false" customHeight="true" outlineLevel="0" collapsed="false">
      <c r="A1766" s="27" t="s">
        <v>100</v>
      </c>
      <c r="B1766" s="41" t="n">
        <v>46303.3486111111</v>
      </c>
      <c r="C1766" s="27" t="s">
        <v>200</v>
      </c>
      <c r="D1766" s="27" t="n">
        <v>44.2</v>
      </c>
      <c r="E1766" s="27" t="n">
        <v>21.2</v>
      </c>
      <c r="F1766" s="27" t="n">
        <v>29</v>
      </c>
      <c r="G1766" s="27" t="n">
        <v>35.3</v>
      </c>
      <c r="H1766" s="27" t="s">
        <v>199</v>
      </c>
      <c r="I1766" s="42" t="n">
        <f aca="false">(D1766-INDEX('Cohort Summary'!$D$5:$D$14,MATCH($A1766,'Cohort Summary'!$A$5:$A$14,0)))/INDEX('Cohort Summary'!$E$5:$E$14,MATCH($A1766,'Cohort Summary'!$A$5:$A$14,0))</f>
        <v>1.14827586206897</v>
      </c>
      <c r="J1766" s="42" t="n">
        <f aca="false">(E1766-INDEX('Cohort Summary'!$F$5:$F$14,MATCH($A1766,'Cohort Summary'!$A$5:$A$14,0)))/INDEX('Cohort Summary'!$G$5:$G$14,MATCH($A1766,'Cohort Summary'!$A$5:$A$14,0))</f>
        <v>1.57425742574257</v>
      </c>
      <c r="K1766" s="42" t="n">
        <f aca="false">(F1766-INDEX('Cohort Summary'!$H$5:$H$14,MATCH($A1766,'Cohort Summary'!$A$5:$A$14,0)))/INDEX('Cohort Summary'!$I$5:$I$14,MATCH($A1766,'Cohort Summary'!$A$5:$A$14,0))</f>
        <v>-0.568322981366459</v>
      </c>
      <c r="L1766" s="42" t="n">
        <f aca="false">(G1766-INDEX('Cohort Summary'!$J$5:$J$14,MATCH($A1766,'Cohort Summary'!$A$5:$A$14,0)))/INDEX('Cohort Summary'!$K$5:$K$14,MATCH($A1766,'Cohort Summary'!$A$5:$A$14,0))</f>
        <v>3.63934426229508</v>
      </c>
      <c r="M1766" s="42" t="n">
        <f aca="false">MAX(I1766:K1766)</f>
        <v>1.57425742574257</v>
      </c>
      <c r="N1766" s="27" t="s">
        <v>201</v>
      </c>
      <c r="O1766" s="27" t="s">
        <v>221</v>
      </c>
      <c r="P1766" s="27" t="str">
        <f aca="false">A1766&amp;"|"&amp;N1766</f>
        <v>NURSE-09|caution</v>
      </c>
    </row>
    <row r="1767" customFormat="false" ht="15" hidden="false" customHeight="true" outlineLevel="0" collapsed="false">
      <c r="A1767" s="27" t="s">
        <v>100</v>
      </c>
      <c r="B1767" s="41" t="n">
        <v>46303.3489583333</v>
      </c>
      <c r="C1767" s="27" t="s">
        <v>200</v>
      </c>
      <c r="D1767" s="27" t="n">
        <v>44.8</v>
      </c>
      <c r="E1767" s="27" t="n">
        <v>15.5</v>
      </c>
      <c r="F1767" s="27" t="n">
        <v>34.4</v>
      </c>
      <c r="G1767" s="27" t="n">
        <v>34.4</v>
      </c>
      <c r="H1767" s="27" t="s">
        <v>196</v>
      </c>
      <c r="I1767" s="42" t="n">
        <f aca="false">(D1767-INDEX('Cohort Summary'!$D$5:$D$14,MATCH($A1767,'Cohort Summary'!$A$5:$A$14,0)))/INDEX('Cohort Summary'!$E$5:$E$14,MATCH($A1767,'Cohort Summary'!$A$5:$A$14,0))</f>
        <v>1.3551724137931</v>
      </c>
      <c r="J1767" s="42" t="n">
        <f aca="false">(E1767-INDEX('Cohort Summary'!$F$5:$F$14,MATCH($A1767,'Cohort Summary'!$A$5:$A$14,0)))/INDEX('Cohort Summary'!$G$5:$G$14,MATCH($A1767,'Cohort Summary'!$A$5:$A$14,0))</f>
        <v>-1.24752475247525</v>
      </c>
      <c r="K1767" s="42" t="n">
        <f aca="false">(F1767-INDEX('Cohort Summary'!$H$5:$H$14,MATCH($A1767,'Cohort Summary'!$A$5:$A$14,0)))/INDEX('Cohort Summary'!$I$5:$I$14,MATCH($A1767,'Cohort Summary'!$A$5:$A$14,0))</f>
        <v>1.10869565217391</v>
      </c>
      <c r="L1767" s="42" t="n">
        <f aca="false">(G1767-INDEX('Cohort Summary'!$J$5:$J$14,MATCH($A1767,'Cohort Summary'!$A$5:$A$14,0)))/INDEX('Cohort Summary'!$K$5:$K$14,MATCH($A1767,'Cohort Summary'!$A$5:$A$14,0))</f>
        <v>2.16393442622951</v>
      </c>
      <c r="M1767" s="42" t="n">
        <f aca="false">MAX(I1767:K1767)</f>
        <v>1.3551724137931</v>
      </c>
      <c r="N1767" s="27" t="s">
        <v>201</v>
      </c>
      <c r="O1767" s="27" t="s">
        <v>318</v>
      </c>
      <c r="P1767" s="27" t="str">
        <f aca="false">A1767&amp;"|"&amp;N1767</f>
        <v>NURSE-09|caution</v>
      </c>
    </row>
    <row r="1768" customFormat="false" ht="15" hidden="false" customHeight="true" outlineLevel="0" collapsed="false">
      <c r="A1768" s="27" t="s">
        <v>100</v>
      </c>
      <c r="B1768" s="41" t="n">
        <v>46303.3493055556</v>
      </c>
      <c r="C1768" s="27" t="s">
        <v>200</v>
      </c>
      <c r="D1768" s="27" t="n">
        <v>42.9</v>
      </c>
      <c r="E1768" s="27" t="n">
        <v>18.3</v>
      </c>
      <c r="F1768" s="27" t="n">
        <v>35</v>
      </c>
      <c r="G1768" s="27" t="n">
        <v>35.6</v>
      </c>
      <c r="H1768" s="27" t="s">
        <v>199</v>
      </c>
      <c r="I1768" s="42" t="n">
        <f aca="false">(D1768-INDEX('Cohort Summary'!$D$5:$D$14,MATCH($A1768,'Cohort Summary'!$A$5:$A$14,0)))/INDEX('Cohort Summary'!$E$5:$E$14,MATCH($A1768,'Cohort Summary'!$A$5:$A$14,0))</f>
        <v>0.7</v>
      </c>
      <c r="J1768" s="42" t="n">
        <f aca="false">(E1768-INDEX('Cohort Summary'!$F$5:$F$14,MATCH($A1768,'Cohort Summary'!$A$5:$A$14,0)))/INDEX('Cohort Summary'!$G$5:$G$14,MATCH($A1768,'Cohort Summary'!$A$5:$A$14,0))</f>
        <v>0.138613861386139</v>
      </c>
      <c r="K1768" s="42" t="n">
        <f aca="false">(F1768-INDEX('Cohort Summary'!$H$5:$H$14,MATCH($A1768,'Cohort Summary'!$A$5:$A$14,0)))/INDEX('Cohort Summary'!$I$5:$I$14,MATCH($A1768,'Cohort Summary'!$A$5:$A$14,0))</f>
        <v>1.29503105590062</v>
      </c>
      <c r="L1768" s="42" t="n">
        <f aca="false">(G1768-INDEX('Cohort Summary'!$J$5:$J$14,MATCH($A1768,'Cohort Summary'!$A$5:$A$14,0)))/INDEX('Cohort Summary'!$K$5:$K$14,MATCH($A1768,'Cohort Summary'!$A$5:$A$14,0))</f>
        <v>4.13114754098361</v>
      </c>
      <c r="M1768" s="42" t="n">
        <f aca="false">MAX(I1768:K1768)</f>
        <v>1.29503105590062</v>
      </c>
      <c r="N1768" s="27" t="s">
        <v>201</v>
      </c>
      <c r="O1768" s="27" t="s">
        <v>229</v>
      </c>
      <c r="P1768" s="27" t="str">
        <f aca="false">A1768&amp;"|"&amp;N1768</f>
        <v>NURSE-09|caution</v>
      </c>
    </row>
    <row r="1769" customFormat="false" ht="15" hidden="false" customHeight="true" outlineLevel="0" collapsed="false">
      <c r="A1769" s="27" t="s">
        <v>100</v>
      </c>
      <c r="B1769" s="41" t="n">
        <v>46303.3496527778</v>
      </c>
      <c r="C1769" s="27" t="s">
        <v>200</v>
      </c>
      <c r="D1769" s="27" t="n">
        <v>41.7</v>
      </c>
      <c r="E1769" s="27" t="n">
        <v>20.1</v>
      </c>
      <c r="F1769" s="27" t="n">
        <v>32.7</v>
      </c>
      <c r="G1769" s="27" t="n">
        <v>34.8</v>
      </c>
      <c r="H1769" s="27" t="s">
        <v>199</v>
      </c>
      <c r="I1769" s="42" t="n">
        <f aca="false">(D1769-INDEX('Cohort Summary'!$D$5:$D$14,MATCH($A1769,'Cohort Summary'!$A$5:$A$14,0)))/INDEX('Cohort Summary'!$E$5:$E$14,MATCH($A1769,'Cohort Summary'!$A$5:$A$14,0))</f>
        <v>0.286206896551726</v>
      </c>
      <c r="J1769" s="42" t="n">
        <f aca="false">(E1769-INDEX('Cohort Summary'!$F$5:$F$14,MATCH($A1769,'Cohort Summary'!$A$5:$A$14,0)))/INDEX('Cohort Summary'!$G$5:$G$14,MATCH($A1769,'Cohort Summary'!$A$5:$A$14,0))</f>
        <v>1.02970297029703</v>
      </c>
      <c r="K1769" s="42" t="n">
        <f aca="false">(F1769-INDEX('Cohort Summary'!$H$5:$H$14,MATCH($A1769,'Cohort Summary'!$A$5:$A$14,0)))/INDEX('Cohort Summary'!$I$5:$I$14,MATCH($A1769,'Cohort Summary'!$A$5:$A$14,0))</f>
        <v>0.580745341614908</v>
      </c>
      <c r="L1769" s="42" t="n">
        <f aca="false">(G1769-INDEX('Cohort Summary'!$J$5:$J$14,MATCH($A1769,'Cohort Summary'!$A$5:$A$14,0)))/INDEX('Cohort Summary'!$K$5:$K$14,MATCH($A1769,'Cohort Summary'!$A$5:$A$14,0))</f>
        <v>2.81967213114754</v>
      </c>
      <c r="M1769" s="42" t="n">
        <f aca="false">MAX(I1769:K1769)</f>
        <v>1.02970297029703</v>
      </c>
      <c r="N1769" s="27" t="s">
        <v>201</v>
      </c>
      <c r="O1769" s="27" t="s">
        <v>317</v>
      </c>
      <c r="P1769" s="27" t="str">
        <f aca="false">A1769&amp;"|"&amp;N1769</f>
        <v>NURSE-09|caution</v>
      </c>
    </row>
    <row r="1770" customFormat="false" ht="15" hidden="false" customHeight="true" outlineLevel="0" collapsed="false">
      <c r="A1770" s="27" t="s">
        <v>100</v>
      </c>
      <c r="B1770" s="41" t="n">
        <v>46303.35</v>
      </c>
      <c r="C1770" s="27" t="s">
        <v>200</v>
      </c>
      <c r="D1770" s="27" t="n">
        <v>41.2</v>
      </c>
      <c r="E1770" s="27" t="n">
        <v>18.8</v>
      </c>
      <c r="F1770" s="27" t="n">
        <v>35.5</v>
      </c>
      <c r="G1770" s="27" t="n">
        <v>35</v>
      </c>
      <c r="H1770" s="27" t="s">
        <v>198</v>
      </c>
      <c r="I1770" s="42" t="n">
        <f aca="false">(D1770-INDEX('Cohort Summary'!$D$5:$D$14,MATCH($A1770,'Cohort Summary'!$A$5:$A$14,0)))/INDEX('Cohort Summary'!$E$5:$E$14,MATCH($A1770,'Cohort Summary'!$A$5:$A$14,0))</f>
        <v>0.113793103448278</v>
      </c>
      <c r="J1770" s="42" t="n">
        <f aca="false">(E1770-INDEX('Cohort Summary'!$F$5:$F$14,MATCH($A1770,'Cohort Summary'!$A$5:$A$14,0)))/INDEX('Cohort Summary'!$G$5:$G$14,MATCH($A1770,'Cohort Summary'!$A$5:$A$14,0))</f>
        <v>0.386138613861387</v>
      </c>
      <c r="K1770" s="42" t="n">
        <f aca="false">(F1770-INDEX('Cohort Summary'!$H$5:$H$14,MATCH($A1770,'Cohort Summary'!$A$5:$A$14,0)))/INDEX('Cohort Summary'!$I$5:$I$14,MATCH($A1770,'Cohort Summary'!$A$5:$A$14,0))</f>
        <v>1.45031055900621</v>
      </c>
      <c r="L1770" s="42" t="n">
        <f aca="false">(G1770-INDEX('Cohort Summary'!$J$5:$J$14,MATCH($A1770,'Cohort Summary'!$A$5:$A$14,0)))/INDEX('Cohort Summary'!$K$5:$K$14,MATCH($A1770,'Cohort Summary'!$A$5:$A$14,0))</f>
        <v>3.14754098360656</v>
      </c>
      <c r="M1770" s="42" t="n">
        <f aca="false">MAX(I1770:K1770)</f>
        <v>1.45031055900621</v>
      </c>
      <c r="N1770" s="27" t="s">
        <v>201</v>
      </c>
      <c r="O1770" s="27" t="s">
        <v>319</v>
      </c>
      <c r="P1770" s="27" t="str">
        <f aca="false">A1770&amp;"|"&amp;N1770</f>
        <v>NURSE-09|caution</v>
      </c>
    </row>
    <row r="1771" customFormat="false" ht="15" hidden="false" customHeight="true" outlineLevel="0" collapsed="false">
      <c r="A1771" s="27" t="s">
        <v>100</v>
      </c>
      <c r="B1771" s="41" t="n">
        <v>46303.3503472222</v>
      </c>
      <c r="C1771" s="27" t="s">
        <v>200</v>
      </c>
      <c r="D1771" s="27" t="n">
        <v>44.5</v>
      </c>
      <c r="E1771" s="27" t="n">
        <v>19.9</v>
      </c>
      <c r="F1771" s="27" t="n">
        <v>32.9</v>
      </c>
      <c r="G1771" s="27" t="n">
        <v>35.1</v>
      </c>
      <c r="H1771" s="27" t="s">
        <v>196</v>
      </c>
      <c r="I1771" s="42" t="n">
        <f aca="false">(D1771-INDEX('Cohort Summary'!$D$5:$D$14,MATCH($A1771,'Cohort Summary'!$A$5:$A$14,0)))/INDEX('Cohort Summary'!$E$5:$E$14,MATCH($A1771,'Cohort Summary'!$A$5:$A$14,0))</f>
        <v>1.25172413793104</v>
      </c>
      <c r="J1771" s="42" t="n">
        <f aca="false">(E1771-INDEX('Cohort Summary'!$F$5:$F$14,MATCH($A1771,'Cohort Summary'!$A$5:$A$14,0)))/INDEX('Cohort Summary'!$G$5:$G$14,MATCH($A1771,'Cohort Summary'!$A$5:$A$14,0))</f>
        <v>0.93069306930693</v>
      </c>
      <c r="K1771" s="42" t="n">
        <f aca="false">(F1771-INDEX('Cohort Summary'!$H$5:$H$14,MATCH($A1771,'Cohort Summary'!$A$5:$A$14,0)))/INDEX('Cohort Summary'!$I$5:$I$14,MATCH($A1771,'Cohort Summary'!$A$5:$A$14,0))</f>
        <v>0.642857142857143</v>
      </c>
      <c r="L1771" s="42" t="n">
        <f aca="false">(G1771-INDEX('Cohort Summary'!$J$5:$J$14,MATCH($A1771,'Cohort Summary'!$A$5:$A$14,0)))/INDEX('Cohort Summary'!$K$5:$K$14,MATCH($A1771,'Cohort Summary'!$A$5:$A$14,0))</f>
        <v>3.31147540983607</v>
      </c>
      <c r="M1771" s="42" t="n">
        <f aca="false">MAX(I1771:K1771)</f>
        <v>1.25172413793104</v>
      </c>
      <c r="N1771" s="27" t="s">
        <v>201</v>
      </c>
      <c r="O1771" s="27" t="s">
        <v>320</v>
      </c>
      <c r="P1771" s="27" t="str">
        <f aca="false">A1771&amp;"|"&amp;N1771</f>
        <v>NURSE-09|caution</v>
      </c>
    </row>
    <row r="1772" customFormat="false" ht="15" hidden="false" customHeight="true" outlineLevel="0" collapsed="false">
      <c r="A1772" s="27" t="s">
        <v>100</v>
      </c>
      <c r="B1772" s="41" t="n">
        <v>46303.3506944445</v>
      </c>
      <c r="C1772" s="27" t="s">
        <v>200</v>
      </c>
      <c r="D1772" s="27" t="n">
        <v>37.8</v>
      </c>
      <c r="E1772" s="27" t="n">
        <v>18.6</v>
      </c>
      <c r="F1772" s="27" t="n">
        <v>35.2</v>
      </c>
      <c r="G1772" s="27" t="n">
        <v>34.7</v>
      </c>
      <c r="H1772" s="27" t="s">
        <v>199</v>
      </c>
      <c r="I1772" s="42" t="n">
        <f aca="false">(D1772-INDEX('Cohort Summary'!$D$5:$D$14,MATCH($A1772,'Cohort Summary'!$A$5:$A$14,0)))/INDEX('Cohort Summary'!$E$5:$E$14,MATCH($A1772,'Cohort Summary'!$A$5:$A$14,0))</f>
        <v>-1.05862068965517</v>
      </c>
      <c r="J1772" s="42" t="n">
        <f aca="false">(E1772-INDEX('Cohort Summary'!$F$5:$F$14,MATCH($A1772,'Cohort Summary'!$A$5:$A$14,0)))/INDEX('Cohort Summary'!$G$5:$G$14,MATCH($A1772,'Cohort Summary'!$A$5:$A$14,0))</f>
        <v>0.287128712871288</v>
      </c>
      <c r="K1772" s="42" t="n">
        <f aca="false">(F1772-INDEX('Cohort Summary'!$H$5:$H$14,MATCH($A1772,'Cohort Summary'!$A$5:$A$14,0)))/INDEX('Cohort Summary'!$I$5:$I$14,MATCH($A1772,'Cohort Summary'!$A$5:$A$14,0))</f>
        <v>1.35714285714286</v>
      </c>
      <c r="L1772" s="42" t="n">
        <f aca="false">(G1772-INDEX('Cohort Summary'!$J$5:$J$14,MATCH($A1772,'Cohort Summary'!$A$5:$A$14,0)))/INDEX('Cohort Summary'!$K$5:$K$14,MATCH($A1772,'Cohort Summary'!$A$5:$A$14,0))</f>
        <v>2.65573770491804</v>
      </c>
      <c r="M1772" s="42" t="n">
        <f aca="false">MAX(I1772:K1772)</f>
        <v>1.35714285714286</v>
      </c>
      <c r="N1772" s="27" t="s">
        <v>201</v>
      </c>
      <c r="O1772" s="27" t="s">
        <v>228</v>
      </c>
      <c r="P1772" s="27" t="str">
        <f aca="false">A1772&amp;"|"&amp;N1772</f>
        <v>NURSE-09|caution</v>
      </c>
    </row>
    <row r="1773" customFormat="false" ht="15" hidden="false" customHeight="true" outlineLevel="0" collapsed="false">
      <c r="A1773" s="27" t="s">
        <v>100</v>
      </c>
      <c r="B1773" s="41" t="n">
        <v>46303.3510416667</v>
      </c>
      <c r="C1773" s="27" t="s">
        <v>200</v>
      </c>
      <c r="D1773" s="27" t="n">
        <v>38.1</v>
      </c>
      <c r="E1773" s="27" t="n">
        <v>18.3</v>
      </c>
      <c r="F1773" s="27" t="n">
        <v>26.8</v>
      </c>
      <c r="G1773" s="27" t="n">
        <v>34.6</v>
      </c>
      <c r="H1773" s="27" t="s">
        <v>198</v>
      </c>
      <c r="I1773" s="42" t="n">
        <f aca="false">(D1773-INDEX('Cohort Summary'!$D$5:$D$14,MATCH($A1773,'Cohort Summary'!$A$5:$A$14,0)))/INDEX('Cohort Summary'!$E$5:$E$14,MATCH($A1773,'Cohort Summary'!$A$5:$A$14,0))</f>
        <v>-0.955172413793102</v>
      </c>
      <c r="J1773" s="42" t="n">
        <f aca="false">(E1773-INDEX('Cohort Summary'!$F$5:$F$14,MATCH($A1773,'Cohort Summary'!$A$5:$A$14,0)))/INDEX('Cohort Summary'!$G$5:$G$14,MATCH($A1773,'Cohort Summary'!$A$5:$A$14,0))</f>
        <v>0.138613861386139</v>
      </c>
      <c r="K1773" s="42" t="n">
        <f aca="false">(F1773-INDEX('Cohort Summary'!$H$5:$H$14,MATCH($A1773,'Cohort Summary'!$A$5:$A$14,0)))/INDEX('Cohort Summary'!$I$5:$I$14,MATCH($A1773,'Cohort Summary'!$A$5:$A$14,0))</f>
        <v>-1.25155279503106</v>
      </c>
      <c r="L1773" s="42" t="n">
        <f aca="false">(G1773-INDEX('Cohort Summary'!$J$5:$J$14,MATCH($A1773,'Cohort Summary'!$A$5:$A$14,0)))/INDEX('Cohort Summary'!$K$5:$K$14,MATCH($A1773,'Cohort Summary'!$A$5:$A$14,0))</f>
        <v>2.49180327868853</v>
      </c>
      <c r="M1773" s="42" t="n">
        <f aca="false">MAX(I1773:K1773)</f>
        <v>0.138613861386139</v>
      </c>
      <c r="N1773" s="27" t="s">
        <v>201</v>
      </c>
      <c r="O1773" s="27" t="s">
        <v>316</v>
      </c>
      <c r="P1773" s="27" t="str">
        <f aca="false">A1773&amp;"|"&amp;N1773</f>
        <v>NURSE-09|caution</v>
      </c>
    </row>
    <row r="1774" customFormat="false" ht="15" hidden="false" customHeight="true" outlineLevel="0" collapsed="false">
      <c r="A1774" s="27" t="s">
        <v>100</v>
      </c>
      <c r="B1774" s="41" t="n">
        <v>46303.3513888889</v>
      </c>
      <c r="C1774" s="27" t="s">
        <v>200</v>
      </c>
      <c r="D1774" s="27" t="n">
        <v>36.3</v>
      </c>
      <c r="E1774" s="27" t="n">
        <v>20.6</v>
      </c>
      <c r="F1774" s="27" t="n">
        <v>34</v>
      </c>
      <c r="G1774" s="27" t="n">
        <v>35.9</v>
      </c>
      <c r="H1774" s="27" t="s">
        <v>199</v>
      </c>
      <c r="I1774" s="42" t="n">
        <f aca="false">(D1774-INDEX('Cohort Summary'!$D$5:$D$14,MATCH($A1774,'Cohort Summary'!$A$5:$A$14,0)))/INDEX('Cohort Summary'!$E$5:$E$14,MATCH($A1774,'Cohort Summary'!$A$5:$A$14,0))</f>
        <v>-1.57586206896552</v>
      </c>
      <c r="J1774" s="42" t="n">
        <f aca="false">(E1774-INDEX('Cohort Summary'!$F$5:$F$14,MATCH($A1774,'Cohort Summary'!$A$5:$A$14,0)))/INDEX('Cohort Summary'!$G$5:$G$14,MATCH($A1774,'Cohort Summary'!$A$5:$A$14,0))</f>
        <v>1.27722772277228</v>
      </c>
      <c r="K1774" s="42" t="n">
        <f aca="false">(F1774-INDEX('Cohort Summary'!$H$5:$H$14,MATCH($A1774,'Cohort Summary'!$A$5:$A$14,0)))/INDEX('Cohort Summary'!$I$5:$I$14,MATCH($A1774,'Cohort Summary'!$A$5:$A$14,0))</f>
        <v>0.984472049689442</v>
      </c>
      <c r="L1774" s="42" t="n">
        <f aca="false">(G1774-INDEX('Cohort Summary'!$J$5:$J$14,MATCH($A1774,'Cohort Summary'!$A$5:$A$14,0)))/INDEX('Cohort Summary'!$K$5:$K$14,MATCH($A1774,'Cohort Summary'!$A$5:$A$14,0))</f>
        <v>4.62295081967213</v>
      </c>
      <c r="M1774" s="42" t="n">
        <f aca="false">MAX(I1774:K1774)</f>
        <v>1.27722772277228</v>
      </c>
      <c r="N1774" s="27" t="s">
        <v>201</v>
      </c>
      <c r="O1774" s="27" t="s">
        <v>323</v>
      </c>
      <c r="P1774" s="27" t="str">
        <f aca="false">A1774&amp;"|"&amp;N1774</f>
        <v>NURSE-09|caution</v>
      </c>
    </row>
    <row r="1775" customFormat="false" ht="15" hidden="false" customHeight="true" outlineLevel="0" collapsed="false">
      <c r="A1775" s="27" t="s">
        <v>100</v>
      </c>
      <c r="B1775" s="41" t="n">
        <v>46303.3517361111</v>
      </c>
      <c r="C1775" s="27" t="s">
        <v>200</v>
      </c>
      <c r="D1775" s="27" t="n">
        <v>41.2</v>
      </c>
      <c r="E1775" s="27" t="n">
        <v>18</v>
      </c>
      <c r="F1775" s="27" t="n">
        <v>31.3</v>
      </c>
      <c r="G1775" s="27" t="n">
        <v>35.5</v>
      </c>
      <c r="H1775" s="27" t="s">
        <v>196</v>
      </c>
      <c r="I1775" s="42" t="n">
        <f aca="false">(D1775-INDEX('Cohort Summary'!$D$5:$D$14,MATCH($A1775,'Cohort Summary'!$A$5:$A$14,0)))/INDEX('Cohort Summary'!$E$5:$E$14,MATCH($A1775,'Cohort Summary'!$A$5:$A$14,0))</f>
        <v>0.113793103448278</v>
      </c>
      <c r="J1775" s="42" t="n">
        <f aca="false">(E1775-INDEX('Cohort Summary'!$F$5:$F$14,MATCH($A1775,'Cohort Summary'!$A$5:$A$14,0)))/INDEX('Cohort Summary'!$G$5:$G$14,MATCH($A1775,'Cohort Summary'!$A$5:$A$14,0))</f>
        <v>-0.00990099009900969</v>
      </c>
      <c r="K1775" s="42" t="n">
        <f aca="false">(F1775-INDEX('Cohort Summary'!$H$5:$H$14,MATCH($A1775,'Cohort Summary'!$A$5:$A$14,0)))/INDEX('Cohort Summary'!$I$5:$I$14,MATCH($A1775,'Cohort Summary'!$A$5:$A$14,0))</f>
        <v>0.145962732919255</v>
      </c>
      <c r="L1775" s="42" t="n">
        <f aca="false">(G1775-INDEX('Cohort Summary'!$J$5:$J$14,MATCH($A1775,'Cohort Summary'!$A$5:$A$14,0)))/INDEX('Cohort Summary'!$K$5:$K$14,MATCH($A1775,'Cohort Summary'!$A$5:$A$14,0))</f>
        <v>3.9672131147541</v>
      </c>
      <c r="M1775" s="42" t="n">
        <f aca="false">MAX(I1775:K1775)</f>
        <v>0.145962732919255</v>
      </c>
      <c r="N1775" s="27" t="s">
        <v>201</v>
      </c>
      <c r="O1775" s="27" t="s">
        <v>324</v>
      </c>
      <c r="P1775" s="27" t="str">
        <f aca="false">A1775&amp;"|"&amp;N1775</f>
        <v>NURSE-09|caution</v>
      </c>
    </row>
    <row r="1776" customFormat="false" ht="15" hidden="false" customHeight="true" outlineLevel="0" collapsed="false">
      <c r="A1776" s="27" t="s">
        <v>100</v>
      </c>
      <c r="B1776" s="41" t="n">
        <v>46303.3520833333</v>
      </c>
      <c r="C1776" s="27" t="s">
        <v>200</v>
      </c>
      <c r="D1776" s="27" t="n">
        <v>39.5</v>
      </c>
      <c r="E1776" s="27" t="n">
        <v>15.1</v>
      </c>
      <c r="F1776" s="27" t="n">
        <v>26.9</v>
      </c>
      <c r="G1776" s="27" t="n">
        <v>35.6</v>
      </c>
      <c r="H1776" s="27" t="s">
        <v>199</v>
      </c>
      <c r="I1776" s="42" t="n">
        <f aca="false">(D1776-INDEX('Cohort Summary'!$D$5:$D$14,MATCH($A1776,'Cohort Summary'!$A$5:$A$14,0)))/INDEX('Cohort Summary'!$E$5:$E$14,MATCH($A1776,'Cohort Summary'!$A$5:$A$14,0))</f>
        <v>-0.472413793103447</v>
      </c>
      <c r="J1776" s="42" t="n">
        <f aca="false">(E1776-INDEX('Cohort Summary'!$F$5:$F$14,MATCH($A1776,'Cohort Summary'!$A$5:$A$14,0)))/INDEX('Cohort Summary'!$G$5:$G$14,MATCH($A1776,'Cohort Summary'!$A$5:$A$14,0))</f>
        <v>-1.44554455445545</v>
      </c>
      <c r="K1776" s="42" t="n">
        <f aca="false">(F1776-INDEX('Cohort Summary'!$H$5:$H$14,MATCH($A1776,'Cohort Summary'!$A$5:$A$14,0)))/INDEX('Cohort Summary'!$I$5:$I$14,MATCH($A1776,'Cohort Summary'!$A$5:$A$14,0))</f>
        <v>-1.22049689440994</v>
      </c>
      <c r="L1776" s="42" t="n">
        <f aca="false">(G1776-INDEX('Cohort Summary'!$J$5:$J$14,MATCH($A1776,'Cohort Summary'!$A$5:$A$14,0)))/INDEX('Cohort Summary'!$K$5:$K$14,MATCH($A1776,'Cohort Summary'!$A$5:$A$14,0))</f>
        <v>4.13114754098361</v>
      </c>
      <c r="M1776" s="42" t="n">
        <f aca="false">MAX(I1776:K1776)</f>
        <v>-0.472413793103447</v>
      </c>
      <c r="N1776" s="27" t="s">
        <v>201</v>
      </c>
      <c r="O1776" s="27" t="s">
        <v>229</v>
      </c>
      <c r="P1776" s="27" t="str">
        <f aca="false">A1776&amp;"|"&amp;N1776</f>
        <v>NURSE-09|caution</v>
      </c>
    </row>
    <row r="1777" customFormat="false" ht="15" hidden="false" customHeight="true" outlineLevel="0" collapsed="false">
      <c r="A1777" s="27" t="s">
        <v>100</v>
      </c>
      <c r="B1777" s="41" t="n">
        <v>46303.3524305556</v>
      </c>
      <c r="C1777" s="27" t="s">
        <v>200</v>
      </c>
      <c r="D1777" s="27" t="n">
        <v>37.1</v>
      </c>
      <c r="E1777" s="27" t="n">
        <v>20.8</v>
      </c>
      <c r="F1777" s="27" t="n">
        <v>28.5</v>
      </c>
      <c r="G1777" s="27" t="n">
        <v>36.1</v>
      </c>
      <c r="H1777" s="27" t="s">
        <v>196</v>
      </c>
      <c r="I1777" s="42" t="n">
        <f aca="false">(D1777-INDEX('Cohort Summary'!$D$5:$D$14,MATCH($A1777,'Cohort Summary'!$A$5:$A$14,0)))/INDEX('Cohort Summary'!$E$5:$E$14,MATCH($A1777,'Cohort Summary'!$A$5:$A$14,0))</f>
        <v>-1.3</v>
      </c>
      <c r="J1777" s="42" t="n">
        <f aca="false">(E1777-INDEX('Cohort Summary'!$F$5:$F$14,MATCH($A1777,'Cohort Summary'!$A$5:$A$14,0)))/INDEX('Cohort Summary'!$G$5:$G$14,MATCH($A1777,'Cohort Summary'!$A$5:$A$14,0))</f>
        <v>1.37623762376238</v>
      </c>
      <c r="K1777" s="42" t="n">
        <f aca="false">(F1777-INDEX('Cohort Summary'!$H$5:$H$14,MATCH($A1777,'Cohort Summary'!$A$5:$A$14,0)))/INDEX('Cohort Summary'!$I$5:$I$14,MATCH($A1777,'Cohort Summary'!$A$5:$A$14,0))</f>
        <v>-0.723602484472049</v>
      </c>
      <c r="L1777" s="42" t="n">
        <f aca="false">(G1777-INDEX('Cohort Summary'!$J$5:$J$14,MATCH($A1777,'Cohort Summary'!$A$5:$A$14,0)))/INDEX('Cohort Summary'!$K$5:$K$14,MATCH($A1777,'Cohort Summary'!$A$5:$A$14,0))</f>
        <v>4.95081967213115</v>
      </c>
      <c r="M1777" s="42" t="n">
        <f aca="false">MAX(I1777:K1777)</f>
        <v>1.37623762376238</v>
      </c>
      <c r="N1777" s="27" t="s">
        <v>201</v>
      </c>
      <c r="O1777" s="27" t="s">
        <v>325</v>
      </c>
      <c r="P1777" s="27" t="str">
        <f aca="false">A1777&amp;"|"&amp;N1777</f>
        <v>NURSE-09|caution</v>
      </c>
    </row>
    <row r="1778" customFormat="false" ht="15" hidden="false" customHeight="true" outlineLevel="0" collapsed="false">
      <c r="A1778" s="27" t="s">
        <v>100</v>
      </c>
      <c r="B1778" s="41" t="n">
        <v>46303.3527777778</v>
      </c>
      <c r="C1778" s="27" t="s">
        <v>200</v>
      </c>
      <c r="D1778" s="27" t="n">
        <v>43.9</v>
      </c>
      <c r="E1778" s="27" t="n">
        <v>20.3</v>
      </c>
      <c r="F1778" s="27" t="n">
        <v>33.1</v>
      </c>
      <c r="G1778" s="27" t="n">
        <v>35.9</v>
      </c>
      <c r="H1778" s="27" t="s">
        <v>198</v>
      </c>
      <c r="I1778" s="42" t="n">
        <f aca="false">(D1778-INDEX('Cohort Summary'!$D$5:$D$14,MATCH($A1778,'Cohort Summary'!$A$5:$A$14,0)))/INDEX('Cohort Summary'!$E$5:$E$14,MATCH($A1778,'Cohort Summary'!$A$5:$A$14,0))</f>
        <v>1.0448275862069</v>
      </c>
      <c r="J1778" s="42" t="n">
        <f aca="false">(E1778-INDEX('Cohort Summary'!$F$5:$F$14,MATCH($A1778,'Cohort Summary'!$A$5:$A$14,0)))/INDEX('Cohort Summary'!$G$5:$G$14,MATCH($A1778,'Cohort Summary'!$A$5:$A$14,0))</f>
        <v>1.12871287128713</v>
      </c>
      <c r="K1778" s="42" t="n">
        <f aca="false">(F1778-INDEX('Cohort Summary'!$H$5:$H$14,MATCH($A1778,'Cohort Summary'!$A$5:$A$14,0)))/INDEX('Cohort Summary'!$I$5:$I$14,MATCH($A1778,'Cohort Summary'!$A$5:$A$14,0))</f>
        <v>0.70496894409938</v>
      </c>
      <c r="L1778" s="42" t="n">
        <f aca="false">(G1778-INDEX('Cohort Summary'!$J$5:$J$14,MATCH($A1778,'Cohort Summary'!$A$5:$A$14,0)))/INDEX('Cohort Summary'!$K$5:$K$14,MATCH($A1778,'Cohort Summary'!$A$5:$A$14,0))</f>
        <v>4.62295081967213</v>
      </c>
      <c r="M1778" s="42" t="n">
        <f aca="false">MAX(I1778:K1778)</f>
        <v>1.12871287128713</v>
      </c>
      <c r="N1778" s="27" t="s">
        <v>201</v>
      </c>
      <c r="O1778" s="27" t="s">
        <v>323</v>
      </c>
      <c r="P1778" s="27" t="str">
        <f aca="false">A1778&amp;"|"&amp;N1778</f>
        <v>NURSE-09|caution</v>
      </c>
    </row>
    <row r="1779" customFormat="false" ht="15" hidden="false" customHeight="true" outlineLevel="0" collapsed="false">
      <c r="A1779" s="27" t="s">
        <v>100</v>
      </c>
      <c r="B1779" s="41" t="n">
        <v>46303.353125</v>
      </c>
      <c r="C1779" s="27" t="s">
        <v>200</v>
      </c>
      <c r="D1779" s="27" t="n">
        <v>43.3</v>
      </c>
      <c r="E1779" s="27" t="n">
        <v>15.3</v>
      </c>
      <c r="F1779" s="27" t="n">
        <v>26.9</v>
      </c>
      <c r="G1779" s="27" t="n">
        <v>34.8</v>
      </c>
      <c r="H1779" s="27" t="s">
        <v>199</v>
      </c>
      <c r="I1779" s="42" t="n">
        <f aca="false">(D1779-INDEX('Cohort Summary'!$D$5:$D$14,MATCH($A1779,'Cohort Summary'!$A$5:$A$14,0)))/INDEX('Cohort Summary'!$E$5:$E$14,MATCH($A1779,'Cohort Summary'!$A$5:$A$14,0))</f>
        <v>0.837931034482759</v>
      </c>
      <c r="J1779" s="42" t="n">
        <f aca="false">(E1779-INDEX('Cohort Summary'!$F$5:$F$14,MATCH($A1779,'Cohort Summary'!$A$5:$A$14,0)))/INDEX('Cohort Summary'!$G$5:$G$14,MATCH($A1779,'Cohort Summary'!$A$5:$A$14,0))</f>
        <v>-1.34653465346535</v>
      </c>
      <c r="K1779" s="42" t="n">
        <f aca="false">(F1779-INDEX('Cohort Summary'!$H$5:$H$14,MATCH($A1779,'Cohort Summary'!$A$5:$A$14,0)))/INDEX('Cohort Summary'!$I$5:$I$14,MATCH($A1779,'Cohort Summary'!$A$5:$A$14,0))</f>
        <v>-1.22049689440994</v>
      </c>
      <c r="L1779" s="42" t="n">
        <f aca="false">(G1779-INDEX('Cohort Summary'!$J$5:$J$14,MATCH($A1779,'Cohort Summary'!$A$5:$A$14,0)))/INDEX('Cohort Summary'!$K$5:$K$14,MATCH($A1779,'Cohort Summary'!$A$5:$A$14,0))</f>
        <v>2.81967213114754</v>
      </c>
      <c r="M1779" s="42" t="n">
        <f aca="false">MAX(I1779:K1779)</f>
        <v>0.837931034482759</v>
      </c>
      <c r="N1779" s="27" t="s">
        <v>201</v>
      </c>
      <c r="O1779" s="27" t="s">
        <v>317</v>
      </c>
      <c r="P1779" s="27" t="str">
        <f aca="false">A1779&amp;"|"&amp;N1779</f>
        <v>NURSE-09|caution</v>
      </c>
    </row>
    <row r="1780" customFormat="false" ht="15" hidden="false" customHeight="true" outlineLevel="0" collapsed="false">
      <c r="A1780" s="27" t="s">
        <v>100</v>
      </c>
      <c r="B1780" s="41" t="n">
        <v>46303.3534722222</v>
      </c>
      <c r="C1780" s="27" t="s">
        <v>200</v>
      </c>
      <c r="D1780" s="27" t="n">
        <v>38.3</v>
      </c>
      <c r="E1780" s="27" t="n">
        <v>21</v>
      </c>
      <c r="F1780" s="27" t="n">
        <v>34</v>
      </c>
      <c r="G1780" s="27" t="n">
        <v>35.2</v>
      </c>
      <c r="H1780" s="27" t="s">
        <v>198</v>
      </c>
      <c r="I1780" s="42" t="n">
        <f aca="false">(D1780-INDEX('Cohort Summary'!$D$5:$D$14,MATCH($A1780,'Cohort Summary'!$A$5:$A$14,0)))/INDEX('Cohort Summary'!$E$5:$E$14,MATCH($A1780,'Cohort Summary'!$A$5:$A$14,0))</f>
        <v>-0.886206896551724</v>
      </c>
      <c r="J1780" s="42" t="n">
        <f aca="false">(E1780-INDEX('Cohort Summary'!$F$5:$F$14,MATCH($A1780,'Cohort Summary'!$A$5:$A$14,0)))/INDEX('Cohort Summary'!$G$5:$G$14,MATCH($A1780,'Cohort Summary'!$A$5:$A$14,0))</f>
        <v>1.47524752475248</v>
      </c>
      <c r="K1780" s="42" t="n">
        <f aca="false">(F1780-INDEX('Cohort Summary'!$H$5:$H$14,MATCH($A1780,'Cohort Summary'!$A$5:$A$14,0)))/INDEX('Cohort Summary'!$I$5:$I$14,MATCH($A1780,'Cohort Summary'!$A$5:$A$14,0))</f>
        <v>0.984472049689442</v>
      </c>
      <c r="L1780" s="42" t="n">
        <f aca="false">(G1780-INDEX('Cohort Summary'!$J$5:$J$14,MATCH($A1780,'Cohort Summary'!$A$5:$A$14,0)))/INDEX('Cohort Summary'!$K$5:$K$14,MATCH($A1780,'Cohort Summary'!$A$5:$A$14,0))</f>
        <v>3.47540983606558</v>
      </c>
      <c r="M1780" s="42" t="n">
        <f aca="false">MAX(I1780:K1780)</f>
        <v>1.47524752475248</v>
      </c>
      <c r="N1780" s="27" t="s">
        <v>201</v>
      </c>
      <c r="O1780" s="27" t="s">
        <v>326</v>
      </c>
      <c r="P1780" s="27" t="str">
        <f aca="false">A1780&amp;"|"&amp;N1780</f>
        <v>NURSE-09|caution</v>
      </c>
    </row>
    <row r="1781" customFormat="false" ht="15" hidden="false" customHeight="true" outlineLevel="0" collapsed="false">
      <c r="A1781" s="27" t="s">
        <v>100</v>
      </c>
      <c r="B1781" s="41" t="n">
        <v>46303.3538194444</v>
      </c>
      <c r="C1781" s="27" t="s">
        <v>200</v>
      </c>
      <c r="D1781" s="27" t="n">
        <v>37.3</v>
      </c>
      <c r="E1781" s="27" t="n">
        <v>16.7</v>
      </c>
      <c r="F1781" s="27" t="n">
        <v>30.8</v>
      </c>
      <c r="G1781" s="27" t="n">
        <v>34.4</v>
      </c>
      <c r="H1781" s="27" t="s">
        <v>198</v>
      </c>
      <c r="I1781" s="42" t="n">
        <f aca="false">(D1781-INDEX('Cohort Summary'!$D$5:$D$14,MATCH($A1781,'Cohort Summary'!$A$5:$A$14,0)))/INDEX('Cohort Summary'!$E$5:$E$14,MATCH($A1781,'Cohort Summary'!$A$5:$A$14,0))</f>
        <v>-1.23103448275862</v>
      </c>
      <c r="J1781" s="42" t="n">
        <f aca="false">(E1781-INDEX('Cohort Summary'!$F$5:$F$14,MATCH($A1781,'Cohort Summary'!$A$5:$A$14,0)))/INDEX('Cohort Summary'!$G$5:$G$14,MATCH($A1781,'Cohort Summary'!$A$5:$A$14,0))</f>
        <v>-0.653465346534654</v>
      </c>
      <c r="K1781" s="42" t="n">
        <f aca="false">(F1781-INDEX('Cohort Summary'!$H$5:$H$14,MATCH($A1781,'Cohort Summary'!$A$5:$A$14,0)))/INDEX('Cohort Summary'!$I$5:$I$14,MATCH($A1781,'Cohort Summary'!$A$5:$A$14,0))</f>
        <v>-0.00931677018633465</v>
      </c>
      <c r="L1781" s="42" t="n">
        <f aca="false">(G1781-INDEX('Cohort Summary'!$J$5:$J$14,MATCH($A1781,'Cohort Summary'!$A$5:$A$14,0)))/INDEX('Cohort Summary'!$K$5:$K$14,MATCH($A1781,'Cohort Summary'!$A$5:$A$14,0))</f>
        <v>2.16393442622951</v>
      </c>
      <c r="M1781" s="42" t="n">
        <f aca="false">MAX(I1781:K1781)</f>
        <v>-0.00931677018633465</v>
      </c>
      <c r="N1781" s="27" t="s">
        <v>201</v>
      </c>
      <c r="O1781" s="27" t="s">
        <v>318</v>
      </c>
      <c r="P1781" s="27" t="str">
        <f aca="false">A1781&amp;"|"&amp;N1781</f>
        <v>NURSE-09|caution</v>
      </c>
    </row>
    <row r="1782" customFormat="false" ht="15" hidden="false" customHeight="true" outlineLevel="0" collapsed="false">
      <c r="A1782" s="27" t="s">
        <v>100</v>
      </c>
      <c r="B1782" s="41" t="n">
        <v>46303.3541666667</v>
      </c>
      <c r="C1782" s="27" t="s">
        <v>200</v>
      </c>
      <c r="D1782" s="27" t="n">
        <v>37.2</v>
      </c>
      <c r="E1782" s="27" t="n">
        <v>19.7</v>
      </c>
      <c r="F1782" s="27" t="n">
        <v>28.7</v>
      </c>
      <c r="G1782" s="27" t="n">
        <v>35.9</v>
      </c>
      <c r="H1782" s="27" t="s">
        <v>199</v>
      </c>
      <c r="I1782" s="42" t="n">
        <f aca="false">(D1782-INDEX('Cohort Summary'!$D$5:$D$14,MATCH($A1782,'Cohort Summary'!$A$5:$A$14,0)))/INDEX('Cohort Summary'!$E$5:$E$14,MATCH($A1782,'Cohort Summary'!$A$5:$A$14,0))</f>
        <v>-1.26551724137931</v>
      </c>
      <c r="J1782" s="42" t="n">
        <f aca="false">(E1782-INDEX('Cohort Summary'!$F$5:$F$14,MATCH($A1782,'Cohort Summary'!$A$5:$A$14,0)))/INDEX('Cohort Summary'!$G$5:$G$14,MATCH($A1782,'Cohort Summary'!$A$5:$A$14,0))</f>
        <v>0.831683168316832</v>
      </c>
      <c r="K1782" s="42" t="n">
        <f aca="false">(F1782-INDEX('Cohort Summary'!$H$5:$H$14,MATCH($A1782,'Cohort Summary'!$A$5:$A$14,0)))/INDEX('Cohort Summary'!$I$5:$I$14,MATCH($A1782,'Cohort Summary'!$A$5:$A$14,0))</f>
        <v>-0.661490683229813</v>
      </c>
      <c r="L1782" s="42" t="n">
        <f aca="false">(G1782-INDEX('Cohort Summary'!$J$5:$J$14,MATCH($A1782,'Cohort Summary'!$A$5:$A$14,0)))/INDEX('Cohort Summary'!$K$5:$K$14,MATCH($A1782,'Cohort Summary'!$A$5:$A$14,0))</f>
        <v>4.62295081967213</v>
      </c>
      <c r="M1782" s="42" t="n">
        <f aca="false">MAX(I1782:K1782)</f>
        <v>0.831683168316832</v>
      </c>
      <c r="N1782" s="27" t="s">
        <v>201</v>
      </c>
      <c r="O1782" s="27" t="s">
        <v>323</v>
      </c>
      <c r="P1782" s="27" t="str">
        <f aca="false">A1782&amp;"|"&amp;N1782</f>
        <v>NURSE-09|caution</v>
      </c>
    </row>
    <row r="1783" customFormat="false" ht="15" hidden="false" customHeight="true" outlineLevel="0" collapsed="false">
      <c r="A1783" s="27" t="s">
        <v>100</v>
      </c>
      <c r="B1783" s="41" t="n">
        <v>46303.3545138889</v>
      </c>
      <c r="C1783" s="27" t="s">
        <v>200</v>
      </c>
      <c r="D1783" s="27" t="n">
        <v>43.5</v>
      </c>
      <c r="E1783" s="27" t="n">
        <v>20.6</v>
      </c>
      <c r="F1783" s="27" t="n">
        <v>29.2</v>
      </c>
      <c r="G1783" s="27" t="n">
        <v>35.5</v>
      </c>
      <c r="H1783" s="27" t="s">
        <v>198</v>
      </c>
      <c r="I1783" s="42" t="n">
        <f aca="false">(D1783-INDEX('Cohort Summary'!$D$5:$D$14,MATCH($A1783,'Cohort Summary'!$A$5:$A$14,0)))/INDEX('Cohort Summary'!$E$5:$E$14,MATCH($A1783,'Cohort Summary'!$A$5:$A$14,0))</f>
        <v>0.906896551724139</v>
      </c>
      <c r="J1783" s="42" t="n">
        <f aca="false">(E1783-INDEX('Cohort Summary'!$F$5:$F$14,MATCH($A1783,'Cohort Summary'!$A$5:$A$14,0)))/INDEX('Cohort Summary'!$G$5:$G$14,MATCH($A1783,'Cohort Summary'!$A$5:$A$14,0))</f>
        <v>1.27722772277228</v>
      </c>
      <c r="K1783" s="42" t="n">
        <f aca="false">(F1783-INDEX('Cohort Summary'!$H$5:$H$14,MATCH($A1783,'Cohort Summary'!$A$5:$A$14,0)))/INDEX('Cohort Summary'!$I$5:$I$14,MATCH($A1783,'Cohort Summary'!$A$5:$A$14,0))</f>
        <v>-0.506211180124223</v>
      </c>
      <c r="L1783" s="42" t="n">
        <f aca="false">(G1783-INDEX('Cohort Summary'!$J$5:$J$14,MATCH($A1783,'Cohort Summary'!$A$5:$A$14,0)))/INDEX('Cohort Summary'!$K$5:$K$14,MATCH($A1783,'Cohort Summary'!$A$5:$A$14,0))</f>
        <v>3.9672131147541</v>
      </c>
      <c r="M1783" s="42" t="n">
        <f aca="false">MAX(I1783:K1783)</f>
        <v>1.27722772277228</v>
      </c>
      <c r="N1783" s="27" t="s">
        <v>201</v>
      </c>
      <c r="O1783" s="27" t="s">
        <v>324</v>
      </c>
      <c r="P1783" s="27" t="str">
        <f aca="false">A1783&amp;"|"&amp;N1783</f>
        <v>NURSE-09|caution</v>
      </c>
    </row>
    <row r="1784" customFormat="false" ht="15" hidden="false" customHeight="true" outlineLevel="0" collapsed="false">
      <c r="A1784" s="27" t="s">
        <v>100</v>
      </c>
      <c r="B1784" s="41" t="n">
        <v>46303.3548611111</v>
      </c>
      <c r="C1784" s="27" t="s">
        <v>200</v>
      </c>
      <c r="D1784" s="27" t="n">
        <v>42.2</v>
      </c>
      <c r="E1784" s="27" t="n">
        <v>17.7</v>
      </c>
      <c r="F1784" s="27" t="n">
        <v>35.8</v>
      </c>
      <c r="G1784" s="27" t="n">
        <v>34.9</v>
      </c>
      <c r="H1784" s="27" t="s">
        <v>199</v>
      </c>
      <c r="I1784" s="42" t="n">
        <f aca="false">(D1784-INDEX('Cohort Summary'!$D$5:$D$14,MATCH($A1784,'Cohort Summary'!$A$5:$A$14,0)))/INDEX('Cohort Summary'!$E$5:$E$14,MATCH($A1784,'Cohort Summary'!$A$5:$A$14,0))</f>
        <v>0.458620689655174</v>
      </c>
      <c r="J1784" s="42" t="n">
        <f aca="false">(E1784-INDEX('Cohort Summary'!$F$5:$F$14,MATCH($A1784,'Cohort Summary'!$A$5:$A$14,0)))/INDEX('Cohort Summary'!$G$5:$G$14,MATCH($A1784,'Cohort Summary'!$A$5:$A$14,0))</f>
        <v>-0.158415841584159</v>
      </c>
      <c r="K1784" s="42" t="n">
        <f aca="false">(F1784-INDEX('Cohort Summary'!$H$5:$H$14,MATCH($A1784,'Cohort Summary'!$A$5:$A$14,0)))/INDEX('Cohort Summary'!$I$5:$I$14,MATCH($A1784,'Cohort Summary'!$A$5:$A$14,0))</f>
        <v>1.54347826086956</v>
      </c>
      <c r="L1784" s="42" t="n">
        <f aca="false">(G1784-INDEX('Cohort Summary'!$J$5:$J$14,MATCH($A1784,'Cohort Summary'!$A$5:$A$14,0)))/INDEX('Cohort Summary'!$K$5:$K$14,MATCH($A1784,'Cohort Summary'!$A$5:$A$14,0))</f>
        <v>2.98360655737705</v>
      </c>
      <c r="M1784" s="42" t="n">
        <f aca="false">MAX(I1784:K1784)</f>
        <v>1.54347826086956</v>
      </c>
      <c r="N1784" s="27" t="s">
        <v>201</v>
      </c>
      <c r="O1784" s="27" t="s">
        <v>322</v>
      </c>
      <c r="P1784" s="27" t="str">
        <f aca="false">A1784&amp;"|"&amp;N1784</f>
        <v>NURSE-09|caution</v>
      </c>
    </row>
    <row r="1785" customFormat="false" ht="15" hidden="false" customHeight="true" outlineLevel="0" collapsed="false">
      <c r="A1785" s="27" t="s">
        <v>100</v>
      </c>
      <c r="B1785" s="41" t="n">
        <v>46303.3552083333</v>
      </c>
      <c r="C1785" s="27" t="s">
        <v>200</v>
      </c>
      <c r="D1785" s="27" t="n">
        <v>42.6</v>
      </c>
      <c r="E1785" s="27" t="n">
        <v>21</v>
      </c>
      <c r="F1785" s="27" t="n">
        <v>35.7</v>
      </c>
      <c r="G1785" s="27" t="n">
        <v>36.2</v>
      </c>
      <c r="H1785" s="27" t="s">
        <v>196</v>
      </c>
      <c r="I1785" s="42" t="n">
        <f aca="false">(D1785-INDEX('Cohort Summary'!$D$5:$D$14,MATCH($A1785,'Cohort Summary'!$A$5:$A$14,0)))/INDEX('Cohort Summary'!$E$5:$E$14,MATCH($A1785,'Cohort Summary'!$A$5:$A$14,0))</f>
        <v>0.596551724137932</v>
      </c>
      <c r="J1785" s="42" t="n">
        <f aca="false">(E1785-INDEX('Cohort Summary'!$F$5:$F$14,MATCH($A1785,'Cohort Summary'!$A$5:$A$14,0)))/INDEX('Cohort Summary'!$G$5:$G$14,MATCH($A1785,'Cohort Summary'!$A$5:$A$14,0))</f>
        <v>1.47524752475248</v>
      </c>
      <c r="K1785" s="42" t="n">
        <f aca="false">(F1785-INDEX('Cohort Summary'!$H$5:$H$14,MATCH($A1785,'Cohort Summary'!$A$5:$A$14,0)))/INDEX('Cohort Summary'!$I$5:$I$14,MATCH($A1785,'Cohort Summary'!$A$5:$A$14,0))</f>
        <v>1.51242236024845</v>
      </c>
      <c r="L1785" s="42" t="n">
        <f aca="false">(G1785-INDEX('Cohort Summary'!$J$5:$J$14,MATCH($A1785,'Cohort Summary'!$A$5:$A$14,0)))/INDEX('Cohort Summary'!$K$5:$K$14,MATCH($A1785,'Cohort Summary'!$A$5:$A$14,0))</f>
        <v>5.11475409836066</v>
      </c>
      <c r="M1785" s="42" t="n">
        <f aca="false">MAX(I1785:K1785)</f>
        <v>1.51242236024845</v>
      </c>
      <c r="N1785" s="27" t="s">
        <v>201</v>
      </c>
      <c r="O1785" s="27" t="s">
        <v>327</v>
      </c>
      <c r="P1785" s="27" t="str">
        <f aca="false">A1785&amp;"|"&amp;N1785</f>
        <v>NURSE-09|caution</v>
      </c>
    </row>
    <row r="1786" customFormat="false" ht="15" hidden="false" customHeight="true" outlineLevel="0" collapsed="false">
      <c r="A1786" s="27" t="s">
        <v>100</v>
      </c>
      <c r="B1786" s="41" t="n">
        <v>46303.3555555556</v>
      </c>
      <c r="C1786" s="27" t="s">
        <v>200</v>
      </c>
      <c r="D1786" s="27" t="n">
        <v>37.2</v>
      </c>
      <c r="E1786" s="27" t="n">
        <v>19.8</v>
      </c>
      <c r="F1786" s="27" t="n">
        <v>35.3</v>
      </c>
      <c r="G1786" s="27" t="n">
        <v>35.7</v>
      </c>
      <c r="H1786" s="27" t="s">
        <v>198</v>
      </c>
      <c r="I1786" s="42" t="n">
        <f aca="false">(D1786-INDEX('Cohort Summary'!$D$5:$D$14,MATCH($A1786,'Cohort Summary'!$A$5:$A$14,0)))/INDEX('Cohort Summary'!$E$5:$E$14,MATCH($A1786,'Cohort Summary'!$A$5:$A$14,0))</f>
        <v>-1.26551724137931</v>
      </c>
      <c r="J1786" s="42" t="n">
        <f aca="false">(E1786-INDEX('Cohort Summary'!$F$5:$F$14,MATCH($A1786,'Cohort Summary'!$A$5:$A$14,0)))/INDEX('Cohort Summary'!$G$5:$G$14,MATCH($A1786,'Cohort Summary'!$A$5:$A$14,0))</f>
        <v>0.881188118811882</v>
      </c>
      <c r="K1786" s="42" t="n">
        <f aca="false">(F1786-INDEX('Cohort Summary'!$H$5:$H$14,MATCH($A1786,'Cohort Summary'!$A$5:$A$14,0)))/INDEX('Cohort Summary'!$I$5:$I$14,MATCH($A1786,'Cohort Summary'!$A$5:$A$14,0))</f>
        <v>1.38819875776397</v>
      </c>
      <c r="L1786" s="42" t="n">
        <f aca="false">(G1786-INDEX('Cohort Summary'!$J$5:$J$14,MATCH($A1786,'Cohort Summary'!$A$5:$A$14,0)))/INDEX('Cohort Summary'!$K$5:$K$14,MATCH($A1786,'Cohort Summary'!$A$5:$A$14,0))</f>
        <v>4.29508196721312</v>
      </c>
      <c r="M1786" s="42" t="n">
        <f aca="false">MAX(I1786:K1786)</f>
        <v>1.38819875776397</v>
      </c>
      <c r="N1786" s="27" t="s">
        <v>201</v>
      </c>
      <c r="O1786" s="27" t="s">
        <v>328</v>
      </c>
      <c r="P1786" s="27" t="str">
        <f aca="false">A1786&amp;"|"&amp;N1786</f>
        <v>NURSE-09|caution</v>
      </c>
    </row>
    <row r="1787" customFormat="false" ht="15" hidden="false" customHeight="true" outlineLevel="0" collapsed="false">
      <c r="A1787" s="27" t="s">
        <v>100</v>
      </c>
      <c r="B1787" s="41" t="n">
        <v>46303.3559027778</v>
      </c>
      <c r="C1787" s="27" t="s">
        <v>200</v>
      </c>
      <c r="D1787" s="27" t="n">
        <v>38.9</v>
      </c>
      <c r="E1787" s="27" t="n">
        <v>17.6</v>
      </c>
      <c r="F1787" s="27" t="n">
        <v>33.3</v>
      </c>
      <c r="G1787" s="27" t="n">
        <v>35.2</v>
      </c>
      <c r="H1787" s="27" t="s">
        <v>198</v>
      </c>
      <c r="I1787" s="42" t="n">
        <f aca="false">(D1787-INDEX('Cohort Summary'!$D$5:$D$14,MATCH($A1787,'Cohort Summary'!$A$5:$A$14,0)))/INDEX('Cohort Summary'!$E$5:$E$14,MATCH($A1787,'Cohort Summary'!$A$5:$A$14,0))</f>
        <v>-0.679310344827586</v>
      </c>
      <c r="J1787" s="42" t="n">
        <f aca="false">(E1787-INDEX('Cohort Summary'!$F$5:$F$14,MATCH($A1787,'Cohort Summary'!$A$5:$A$14,0)))/INDEX('Cohort Summary'!$G$5:$G$14,MATCH($A1787,'Cohort Summary'!$A$5:$A$14,0))</f>
        <v>-0.207920792079207</v>
      </c>
      <c r="K1787" s="42" t="n">
        <f aca="false">(F1787-INDEX('Cohort Summary'!$H$5:$H$14,MATCH($A1787,'Cohort Summary'!$A$5:$A$14,0)))/INDEX('Cohort Summary'!$I$5:$I$14,MATCH($A1787,'Cohort Summary'!$A$5:$A$14,0))</f>
        <v>0.767080745341615</v>
      </c>
      <c r="L1787" s="42" t="n">
        <f aca="false">(G1787-INDEX('Cohort Summary'!$J$5:$J$14,MATCH($A1787,'Cohort Summary'!$A$5:$A$14,0)))/INDEX('Cohort Summary'!$K$5:$K$14,MATCH($A1787,'Cohort Summary'!$A$5:$A$14,0))</f>
        <v>3.47540983606558</v>
      </c>
      <c r="M1787" s="42" t="n">
        <f aca="false">MAX(I1787:K1787)</f>
        <v>0.767080745341615</v>
      </c>
      <c r="N1787" s="27" t="s">
        <v>201</v>
      </c>
      <c r="O1787" s="27" t="s">
        <v>326</v>
      </c>
      <c r="P1787" s="27" t="str">
        <f aca="false">A1787&amp;"|"&amp;N1787</f>
        <v>NURSE-09|caution</v>
      </c>
    </row>
    <row r="1788" customFormat="false" ht="15" hidden="false" customHeight="true" outlineLevel="0" collapsed="false">
      <c r="A1788" s="27" t="s">
        <v>100</v>
      </c>
      <c r="B1788" s="41" t="n">
        <v>46303.35625</v>
      </c>
      <c r="C1788" s="27" t="s">
        <v>200</v>
      </c>
      <c r="D1788" s="27" t="n">
        <v>37.1</v>
      </c>
      <c r="E1788" s="27" t="n">
        <v>21.2</v>
      </c>
      <c r="F1788" s="27" t="n">
        <v>31.7</v>
      </c>
      <c r="G1788" s="27" t="n">
        <v>36.5</v>
      </c>
      <c r="H1788" s="27" t="s">
        <v>199</v>
      </c>
      <c r="I1788" s="42" t="n">
        <f aca="false">(D1788-INDEX('Cohort Summary'!$D$5:$D$14,MATCH($A1788,'Cohort Summary'!$A$5:$A$14,0)))/INDEX('Cohort Summary'!$E$5:$E$14,MATCH($A1788,'Cohort Summary'!$A$5:$A$14,0))</f>
        <v>-1.3</v>
      </c>
      <c r="J1788" s="42" t="n">
        <f aca="false">(E1788-INDEX('Cohort Summary'!$F$5:$F$14,MATCH($A1788,'Cohort Summary'!$A$5:$A$14,0)))/INDEX('Cohort Summary'!$G$5:$G$14,MATCH($A1788,'Cohort Summary'!$A$5:$A$14,0))</f>
        <v>1.57425742574257</v>
      </c>
      <c r="K1788" s="42" t="n">
        <f aca="false">(F1788-INDEX('Cohort Summary'!$H$5:$H$14,MATCH($A1788,'Cohort Summary'!$A$5:$A$14,0)))/INDEX('Cohort Summary'!$I$5:$I$14,MATCH($A1788,'Cohort Summary'!$A$5:$A$14,0))</f>
        <v>0.270186335403727</v>
      </c>
      <c r="L1788" s="42" t="n">
        <f aca="false">(G1788-INDEX('Cohort Summary'!$J$5:$J$14,MATCH($A1788,'Cohort Summary'!$A$5:$A$14,0)))/INDEX('Cohort Summary'!$K$5:$K$14,MATCH($A1788,'Cohort Summary'!$A$5:$A$14,0))</f>
        <v>5.60655737704918</v>
      </c>
      <c r="M1788" s="42" t="n">
        <f aca="false">MAX(I1788:K1788)</f>
        <v>1.57425742574257</v>
      </c>
      <c r="N1788" s="27" t="s">
        <v>201</v>
      </c>
      <c r="O1788" s="27" t="s">
        <v>329</v>
      </c>
      <c r="P1788" s="27" t="str">
        <f aca="false">A1788&amp;"|"&amp;N1788</f>
        <v>NURSE-09|caution</v>
      </c>
    </row>
    <row r="1789" customFormat="false" ht="15" hidden="false" customHeight="true" outlineLevel="0" collapsed="false">
      <c r="A1789" s="27" t="s">
        <v>100</v>
      </c>
      <c r="B1789" s="41" t="n">
        <v>46303.3565972222</v>
      </c>
      <c r="C1789" s="27" t="s">
        <v>200</v>
      </c>
      <c r="D1789" s="27" t="n">
        <v>40.6</v>
      </c>
      <c r="E1789" s="27" t="n">
        <v>18.8</v>
      </c>
      <c r="F1789" s="27" t="n">
        <v>31.9</v>
      </c>
      <c r="G1789" s="27" t="n">
        <v>36.3</v>
      </c>
      <c r="H1789" s="27" t="s">
        <v>199</v>
      </c>
      <c r="I1789" s="42" t="n">
        <f aca="false">(D1789-INDEX('Cohort Summary'!$D$5:$D$14,MATCH($A1789,'Cohort Summary'!$A$5:$A$14,0)))/INDEX('Cohort Summary'!$E$5:$E$14,MATCH($A1789,'Cohort Summary'!$A$5:$A$14,0))</f>
        <v>-0.0931034482758607</v>
      </c>
      <c r="J1789" s="42" t="n">
        <f aca="false">(E1789-INDEX('Cohort Summary'!$F$5:$F$14,MATCH($A1789,'Cohort Summary'!$A$5:$A$14,0)))/INDEX('Cohort Summary'!$G$5:$G$14,MATCH($A1789,'Cohort Summary'!$A$5:$A$14,0))</f>
        <v>0.386138613861387</v>
      </c>
      <c r="K1789" s="42" t="n">
        <f aca="false">(F1789-INDEX('Cohort Summary'!$H$5:$H$14,MATCH($A1789,'Cohort Summary'!$A$5:$A$14,0)))/INDEX('Cohort Summary'!$I$5:$I$14,MATCH($A1789,'Cohort Summary'!$A$5:$A$14,0))</f>
        <v>0.332298136645963</v>
      </c>
      <c r="L1789" s="42" t="n">
        <f aca="false">(G1789-INDEX('Cohort Summary'!$J$5:$J$14,MATCH($A1789,'Cohort Summary'!$A$5:$A$14,0)))/INDEX('Cohort Summary'!$K$5:$K$14,MATCH($A1789,'Cohort Summary'!$A$5:$A$14,0))</f>
        <v>5.27868852459016</v>
      </c>
      <c r="M1789" s="42" t="n">
        <f aca="false">MAX(I1789:K1789)</f>
        <v>0.386138613861387</v>
      </c>
      <c r="N1789" s="27" t="s">
        <v>201</v>
      </c>
      <c r="O1789" s="27" t="s">
        <v>330</v>
      </c>
      <c r="P1789" s="27" t="str">
        <f aca="false">A1789&amp;"|"&amp;N1789</f>
        <v>NURSE-09|caution</v>
      </c>
    </row>
    <row r="1790" customFormat="false" ht="15" hidden="false" customHeight="true" outlineLevel="0" collapsed="false">
      <c r="A1790" s="27" t="s">
        <v>100</v>
      </c>
      <c r="B1790" s="41" t="n">
        <v>46303.3569444444</v>
      </c>
      <c r="C1790" s="27" t="s">
        <v>200</v>
      </c>
      <c r="D1790" s="27" t="n">
        <v>38.8</v>
      </c>
      <c r="E1790" s="27" t="n">
        <v>21.3</v>
      </c>
      <c r="F1790" s="27" t="n">
        <v>32.4</v>
      </c>
      <c r="G1790" s="27" t="n">
        <v>35.7</v>
      </c>
      <c r="H1790" s="27" t="s">
        <v>198</v>
      </c>
      <c r="I1790" s="42" t="n">
        <f aca="false">(D1790-INDEX('Cohort Summary'!$D$5:$D$14,MATCH($A1790,'Cohort Summary'!$A$5:$A$14,0)))/INDEX('Cohort Summary'!$E$5:$E$14,MATCH($A1790,'Cohort Summary'!$A$5:$A$14,0))</f>
        <v>-0.713793103448276</v>
      </c>
      <c r="J1790" s="42" t="n">
        <f aca="false">(E1790-INDEX('Cohort Summary'!$F$5:$F$14,MATCH($A1790,'Cohort Summary'!$A$5:$A$14,0)))/INDEX('Cohort Summary'!$G$5:$G$14,MATCH($A1790,'Cohort Summary'!$A$5:$A$14,0))</f>
        <v>1.62376237623762</v>
      </c>
      <c r="K1790" s="42" t="n">
        <f aca="false">(F1790-INDEX('Cohort Summary'!$H$5:$H$14,MATCH($A1790,'Cohort Summary'!$A$5:$A$14,0)))/INDEX('Cohort Summary'!$I$5:$I$14,MATCH($A1790,'Cohort Summary'!$A$5:$A$14,0))</f>
        <v>0.487577639751553</v>
      </c>
      <c r="L1790" s="42" t="n">
        <f aca="false">(G1790-INDEX('Cohort Summary'!$J$5:$J$14,MATCH($A1790,'Cohort Summary'!$A$5:$A$14,0)))/INDEX('Cohort Summary'!$K$5:$K$14,MATCH($A1790,'Cohort Summary'!$A$5:$A$14,0))</f>
        <v>4.29508196721312</v>
      </c>
      <c r="M1790" s="42" t="n">
        <f aca="false">MAX(I1790:K1790)</f>
        <v>1.62376237623762</v>
      </c>
      <c r="N1790" s="27" t="s">
        <v>201</v>
      </c>
      <c r="O1790" s="27" t="s">
        <v>328</v>
      </c>
      <c r="P1790" s="27" t="str">
        <f aca="false">A1790&amp;"|"&amp;N1790</f>
        <v>NURSE-09|caution</v>
      </c>
    </row>
    <row r="1791" customFormat="false" ht="15" hidden="false" customHeight="true" outlineLevel="0" collapsed="false">
      <c r="A1791" s="27" t="s">
        <v>100</v>
      </c>
      <c r="B1791" s="41" t="n">
        <v>46303.3572916667</v>
      </c>
      <c r="C1791" s="27" t="s">
        <v>200</v>
      </c>
      <c r="D1791" s="27" t="n">
        <v>45.2</v>
      </c>
      <c r="E1791" s="27" t="n">
        <v>15.9</v>
      </c>
      <c r="F1791" s="27" t="n">
        <v>29.6</v>
      </c>
      <c r="G1791" s="27" t="n">
        <v>36.4</v>
      </c>
      <c r="H1791" s="27" t="s">
        <v>196</v>
      </c>
      <c r="I1791" s="42" t="n">
        <f aca="false">(D1791-INDEX('Cohort Summary'!$D$5:$D$14,MATCH($A1791,'Cohort Summary'!$A$5:$A$14,0)))/INDEX('Cohort Summary'!$E$5:$E$14,MATCH($A1791,'Cohort Summary'!$A$5:$A$14,0))</f>
        <v>1.49310344827586</v>
      </c>
      <c r="J1791" s="42" t="n">
        <f aca="false">(E1791-INDEX('Cohort Summary'!$F$5:$F$14,MATCH($A1791,'Cohort Summary'!$A$5:$A$14,0)))/INDEX('Cohort Summary'!$G$5:$G$14,MATCH($A1791,'Cohort Summary'!$A$5:$A$14,0))</f>
        <v>-1.04950495049505</v>
      </c>
      <c r="K1791" s="42" t="n">
        <f aca="false">(F1791-INDEX('Cohort Summary'!$H$5:$H$14,MATCH($A1791,'Cohort Summary'!$A$5:$A$14,0)))/INDEX('Cohort Summary'!$I$5:$I$14,MATCH($A1791,'Cohort Summary'!$A$5:$A$14,0))</f>
        <v>-0.381987577639751</v>
      </c>
      <c r="L1791" s="42" t="n">
        <f aca="false">(G1791-INDEX('Cohort Summary'!$J$5:$J$14,MATCH($A1791,'Cohort Summary'!$A$5:$A$14,0)))/INDEX('Cohort Summary'!$K$5:$K$14,MATCH($A1791,'Cohort Summary'!$A$5:$A$14,0))</f>
        <v>5.44262295081967</v>
      </c>
      <c r="M1791" s="42" t="n">
        <f aca="false">MAX(I1791:K1791)</f>
        <v>1.49310344827586</v>
      </c>
      <c r="N1791" s="27" t="s">
        <v>201</v>
      </c>
      <c r="O1791" s="27" t="s">
        <v>225</v>
      </c>
      <c r="P1791" s="27" t="str">
        <f aca="false">A1791&amp;"|"&amp;N1791</f>
        <v>NURSE-09|caution</v>
      </c>
    </row>
    <row r="1792" customFormat="false" ht="15" hidden="false" customHeight="true" outlineLevel="0" collapsed="false">
      <c r="A1792" s="27" t="s">
        <v>100</v>
      </c>
      <c r="B1792" s="41" t="n">
        <v>46303.3576388889</v>
      </c>
      <c r="C1792" s="27" t="s">
        <v>200</v>
      </c>
      <c r="D1792" s="27" t="n">
        <v>45.8</v>
      </c>
      <c r="E1792" s="27" t="n">
        <v>21.9</v>
      </c>
      <c r="F1792" s="27" t="n">
        <v>29</v>
      </c>
      <c r="G1792" s="27" t="n">
        <v>34.8</v>
      </c>
      <c r="H1792" s="27" t="s">
        <v>198</v>
      </c>
      <c r="I1792" s="42" t="n">
        <f aca="false">(D1792-INDEX('Cohort Summary'!$D$5:$D$14,MATCH($A1792,'Cohort Summary'!$A$5:$A$14,0)))/INDEX('Cohort Summary'!$E$5:$E$14,MATCH($A1792,'Cohort Summary'!$A$5:$A$14,0))</f>
        <v>1.7</v>
      </c>
      <c r="J1792" s="42" t="n">
        <f aca="false">(E1792-INDEX('Cohort Summary'!$F$5:$F$14,MATCH($A1792,'Cohort Summary'!$A$5:$A$14,0)))/INDEX('Cohort Summary'!$G$5:$G$14,MATCH($A1792,'Cohort Summary'!$A$5:$A$14,0))</f>
        <v>1.92079207920792</v>
      </c>
      <c r="K1792" s="42" t="n">
        <f aca="false">(F1792-INDEX('Cohort Summary'!$H$5:$H$14,MATCH($A1792,'Cohort Summary'!$A$5:$A$14,0)))/INDEX('Cohort Summary'!$I$5:$I$14,MATCH($A1792,'Cohort Summary'!$A$5:$A$14,0))</f>
        <v>-0.568322981366459</v>
      </c>
      <c r="L1792" s="42" t="n">
        <f aca="false">(G1792-INDEX('Cohort Summary'!$J$5:$J$14,MATCH($A1792,'Cohort Summary'!$A$5:$A$14,0)))/INDEX('Cohort Summary'!$K$5:$K$14,MATCH($A1792,'Cohort Summary'!$A$5:$A$14,0))</f>
        <v>2.81967213114754</v>
      </c>
      <c r="M1792" s="42" t="n">
        <f aca="false">MAX(I1792:K1792)</f>
        <v>1.92079207920792</v>
      </c>
      <c r="N1792" s="27" t="s">
        <v>201</v>
      </c>
      <c r="O1792" s="27" t="s">
        <v>317</v>
      </c>
      <c r="P1792" s="27" t="str">
        <f aca="false">A1792&amp;"|"&amp;N1792</f>
        <v>NURSE-09|caution</v>
      </c>
    </row>
    <row r="1793" customFormat="false" ht="15" hidden="false" customHeight="true" outlineLevel="0" collapsed="false">
      <c r="A1793" s="27" t="s">
        <v>100</v>
      </c>
      <c r="B1793" s="41" t="n">
        <v>46303.3579861111</v>
      </c>
      <c r="C1793" s="27" t="s">
        <v>200</v>
      </c>
      <c r="D1793" s="27" t="n">
        <v>38.2</v>
      </c>
      <c r="E1793" s="27" t="n">
        <v>21.9</v>
      </c>
      <c r="F1793" s="27" t="n">
        <v>32</v>
      </c>
      <c r="G1793" s="27" t="n">
        <v>36.4</v>
      </c>
      <c r="H1793" s="27" t="s">
        <v>196</v>
      </c>
      <c r="I1793" s="42" t="n">
        <f aca="false">(D1793-INDEX('Cohort Summary'!$D$5:$D$14,MATCH($A1793,'Cohort Summary'!$A$5:$A$14,0)))/INDEX('Cohort Summary'!$E$5:$E$14,MATCH($A1793,'Cohort Summary'!$A$5:$A$14,0))</f>
        <v>-0.920689655172412</v>
      </c>
      <c r="J1793" s="42" t="n">
        <f aca="false">(E1793-INDEX('Cohort Summary'!$F$5:$F$14,MATCH($A1793,'Cohort Summary'!$A$5:$A$14,0)))/INDEX('Cohort Summary'!$G$5:$G$14,MATCH($A1793,'Cohort Summary'!$A$5:$A$14,0))</f>
        <v>1.92079207920792</v>
      </c>
      <c r="K1793" s="42" t="n">
        <f aca="false">(F1793-INDEX('Cohort Summary'!$H$5:$H$14,MATCH($A1793,'Cohort Summary'!$A$5:$A$14,0)))/INDEX('Cohort Summary'!$I$5:$I$14,MATCH($A1793,'Cohort Summary'!$A$5:$A$14,0))</f>
        <v>0.363354037267081</v>
      </c>
      <c r="L1793" s="42" t="n">
        <f aca="false">(G1793-INDEX('Cohort Summary'!$J$5:$J$14,MATCH($A1793,'Cohort Summary'!$A$5:$A$14,0)))/INDEX('Cohort Summary'!$K$5:$K$14,MATCH($A1793,'Cohort Summary'!$A$5:$A$14,0))</f>
        <v>5.44262295081967</v>
      </c>
      <c r="M1793" s="42" t="n">
        <f aca="false">MAX(I1793:K1793)</f>
        <v>1.92079207920792</v>
      </c>
      <c r="N1793" s="27" t="s">
        <v>201</v>
      </c>
      <c r="O1793" s="27" t="s">
        <v>225</v>
      </c>
      <c r="P1793" s="27" t="str">
        <f aca="false">A1793&amp;"|"&amp;N1793</f>
        <v>NURSE-09|caution</v>
      </c>
    </row>
    <row r="1794" customFormat="false" ht="15" hidden="false" customHeight="true" outlineLevel="0" collapsed="false">
      <c r="A1794" s="27" t="s">
        <v>100</v>
      </c>
      <c r="B1794" s="41" t="n">
        <v>46303.3583333333</v>
      </c>
      <c r="C1794" s="27" t="s">
        <v>200</v>
      </c>
      <c r="D1794" s="27" t="n">
        <v>42.8</v>
      </c>
      <c r="E1794" s="27" t="n">
        <v>16.1</v>
      </c>
      <c r="F1794" s="27" t="n">
        <v>27.2</v>
      </c>
      <c r="G1794" s="27" t="n">
        <v>35.4</v>
      </c>
      <c r="H1794" s="27" t="s">
        <v>198</v>
      </c>
      <c r="I1794" s="42" t="n">
        <f aca="false">(D1794-INDEX('Cohort Summary'!$D$5:$D$14,MATCH($A1794,'Cohort Summary'!$A$5:$A$14,0)))/INDEX('Cohort Summary'!$E$5:$E$14,MATCH($A1794,'Cohort Summary'!$A$5:$A$14,0))</f>
        <v>0.66551724137931</v>
      </c>
      <c r="J1794" s="42" t="n">
        <f aca="false">(E1794-INDEX('Cohort Summary'!$F$5:$F$14,MATCH($A1794,'Cohort Summary'!$A$5:$A$14,0)))/INDEX('Cohort Summary'!$G$5:$G$14,MATCH($A1794,'Cohort Summary'!$A$5:$A$14,0))</f>
        <v>-0.95049504950495</v>
      </c>
      <c r="K1794" s="42" t="n">
        <f aca="false">(F1794-INDEX('Cohort Summary'!$H$5:$H$14,MATCH($A1794,'Cohort Summary'!$A$5:$A$14,0)))/INDEX('Cohort Summary'!$I$5:$I$14,MATCH($A1794,'Cohort Summary'!$A$5:$A$14,0))</f>
        <v>-1.12732919254658</v>
      </c>
      <c r="L1794" s="42" t="n">
        <f aca="false">(G1794-INDEX('Cohort Summary'!$J$5:$J$14,MATCH($A1794,'Cohort Summary'!$A$5:$A$14,0)))/INDEX('Cohort Summary'!$K$5:$K$14,MATCH($A1794,'Cohort Summary'!$A$5:$A$14,0))</f>
        <v>3.80327868852459</v>
      </c>
      <c r="M1794" s="42" t="n">
        <f aca="false">MAX(I1794:K1794)</f>
        <v>0.66551724137931</v>
      </c>
      <c r="N1794" s="27" t="s">
        <v>201</v>
      </c>
      <c r="O1794" s="27" t="s">
        <v>227</v>
      </c>
      <c r="P1794" s="27" t="str">
        <f aca="false">A1794&amp;"|"&amp;N1794</f>
        <v>NURSE-09|caution</v>
      </c>
    </row>
    <row r="1795" customFormat="false" ht="15" hidden="false" customHeight="true" outlineLevel="0" collapsed="false">
      <c r="A1795" s="27" t="s">
        <v>100</v>
      </c>
      <c r="B1795" s="41" t="n">
        <v>46303.3586805556</v>
      </c>
      <c r="C1795" s="27" t="s">
        <v>200</v>
      </c>
      <c r="D1795" s="27" t="n">
        <v>37.4</v>
      </c>
      <c r="E1795" s="27" t="n">
        <v>19.9</v>
      </c>
      <c r="F1795" s="27" t="n">
        <v>34.7</v>
      </c>
      <c r="G1795" s="27" t="n">
        <v>36.5</v>
      </c>
      <c r="H1795" s="27" t="s">
        <v>196</v>
      </c>
      <c r="I1795" s="42" t="n">
        <f aca="false">(D1795-INDEX('Cohort Summary'!$D$5:$D$14,MATCH($A1795,'Cohort Summary'!$A$5:$A$14,0)))/INDEX('Cohort Summary'!$E$5:$E$14,MATCH($A1795,'Cohort Summary'!$A$5:$A$14,0))</f>
        <v>-1.19655172413793</v>
      </c>
      <c r="J1795" s="42" t="n">
        <f aca="false">(E1795-INDEX('Cohort Summary'!$F$5:$F$14,MATCH($A1795,'Cohort Summary'!$A$5:$A$14,0)))/INDEX('Cohort Summary'!$G$5:$G$14,MATCH($A1795,'Cohort Summary'!$A$5:$A$14,0))</f>
        <v>0.93069306930693</v>
      </c>
      <c r="K1795" s="42" t="n">
        <f aca="false">(F1795-INDEX('Cohort Summary'!$H$5:$H$14,MATCH($A1795,'Cohort Summary'!$A$5:$A$14,0)))/INDEX('Cohort Summary'!$I$5:$I$14,MATCH($A1795,'Cohort Summary'!$A$5:$A$14,0))</f>
        <v>1.20186335403727</v>
      </c>
      <c r="L1795" s="42" t="n">
        <f aca="false">(G1795-INDEX('Cohort Summary'!$J$5:$J$14,MATCH($A1795,'Cohort Summary'!$A$5:$A$14,0)))/INDEX('Cohort Summary'!$K$5:$K$14,MATCH($A1795,'Cohort Summary'!$A$5:$A$14,0))</f>
        <v>5.60655737704918</v>
      </c>
      <c r="M1795" s="42" t="n">
        <f aca="false">MAX(I1795:K1795)</f>
        <v>1.20186335403727</v>
      </c>
      <c r="N1795" s="27" t="s">
        <v>201</v>
      </c>
      <c r="O1795" s="27" t="s">
        <v>329</v>
      </c>
      <c r="P1795" s="27" t="str">
        <f aca="false">A1795&amp;"|"&amp;N1795</f>
        <v>NURSE-09|caution</v>
      </c>
    </row>
    <row r="1796" customFormat="false" ht="15" hidden="false" customHeight="true" outlineLevel="0" collapsed="false">
      <c r="A1796" s="27" t="s">
        <v>100</v>
      </c>
      <c r="B1796" s="41" t="n">
        <v>46303.3590277778</v>
      </c>
      <c r="C1796" s="27" t="s">
        <v>200</v>
      </c>
      <c r="D1796" s="27" t="n">
        <v>36.4</v>
      </c>
      <c r="E1796" s="27" t="n">
        <v>20.6</v>
      </c>
      <c r="F1796" s="27" t="n">
        <v>34.4</v>
      </c>
      <c r="G1796" s="27" t="n">
        <v>36.1</v>
      </c>
      <c r="H1796" s="27" t="s">
        <v>199</v>
      </c>
      <c r="I1796" s="42" t="n">
        <f aca="false">(D1796-INDEX('Cohort Summary'!$D$5:$D$14,MATCH($A1796,'Cohort Summary'!$A$5:$A$14,0)))/INDEX('Cohort Summary'!$E$5:$E$14,MATCH($A1796,'Cohort Summary'!$A$5:$A$14,0))</f>
        <v>-1.54137931034483</v>
      </c>
      <c r="J1796" s="42" t="n">
        <f aca="false">(E1796-INDEX('Cohort Summary'!$F$5:$F$14,MATCH($A1796,'Cohort Summary'!$A$5:$A$14,0)))/INDEX('Cohort Summary'!$G$5:$G$14,MATCH($A1796,'Cohort Summary'!$A$5:$A$14,0))</f>
        <v>1.27722772277228</v>
      </c>
      <c r="K1796" s="42" t="n">
        <f aca="false">(F1796-INDEX('Cohort Summary'!$H$5:$H$14,MATCH($A1796,'Cohort Summary'!$A$5:$A$14,0)))/INDEX('Cohort Summary'!$I$5:$I$14,MATCH($A1796,'Cohort Summary'!$A$5:$A$14,0))</f>
        <v>1.10869565217391</v>
      </c>
      <c r="L1796" s="42" t="n">
        <f aca="false">(G1796-INDEX('Cohort Summary'!$J$5:$J$14,MATCH($A1796,'Cohort Summary'!$A$5:$A$14,0)))/INDEX('Cohort Summary'!$K$5:$K$14,MATCH($A1796,'Cohort Summary'!$A$5:$A$14,0))</f>
        <v>4.95081967213115</v>
      </c>
      <c r="M1796" s="42" t="n">
        <f aca="false">MAX(I1796:K1796)</f>
        <v>1.27722772277228</v>
      </c>
      <c r="N1796" s="27" t="s">
        <v>201</v>
      </c>
      <c r="O1796" s="27" t="s">
        <v>325</v>
      </c>
      <c r="P1796" s="27" t="str">
        <f aca="false">A1796&amp;"|"&amp;N1796</f>
        <v>NURSE-09|caution</v>
      </c>
    </row>
    <row r="1797" customFormat="false" ht="15" hidden="false" customHeight="true" outlineLevel="0" collapsed="false">
      <c r="A1797" s="27" t="s">
        <v>100</v>
      </c>
      <c r="B1797" s="41" t="n">
        <v>46303.359375</v>
      </c>
      <c r="C1797" s="27" t="s">
        <v>200</v>
      </c>
      <c r="D1797" s="27" t="n">
        <v>37.1</v>
      </c>
      <c r="E1797" s="27" t="n">
        <v>17.8</v>
      </c>
      <c r="F1797" s="27" t="n">
        <v>30.7</v>
      </c>
      <c r="G1797" s="27" t="n">
        <v>35</v>
      </c>
      <c r="H1797" s="27" t="s">
        <v>199</v>
      </c>
      <c r="I1797" s="42" t="n">
        <f aca="false">(D1797-INDEX('Cohort Summary'!$D$5:$D$14,MATCH($A1797,'Cohort Summary'!$A$5:$A$14,0)))/INDEX('Cohort Summary'!$E$5:$E$14,MATCH($A1797,'Cohort Summary'!$A$5:$A$14,0))</f>
        <v>-1.3</v>
      </c>
      <c r="J1797" s="42" t="n">
        <f aca="false">(E1797-INDEX('Cohort Summary'!$F$5:$F$14,MATCH($A1797,'Cohort Summary'!$A$5:$A$14,0)))/INDEX('Cohort Summary'!$G$5:$G$14,MATCH($A1797,'Cohort Summary'!$A$5:$A$14,0))</f>
        <v>-0.108910891089108</v>
      </c>
      <c r="K1797" s="42" t="n">
        <f aca="false">(F1797-INDEX('Cohort Summary'!$H$5:$H$14,MATCH($A1797,'Cohort Summary'!$A$5:$A$14,0)))/INDEX('Cohort Summary'!$I$5:$I$14,MATCH($A1797,'Cohort Summary'!$A$5:$A$14,0))</f>
        <v>-0.0403726708074531</v>
      </c>
      <c r="L1797" s="42" t="n">
        <f aca="false">(G1797-INDEX('Cohort Summary'!$J$5:$J$14,MATCH($A1797,'Cohort Summary'!$A$5:$A$14,0)))/INDEX('Cohort Summary'!$K$5:$K$14,MATCH($A1797,'Cohort Summary'!$A$5:$A$14,0))</f>
        <v>3.14754098360656</v>
      </c>
      <c r="M1797" s="42" t="n">
        <f aca="false">MAX(I1797:K1797)</f>
        <v>-0.0403726708074531</v>
      </c>
      <c r="N1797" s="27" t="s">
        <v>201</v>
      </c>
      <c r="O1797" s="27" t="s">
        <v>319</v>
      </c>
      <c r="P1797" s="27" t="str">
        <f aca="false">A1797&amp;"|"&amp;N1797</f>
        <v>NURSE-09|caution</v>
      </c>
    </row>
    <row r="1798" customFormat="false" ht="15" hidden="false" customHeight="true" outlineLevel="0" collapsed="false">
      <c r="A1798" s="27" t="s">
        <v>100</v>
      </c>
      <c r="B1798" s="41" t="n">
        <v>46303.3597222222</v>
      </c>
      <c r="C1798" s="27" t="s">
        <v>200</v>
      </c>
      <c r="D1798" s="27" t="n">
        <v>38.2</v>
      </c>
      <c r="E1798" s="27" t="n">
        <v>21.4</v>
      </c>
      <c r="F1798" s="27" t="n">
        <v>33.5</v>
      </c>
      <c r="G1798" s="27" t="n">
        <v>34.9</v>
      </c>
      <c r="H1798" s="27" t="s">
        <v>198</v>
      </c>
      <c r="I1798" s="42" t="n">
        <f aca="false">(D1798-INDEX('Cohort Summary'!$D$5:$D$14,MATCH($A1798,'Cohort Summary'!$A$5:$A$14,0)))/INDEX('Cohort Summary'!$E$5:$E$14,MATCH($A1798,'Cohort Summary'!$A$5:$A$14,0))</f>
        <v>-0.920689655172412</v>
      </c>
      <c r="J1798" s="42" t="n">
        <f aca="false">(E1798-INDEX('Cohort Summary'!$F$5:$F$14,MATCH($A1798,'Cohort Summary'!$A$5:$A$14,0)))/INDEX('Cohort Summary'!$G$5:$G$14,MATCH($A1798,'Cohort Summary'!$A$5:$A$14,0))</f>
        <v>1.67326732673267</v>
      </c>
      <c r="K1798" s="42" t="n">
        <f aca="false">(F1798-INDEX('Cohort Summary'!$H$5:$H$14,MATCH($A1798,'Cohort Summary'!$A$5:$A$14,0)))/INDEX('Cohort Summary'!$I$5:$I$14,MATCH($A1798,'Cohort Summary'!$A$5:$A$14,0))</f>
        <v>0.829192546583851</v>
      </c>
      <c r="L1798" s="42" t="n">
        <f aca="false">(G1798-INDEX('Cohort Summary'!$J$5:$J$14,MATCH($A1798,'Cohort Summary'!$A$5:$A$14,0)))/INDEX('Cohort Summary'!$K$5:$K$14,MATCH($A1798,'Cohort Summary'!$A$5:$A$14,0))</f>
        <v>2.98360655737705</v>
      </c>
      <c r="M1798" s="42" t="n">
        <f aca="false">MAX(I1798:K1798)</f>
        <v>1.67326732673267</v>
      </c>
      <c r="N1798" s="27" t="s">
        <v>201</v>
      </c>
      <c r="O1798" s="27" t="s">
        <v>322</v>
      </c>
      <c r="P1798" s="27" t="str">
        <f aca="false">A1798&amp;"|"&amp;N1798</f>
        <v>NURSE-09|caution</v>
      </c>
    </row>
    <row r="1799" customFormat="false" ht="15" hidden="false" customHeight="true" outlineLevel="0" collapsed="false">
      <c r="A1799" s="27" t="s">
        <v>100</v>
      </c>
      <c r="B1799" s="41" t="n">
        <v>46303.3600694445</v>
      </c>
      <c r="C1799" s="27" t="s">
        <v>200</v>
      </c>
      <c r="D1799" s="27" t="n">
        <v>40.2</v>
      </c>
      <c r="E1799" s="27" t="n">
        <v>20.6</v>
      </c>
      <c r="F1799" s="27" t="n">
        <v>33.5</v>
      </c>
      <c r="G1799" s="27" t="n">
        <v>35.4</v>
      </c>
      <c r="H1799" s="27" t="s">
        <v>199</v>
      </c>
      <c r="I1799" s="42" t="n">
        <f aca="false">(D1799-INDEX('Cohort Summary'!$D$5:$D$14,MATCH($A1799,'Cohort Summary'!$A$5:$A$14,0)))/INDEX('Cohort Summary'!$E$5:$E$14,MATCH($A1799,'Cohort Summary'!$A$5:$A$14,0))</f>
        <v>-0.231034482758619</v>
      </c>
      <c r="J1799" s="42" t="n">
        <f aca="false">(E1799-INDEX('Cohort Summary'!$F$5:$F$14,MATCH($A1799,'Cohort Summary'!$A$5:$A$14,0)))/INDEX('Cohort Summary'!$G$5:$G$14,MATCH($A1799,'Cohort Summary'!$A$5:$A$14,0))</f>
        <v>1.27722772277228</v>
      </c>
      <c r="K1799" s="42" t="n">
        <f aca="false">(F1799-INDEX('Cohort Summary'!$H$5:$H$14,MATCH($A1799,'Cohort Summary'!$A$5:$A$14,0)))/INDEX('Cohort Summary'!$I$5:$I$14,MATCH($A1799,'Cohort Summary'!$A$5:$A$14,0))</f>
        <v>0.829192546583851</v>
      </c>
      <c r="L1799" s="42" t="n">
        <f aca="false">(G1799-INDEX('Cohort Summary'!$J$5:$J$14,MATCH($A1799,'Cohort Summary'!$A$5:$A$14,0)))/INDEX('Cohort Summary'!$K$5:$K$14,MATCH($A1799,'Cohort Summary'!$A$5:$A$14,0))</f>
        <v>3.80327868852459</v>
      </c>
      <c r="M1799" s="42" t="n">
        <f aca="false">MAX(I1799:K1799)</f>
        <v>1.27722772277228</v>
      </c>
      <c r="N1799" s="27" t="s">
        <v>201</v>
      </c>
      <c r="O1799" s="27" t="s">
        <v>227</v>
      </c>
      <c r="P1799" s="27" t="str">
        <f aca="false">A1799&amp;"|"&amp;N1799</f>
        <v>NURSE-09|caution</v>
      </c>
    </row>
    <row r="1800" customFormat="false" ht="15" hidden="false" customHeight="true" outlineLevel="0" collapsed="false">
      <c r="A1800" s="27" t="s">
        <v>100</v>
      </c>
      <c r="B1800" s="41" t="n">
        <v>46303.3604166667</v>
      </c>
      <c r="C1800" s="27" t="s">
        <v>200</v>
      </c>
      <c r="D1800" s="27" t="n">
        <v>38.3</v>
      </c>
      <c r="E1800" s="27" t="n">
        <v>18.3</v>
      </c>
      <c r="F1800" s="27" t="n">
        <v>28.1</v>
      </c>
      <c r="G1800" s="27" t="n">
        <v>36.6</v>
      </c>
      <c r="H1800" s="27" t="s">
        <v>196</v>
      </c>
      <c r="I1800" s="42" t="n">
        <f aca="false">(D1800-INDEX('Cohort Summary'!$D$5:$D$14,MATCH($A1800,'Cohort Summary'!$A$5:$A$14,0)))/INDEX('Cohort Summary'!$E$5:$E$14,MATCH($A1800,'Cohort Summary'!$A$5:$A$14,0))</f>
        <v>-0.886206896551724</v>
      </c>
      <c r="J1800" s="42" t="n">
        <f aca="false">(E1800-INDEX('Cohort Summary'!$F$5:$F$14,MATCH($A1800,'Cohort Summary'!$A$5:$A$14,0)))/INDEX('Cohort Summary'!$G$5:$G$14,MATCH($A1800,'Cohort Summary'!$A$5:$A$14,0))</f>
        <v>0.138613861386139</v>
      </c>
      <c r="K1800" s="42" t="n">
        <f aca="false">(F1800-INDEX('Cohort Summary'!$H$5:$H$14,MATCH($A1800,'Cohort Summary'!$A$5:$A$14,0)))/INDEX('Cohort Summary'!$I$5:$I$14,MATCH($A1800,'Cohort Summary'!$A$5:$A$14,0))</f>
        <v>-0.847826086956521</v>
      </c>
      <c r="L1800" s="42" t="n">
        <f aca="false">(G1800-INDEX('Cohort Summary'!$J$5:$J$14,MATCH($A1800,'Cohort Summary'!$A$5:$A$14,0)))/INDEX('Cohort Summary'!$K$5:$K$14,MATCH($A1800,'Cohort Summary'!$A$5:$A$14,0))</f>
        <v>5.77049180327869</v>
      </c>
      <c r="M1800" s="42" t="n">
        <f aca="false">MAX(I1800:K1800)</f>
        <v>0.138613861386139</v>
      </c>
      <c r="N1800" s="27" t="s">
        <v>201</v>
      </c>
      <c r="O1800" s="27" t="s">
        <v>331</v>
      </c>
      <c r="P1800" s="27" t="str">
        <f aca="false">A1800&amp;"|"&amp;N1800</f>
        <v>NURSE-09|caution</v>
      </c>
    </row>
    <row r="1801" customFormat="false" ht="15" hidden="false" customHeight="true" outlineLevel="0" collapsed="false">
      <c r="A1801" s="27" t="s">
        <v>100</v>
      </c>
      <c r="B1801" s="41" t="n">
        <v>46303.3607638889</v>
      </c>
      <c r="C1801" s="27" t="s">
        <v>200</v>
      </c>
      <c r="D1801" s="27" t="n">
        <v>42.5</v>
      </c>
      <c r="E1801" s="27" t="n">
        <v>20.7</v>
      </c>
      <c r="F1801" s="27" t="n">
        <v>27.7</v>
      </c>
      <c r="G1801" s="27" t="n">
        <v>35.6</v>
      </c>
      <c r="H1801" s="27" t="s">
        <v>196</v>
      </c>
      <c r="I1801" s="42" t="n">
        <f aca="false">(D1801-INDEX('Cohort Summary'!$D$5:$D$14,MATCH($A1801,'Cohort Summary'!$A$5:$A$14,0)))/INDEX('Cohort Summary'!$E$5:$E$14,MATCH($A1801,'Cohort Summary'!$A$5:$A$14,0))</f>
        <v>0.562068965517242</v>
      </c>
      <c r="J1801" s="42" t="n">
        <f aca="false">(E1801-INDEX('Cohort Summary'!$F$5:$F$14,MATCH($A1801,'Cohort Summary'!$A$5:$A$14,0)))/INDEX('Cohort Summary'!$G$5:$G$14,MATCH($A1801,'Cohort Summary'!$A$5:$A$14,0))</f>
        <v>1.32673267326733</v>
      </c>
      <c r="K1801" s="42" t="n">
        <f aca="false">(F1801-INDEX('Cohort Summary'!$H$5:$H$14,MATCH($A1801,'Cohort Summary'!$A$5:$A$14,0)))/INDEX('Cohort Summary'!$I$5:$I$14,MATCH($A1801,'Cohort Summary'!$A$5:$A$14,0))</f>
        <v>-0.972049689440994</v>
      </c>
      <c r="L1801" s="42" t="n">
        <f aca="false">(G1801-INDEX('Cohort Summary'!$J$5:$J$14,MATCH($A1801,'Cohort Summary'!$A$5:$A$14,0)))/INDEX('Cohort Summary'!$K$5:$K$14,MATCH($A1801,'Cohort Summary'!$A$5:$A$14,0))</f>
        <v>4.13114754098361</v>
      </c>
      <c r="M1801" s="42" t="n">
        <f aca="false">MAX(I1801:K1801)</f>
        <v>1.32673267326733</v>
      </c>
      <c r="N1801" s="27" t="s">
        <v>201</v>
      </c>
      <c r="O1801" s="27" t="s">
        <v>229</v>
      </c>
      <c r="P1801" s="27" t="str">
        <f aca="false">A1801&amp;"|"&amp;N1801</f>
        <v>NURSE-09|caution</v>
      </c>
    </row>
    <row r="1802" customFormat="false" ht="15" hidden="false" customHeight="true" outlineLevel="0" collapsed="false">
      <c r="A1802" s="27" t="s">
        <v>104</v>
      </c>
      <c r="B1802" s="41" t="n">
        <v>46303.2916666667</v>
      </c>
      <c r="C1802" s="27" t="s">
        <v>195</v>
      </c>
      <c r="D1802" s="27" t="n">
        <v>45.8</v>
      </c>
      <c r="E1802" s="27" t="n">
        <v>20.6</v>
      </c>
      <c r="F1802" s="27" t="n">
        <v>30.9</v>
      </c>
      <c r="G1802" s="27" t="n">
        <v>33</v>
      </c>
      <c r="H1802" s="27" t="s">
        <v>196</v>
      </c>
      <c r="I1802" s="42" t="n">
        <f aca="false">(D1802-INDEX('Cohort Summary'!$D$5:$D$14,MATCH($A1802,'Cohort Summary'!$A$5:$A$14,0)))/INDEX('Cohort Summary'!$E$5:$E$14,MATCH($A1802,'Cohort Summary'!$A$5:$A$14,0))</f>
        <v>0.982578397212544</v>
      </c>
      <c r="J1802" s="42" t="n">
        <f aca="false">(E1802-INDEX('Cohort Summary'!$F$5:$F$14,MATCH($A1802,'Cohort Summary'!$A$5:$A$14,0)))/INDEX('Cohort Summary'!$G$5:$G$14,MATCH($A1802,'Cohort Summary'!$A$5:$A$14,0))</f>
        <v>0.151219512195123</v>
      </c>
      <c r="K1802" s="42" t="n">
        <f aca="false">(F1802-INDEX('Cohort Summary'!$H$5:$H$14,MATCH($A1802,'Cohort Summary'!$A$5:$A$14,0)))/INDEX('Cohort Summary'!$I$5:$I$14,MATCH($A1802,'Cohort Summary'!$A$5:$A$14,0))</f>
        <v>0.338815789473683</v>
      </c>
      <c r="L1802" s="42" t="n">
        <f aca="false">(G1802-INDEX('Cohort Summary'!$J$5:$J$14,MATCH($A1802,'Cohort Summary'!$A$5:$A$14,0)))/INDEX('Cohort Summary'!$K$5:$K$14,MATCH($A1802,'Cohort Summary'!$A$5:$A$14,0))</f>
        <v>0.0338983050847511</v>
      </c>
      <c r="M1802" s="42" t="n">
        <f aca="false">MAX(I1802:K1802)</f>
        <v>0.982578397212544</v>
      </c>
      <c r="N1802" s="27" t="s">
        <v>197</v>
      </c>
      <c r="O1802" s="27"/>
      <c r="P1802" s="27" t="str">
        <f aca="false">A1802&amp;"|"&amp;N1802</f>
        <v>NURSE-10|normal</v>
      </c>
    </row>
    <row r="1803" customFormat="false" ht="15" hidden="false" customHeight="true" outlineLevel="0" collapsed="false">
      <c r="A1803" s="27" t="s">
        <v>104</v>
      </c>
      <c r="B1803" s="41" t="n">
        <v>46303.2920138889</v>
      </c>
      <c r="C1803" s="27" t="s">
        <v>195</v>
      </c>
      <c r="D1803" s="27" t="n">
        <v>43.3</v>
      </c>
      <c r="E1803" s="27" t="n">
        <v>18.9</v>
      </c>
      <c r="F1803" s="27" t="n">
        <v>30.2</v>
      </c>
      <c r="G1803" s="27" t="n">
        <v>32.4</v>
      </c>
      <c r="H1803" s="27" t="s">
        <v>198</v>
      </c>
      <c r="I1803" s="42" t="n">
        <f aca="false">(D1803-INDEX('Cohort Summary'!$D$5:$D$14,MATCH($A1803,'Cohort Summary'!$A$5:$A$14,0)))/INDEX('Cohort Summary'!$E$5:$E$14,MATCH($A1803,'Cohort Summary'!$A$5:$A$14,0))</f>
        <v>0.111498257839721</v>
      </c>
      <c r="J1803" s="42" t="n">
        <f aca="false">(E1803-INDEX('Cohort Summary'!$F$5:$F$14,MATCH($A1803,'Cohort Summary'!$A$5:$A$14,0)))/INDEX('Cohort Summary'!$G$5:$G$14,MATCH($A1803,'Cohort Summary'!$A$5:$A$14,0))</f>
        <v>-0.678048780487805</v>
      </c>
      <c r="K1803" s="42" t="n">
        <f aca="false">(F1803-INDEX('Cohort Summary'!$H$5:$H$14,MATCH($A1803,'Cohort Summary'!$A$5:$A$14,0)))/INDEX('Cohort Summary'!$I$5:$I$14,MATCH($A1803,'Cohort Summary'!$A$5:$A$14,0))</f>
        <v>0.108552631578947</v>
      </c>
      <c r="L1803" s="42" t="n">
        <f aca="false">(G1803-INDEX('Cohort Summary'!$J$5:$J$14,MATCH($A1803,'Cohort Summary'!$A$5:$A$14,0)))/INDEX('Cohort Summary'!$K$5:$K$14,MATCH($A1803,'Cohort Summary'!$A$5:$A$14,0))</f>
        <v>-0.983050847457624</v>
      </c>
      <c r="M1803" s="42" t="n">
        <f aca="false">MAX(I1803:K1803)</f>
        <v>0.111498257839721</v>
      </c>
      <c r="N1803" s="27" t="s">
        <v>197</v>
      </c>
      <c r="O1803" s="27"/>
      <c r="P1803" s="27" t="str">
        <f aca="false">A1803&amp;"|"&amp;N1803</f>
        <v>NURSE-10|normal</v>
      </c>
    </row>
    <row r="1804" customFormat="false" ht="15" hidden="false" customHeight="true" outlineLevel="0" collapsed="false">
      <c r="A1804" s="27" t="s">
        <v>104</v>
      </c>
      <c r="B1804" s="41" t="n">
        <v>46303.2923611111</v>
      </c>
      <c r="C1804" s="27" t="s">
        <v>195</v>
      </c>
      <c r="D1804" s="27" t="n">
        <v>41.9</v>
      </c>
      <c r="E1804" s="27" t="n">
        <v>21.6</v>
      </c>
      <c r="F1804" s="27" t="n">
        <v>33.2</v>
      </c>
      <c r="G1804" s="27" t="n">
        <v>32.3</v>
      </c>
      <c r="H1804" s="27" t="s">
        <v>196</v>
      </c>
      <c r="I1804" s="42" t="n">
        <f aca="false">(D1804-INDEX('Cohort Summary'!$D$5:$D$14,MATCH($A1804,'Cohort Summary'!$A$5:$A$14,0)))/INDEX('Cohort Summary'!$E$5:$E$14,MATCH($A1804,'Cohort Summary'!$A$5:$A$14,0))</f>
        <v>-0.376306620209059</v>
      </c>
      <c r="J1804" s="42" t="n">
        <f aca="false">(E1804-INDEX('Cohort Summary'!$F$5:$F$14,MATCH($A1804,'Cohort Summary'!$A$5:$A$14,0)))/INDEX('Cohort Summary'!$G$5:$G$14,MATCH($A1804,'Cohort Summary'!$A$5:$A$14,0))</f>
        <v>0.639024390243904</v>
      </c>
      <c r="K1804" s="42" t="n">
        <f aca="false">(F1804-INDEX('Cohort Summary'!$H$5:$H$14,MATCH($A1804,'Cohort Summary'!$A$5:$A$14,0)))/INDEX('Cohort Summary'!$I$5:$I$14,MATCH($A1804,'Cohort Summary'!$A$5:$A$14,0))</f>
        <v>1.09539473684211</v>
      </c>
      <c r="L1804" s="42" t="n">
        <f aca="false">(G1804-INDEX('Cohort Summary'!$J$5:$J$14,MATCH($A1804,'Cohort Summary'!$A$5:$A$14,0)))/INDEX('Cohort Summary'!$K$5:$K$14,MATCH($A1804,'Cohort Summary'!$A$5:$A$14,0))</f>
        <v>-1.15254237288136</v>
      </c>
      <c r="M1804" s="42" t="n">
        <f aca="false">MAX(I1804:K1804)</f>
        <v>1.09539473684211</v>
      </c>
      <c r="N1804" s="27" t="s">
        <v>197</v>
      </c>
      <c r="O1804" s="27"/>
      <c r="P1804" s="27" t="str">
        <f aca="false">A1804&amp;"|"&amp;N1804</f>
        <v>NURSE-10|normal</v>
      </c>
    </row>
    <row r="1805" customFormat="false" ht="15" hidden="false" customHeight="true" outlineLevel="0" collapsed="false">
      <c r="A1805" s="27" t="s">
        <v>104</v>
      </c>
      <c r="B1805" s="41" t="n">
        <v>46303.2927083333</v>
      </c>
      <c r="C1805" s="27" t="s">
        <v>195</v>
      </c>
      <c r="D1805" s="27" t="n">
        <v>43.1</v>
      </c>
      <c r="E1805" s="27" t="n">
        <v>21.1</v>
      </c>
      <c r="F1805" s="27" t="n">
        <v>30.8</v>
      </c>
      <c r="G1805" s="27" t="n">
        <v>32.9</v>
      </c>
      <c r="H1805" s="27" t="s">
        <v>196</v>
      </c>
      <c r="I1805" s="42" t="n">
        <f aca="false">(D1805-INDEX('Cohort Summary'!$D$5:$D$14,MATCH($A1805,'Cohort Summary'!$A$5:$A$14,0)))/INDEX('Cohort Summary'!$E$5:$E$14,MATCH($A1805,'Cohort Summary'!$A$5:$A$14,0))</f>
        <v>0.0418118466898971</v>
      </c>
      <c r="J1805" s="42" t="n">
        <f aca="false">(E1805-INDEX('Cohort Summary'!$F$5:$F$14,MATCH($A1805,'Cohort Summary'!$A$5:$A$14,0)))/INDEX('Cohort Summary'!$G$5:$G$14,MATCH($A1805,'Cohort Summary'!$A$5:$A$14,0))</f>
        <v>0.395121951219513</v>
      </c>
      <c r="K1805" s="42" t="n">
        <f aca="false">(F1805-INDEX('Cohort Summary'!$H$5:$H$14,MATCH($A1805,'Cohort Summary'!$A$5:$A$14,0)))/INDEX('Cohort Summary'!$I$5:$I$14,MATCH($A1805,'Cohort Summary'!$A$5:$A$14,0))</f>
        <v>0.305921052631579</v>
      </c>
      <c r="L1805" s="42" t="n">
        <f aca="false">(G1805-INDEX('Cohort Summary'!$J$5:$J$14,MATCH($A1805,'Cohort Summary'!$A$5:$A$14,0)))/INDEX('Cohort Summary'!$K$5:$K$14,MATCH($A1805,'Cohort Summary'!$A$5:$A$14,0))</f>
        <v>-0.13559322033898</v>
      </c>
      <c r="M1805" s="42" t="n">
        <f aca="false">MAX(I1805:K1805)</f>
        <v>0.395121951219513</v>
      </c>
      <c r="N1805" s="27" t="s">
        <v>197</v>
      </c>
      <c r="O1805" s="27"/>
      <c r="P1805" s="27" t="str">
        <f aca="false">A1805&amp;"|"&amp;N1805</f>
        <v>NURSE-10|normal</v>
      </c>
    </row>
    <row r="1806" customFormat="false" ht="15" hidden="false" customHeight="true" outlineLevel="0" collapsed="false">
      <c r="A1806" s="27" t="s">
        <v>104</v>
      </c>
      <c r="B1806" s="41" t="n">
        <v>46303.2930555556</v>
      </c>
      <c r="C1806" s="27" t="s">
        <v>195</v>
      </c>
      <c r="D1806" s="27" t="n">
        <v>47.6</v>
      </c>
      <c r="E1806" s="27" t="n">
        <v>20.2</v>
      </c>
      <c r="F1806" s="27" t="n">
        <v>25.1</v>
      </c>
      <c r="G1806" s="27" t="n">
        <v>32</v>
      </c>
      <c r="H1806" s="27" t="s">
        <v>198</v>
      </c>
      <c r="I1806" s="42" t="n">
        <f aca="false">(D1806-INDEX('Cohort Summary'!$D$5:$D$14,MATCH($A1806,'Cohort Summary'!$A$5:$A$14,0)))/INDEX('Cohort Summary'!$E$5:$E$14,MATCH($A1806,'Cohort Summary'!$A$5:$A$14,0))</f>
        <v>1.60975609756098</v>
      </c>
      <c r="J1806" s="42" t="n">
        <f aca="false">(E1806-INDEX('Cohort Summary'!$F$5:$F$14,MATCH($A1806,'Cohort Summary'!$A$5:$A$14,0)))/INDEX('Cohort Summary'!$G$5:$G$14,MATCH($A1806,'Cohort Summary'!$A$5:$A$14,0))</f>
        <v>-0.0439024390243902</v>
      </c>
      <c r="K1806" s="42" t="n">
        <f aca="false">(F1806-INDEX('Cohort Summary'!$H$5:$H$14,MATCH($A1806,'Cohort Summary'!$A$5:$A$14,0)))/INDEX('Cohort Summary'!$I$5:$I$14,MATCH($A1806,'Cohort Summary'!$A$5:$A$14,0))</f>
        <v>-1.56907894736842</v>
      </c>
      <c r="L1806" s="42" t="n">
        <f aca="false">(G1806-INDEX('Cohort Summary'!$J$5:$J$14,MATCH($A1806,'Cohort Summary'!$A$5:$A$14,0)))/INDEX('Cohort Summary'!$K$5:$K$14,MATCH($A1806,'Cohort Summary'!$A$5:$A$14,0))</f>
        <v>-1.66101694915254</v>
      </c>
      <c r="M1806" s="42" t="n">
        <f aca="false">MAX(I1806:K1806)</f>
        <v>1.60975609756098</v>
      </c>
      <c r="N1806" s="27" t="s">
        <v>197</v>
      </c>
      <c r="O1806" s="27"/>
      <c r="P1806" s="27" t="str">
        <f aca="false">A1806&amp;"|"&amp;N1806</f>
        <v>NURSE-10|normal</v>
      </c>
    </row>
    <row r="1807" customFormat="false" ht="15" hidden="false" customHeight="true" outlineLevel="0" collapsed="false">
      <c r="A1807" s="27" t="s">
        <v>104</v>
      </c>
      <c r="B1807" s="41" t="n">
        <v>46303.2934027778</v>
      </c>
      <c r="C1807" s="27" t="s">
        <v>195</v>
      </c>
      <c r="D1807" s="27" t="n">
        <v>44.8</v>
      </c>
      <c r="E1807" s="27" t="n">
        <v>17.8</v>
      </c>
      <c r="F1807" s="27" t="n">
        <v>27.6</v>
      </c>
      <c r="G1807" s="27" t="n">
        <v>32.6</v>
      </c>
      <c r="H1807" s="27" t="s">
        <v>199</v>
      </c>
      <c r="I1807" s="42" t="n">
        <f aca="false">(D1807-INDEX('Cohort Summary'!$D$5:$D$14,MATCH($A1807,'Cohort Summary'!$A$5:$A$14,0)))/INDEX('Cohort Summary'!$E$5:$E$14,MATCH($A1807,'Cohort Summary'!$A$5:$A$14,0))</f>
        <v>0.634146341463415</v>
      </c>
      <c r="J1807" s="42" t="n">
        <f aca="false">(E1807-INDEX('Cohort Summary'!$F$5:$F$14,MATCH($A1807,'Cohort Summary'!$A$5:$A$14,0)))/INDEX('Cohort Summary'!$G$5:$G$14,MATCH($A1807,'Cohort Summary'!$A$5:$A$14,0))</f>
        <v>-1.21463414634146</v>
      </c>
      <c r="K1807" s="42" t="n">
        <f aca="false">(F1807-INDEX('Cohort Summary'!$H$5:$H$14,MATCH($A1807,'Cohort Summary'!$A$5:$A$14,0)))/INDEX('Cohort Summary'!$I$5:$I$14,MATCH($A1807,'Cohort Summary'!$A$5:$A$14,0))</f>
        <v>-0.746710526315789</v>
      </c>
      <c r="L1807" s="42" t="n">
        <f aca="false">(G1807-INDEX('Cohort Summary'!$J$5:$J$14,MATCH($A1807,'Cohort Summary'!$A$5:$A$14,0)))/INDEX('Cohort Summary'!$K$5:$K$14,MATCH($A1807,'Cohort Summary'!$A$5:$A$14,0))</f>
        <v>-0.644067796610162</v>
      </c>
      <c r="M1807" s="42" t="n">
        <f aca="false">MAX(I1807:K1807)</f>
        <v>0.634146341463415</v>
      </c>
      <c r="N1807" s="27" t="s">
        <v>197</v>
      </c>
      <c r="O1807" s="27"/>
      <c r="P1807" s="27" t="str">
        <f aca="false">A1807&amp;"|"&amp;N1807</f>
        <v>NURSE-10|normal</v>
      </c>
    </row>
    <row r="1808" customFormat="false" ht="15" hidden="false" customHeight="true" outlineLevel="0" collapsed="false">
      <c r="A1808" s="27" t="s">
        <v>104</v>
      </c>
      <c r="B1808" s="41" t="n">
        <v>46303.29375</v>
      </c>
      <c r="C1808" s="27" t="s">
        <v>195</v>
      </c>
      <c r="D1808" s="27" t="n">
        <v>40.2</v>
      </c>
      <c r="E1808" s="27" t="n">
        <v>23.7</v>
      </c>
      <c r="F1808" s="27" t="n">
        <v>29.6</v>
      </c>
      <c r="G1808" s="27" t="n">
        <v>32.5</v>
      </c>
      <c r="H1808" s="27" t="s">
        <v>199</v>
      </c>
      <c r="I1808" s="42" t="n">
        <f aca="false">(D1808-INDEX('Cohort Summary'!$D$5:$D$14,MATCH($A1808,'Cohort Summary'!$A$5:$A$14,0)))/INDEX('Cohort Summary'!$E$5:$E$14,MATCH($A1808,'Cohort Summary'!$A$5:$A$14,0))</f>
        <v>-0.968641114982576</v>
      </c>
      <c r="J1808" s="42" t="n">
        <f aca="false">(E1808-INDEX('Cohort Summary'!$F$5:$F$14,MATCH($A1808,'Cohort Summary'!$A$5:$A$14,0)))/INDEX('Cohort Summary'!$G$5:$G$14,MATCH($A1808,'Cohort Summary'!$A$5:$A$14,0))</f>
        <v>1.66341463414634</v>
      </c>
      <c r="K1808" s="42" t="n">
        <f aca="false">(F1808-INDEX('Cohort Summary'!$H$5:$H$14,MATCH($A1808,'Cohort Summary'!$A$5:$A$14,0)))/INDEX('Cohort Summary'!$I$5:$I$14,MATCH($A1808,'Cohort Summary'!$A$5:$A$14,0))</f>
        <v>-0.0888157894736841</v>
      </c>
      <c r="L1808" s="42" t="n">
        <f aca="false">(G1808-INDEX('Cohort Summary'!$J$5:$J$14,MATCH($A1808,'Cohort Summary'!$A$5:$A$14,0)))/INDEX('Cohort Summary'!$K$5:$K$14,MATCH($A1808,'Cohort Summary'!$A$5:$A$14,0))</f>
        <v>-0.813559322033893</v>
      </c>
      <c r="M1808" s="42" t="n">
        <f aca="false">MAX(I1808:K1808)</f>
        <v>1.66341463414634</v>
      </c>
      <c r="N1808" s="27" t="s">
        <v>197</v>
      </c>
      <c r="O1808" s="27"/>
      <c r="P1808" s="27" t="str">
        <f aca="false">A1808&amp;"|"&amp;N1808</f>
        <v>NURSE-10|normal</v>
      </c>
    </row>
    <row r="1809" customFormat="false" ht="15" hidden="false" customHeight="true" outlineLevel="0" collapsed="false">
      <c r="A1809" s="27" t="s">
        <v>104</v>
      </c>
      <c r="B1809" s="41" t="n">
        <v>46303.2940972222</v>
      </c>
      <c r="C1809" s="27" t="s">
        <v>195</v>
      </c>
      <c r="D1809" s="27" t="n">
        <v>41.7</v>
      </c>
      <c r="E1809" s="27" t="n">
        <v>21.9</v>
      </c>
      <c r="F1809" s="27" t="n">
        <v>34.2</v>
      </c>
      <c r="G1809" s="27" t="n">
        <v>32.3</v>
      </c>
      <c r="H1809" s="27" t="s">
        <v>196</v>
      </c>
      <c r="I1809" s="42" t="n">
        <f aca="false">(D1809-INDEX('Cohort Summary'!$D$5:$D$14,MATCH($A1809,'Cohort Summary'!$A$5:$A$14,0)))/INDEX('Cohort Summary'!$E$5:$E$14,MATCH($A1809,'Cohort Summary'!$A$5:$A$14,0))</f>
        <v>-0.445993031358883</v>
      </c>
      <c r="J1809" s="42" t="n">
        <f aca="false">(E1809-INDEX('Cohort Summary'!$F$5:$F$14,MATCH($A1809,'Cohort Summary'!$A$5:$A$14,0)))/INDEX('Cohort Summary'!$G$5:$G$14,MATCH($A1809,'Cohort Summary'!$A$5:$A$14,0))</f>
        <v>0.785365853658536</v>
      </c>
      <c r="K1809" s="42" t="n">
        <f aca="false">(F1809-INDEX('Cohort Summary'!$H$5:$H$14,MATCH($A1809,'Cohort Summary'!$A$5:$A$14,0)))/INDEX('Cohort Summary'!$I$5:$I$14,MATCH($A1809,'Cohort Summary'!$A$5:$A$14,0))</f>
        <v>1.42434210526316</v>
      </c>
      <c r="L1809" s="42" t="n">
        <f aca="false">(G1809-INDEX('Cohort Summary'!$J$5:$J$14,MATCH($A1809,'Cohort Summary'!$A$5:$A$14,0)))/INDEX('Cohort Summary'!$K$5:$K$14,MATCH($A1809,'Cohort Summary'!$A$5:$A$14,0))</f>
        <v>-1.15254237288136</v>
      </c>
      <c r="M1809" s="42" t="n">
        <f aca="false">MAX(I1809:K1809)</f>
        <v>1.42434210526316</v>
      </c>
      <c r="N1809" s="27" t="s">
        <v>197</v>
      </c>
      <c r="O1809" s="27"/>
      <c r="P1809" s="27" t="str">
        <f aca="false">A1809&amp;"|"&amp;N1809</f>
        <v>NURSE-10|normal</v>
      </c>
    </row>
    <row r="1810" customFormat="false" ht="15" hidden="false" customHeight="true" outlineLevel="0" collapsed="false">
      <c r="A1810" s="27" t="s">
        <v>104</v>
      </c>
      <c r="B1810" s="41" t="n">
        <v>46303.2944444444</v>
      </c>
      <c r="C1810" s="27" t="s">
        <v>195</v>
      </c>
      <c r="D1810" s="27" t="n">
        <v>40.9</v>
      </c>
      <c r="E1810" s="27" t="n">
        <v>22.8</v>
      </c>
      <c r="F1810" s="27" t="n">
        <v>30.2</v>
      </c>
      <c r="G1810" s="27" t="n">
        <v>32.2</v>
      </c>
      <c r="H1810" s="27" t="s">
        <v>199</v>
      </c>
      <c r="I1810" s="42" t="n">
        <f aca="false">(D1810-INDEX('Cohort Summary'!$D$5:$D$14,MATCH($A1810,'Cohort Summary'!$A$5:$A$14,0)))/INDEX('Cohort Summary'!$E$5:$E$14,MATCH($A1810,'Cohort Summary'!$A$5:$A$14,0))</f>
        <v>-0.724738675958188</v>
      </c>
      <c r="J1810" s="42" t="n">
        <f aca="false">(E1810-INDEX('Cohort Summary'!$F$5:$F$14,MATCH($A1810,'Cohort Summary'!$A$5:$A$14,0)))/INDEX('Cohort Summary'!$G$5:$G$14,MATCH($A1810,'Cohort Summary'!$A$5:$A$14,0))</f>
        <v>1.22439024390244</v>
      </c>
      <c r="K1810" s="42" t="n">
        <f aca="false">(F1810-INDEX('Cohort Summary'!$H$5:$H$14,MATCH($A1810,'Cohort Summary'!$A$5:$A$14,0)))/INDEX('Cohort Summary'!$I$5:$I$14,MATCH($A1810,'Cohort Summary'!$A$5:$A$14,0))</f>
        <v>0.108552631578947</v>
      </c>
      <c r="L1810" s="42" t="n">
        <f aca="false">(G1810-INDEX('Cohort Summary'!$J$5:$J$14,MATCH($A1810,'Cohort Summary'!$A$5:$A$14,0)))/INDEX('Cohort Summary'!$K$5:$K$14,MATCH($A1810,'Cohort Summary'!$A$5:$A$14,0))</f>
        <v>-1.32203389830507</v>
      </c>
      <c r="M1810" s="42" t="n">
        <f aca="false">MAX(I1810:K1810)</f>
        <v>1.22439024390244</v>
      </c>
      <c r="N1810" s="27" t="s">
        <v>197</v>
      </c>
      <c r="O1810" s="27"/>
      <c r="P1810" s="27" t="str">
        <f aca="false">A1810&amp;"|"&amp;N1810</f>
        <v>NURSE-10|normal</v>
      </c>
    </row>
    <row r="1811" customFormat="false" ht="15" hidden="false" customHeight="true" outlineLevel="0" collapsed="false">
      <c r="A1811" s="27" t="s">
        <v>104</v>
      </c>
      <c r="B1811" s="41" t="n">
        <v>46303.2947916667</v>
      </c>
      <c r="C1811" s="27" t="s">
        <v>195</v>
      </c>
      <c r="D1811" s="27" t="n">
        <v>44.9</v>
      </c>
      <c r="E1811" s="27" t="n">
        <v>20.3</v>
      </c>
      <c r="F1811" s="27" t="n">
        <v>31</v>
      </c>
      <c r="G1811" s="27" t="n">
        <v>32.9</v>
      </c>
      <c r="H1811" s="27" t="s">
        <v>199</v>
      </c>
      <c r="I1811" s="42" t="n">
        <f aca="false">(D1811-INDEX('Cohort Summary'!$D$5:$D$14,MATCH($A1811,'Cohort Summary'!$A$5:$A$14,0)))/INDEX('Cohort Summary'!$E$5:$E$14,MATCH($A1811,'Cohort Summary'!$A$5:$A$14,0))</f>
        <v>0.668989547038328</v>
      </c>
      <c r="J1811" s="42" t="n">
        <f aca="false">(E1811-INDEX('Cohort Summary'!$F$5:$F$14,MATCH($A1811,'Cohort Summary'!$A$5:$A$14,0)))/INDEX('Cohort Summary'!$G$5:$G$14,MATCH($A1811,'Cohort Summary'!$A$5:$A$14,0))</f>
        <v>0.00487804878048857</v>
      </c>
      <c r="K1811" s="42" t="n">
        <f aca="false">(F1811-INDEX('Cohort Summary'!$H$5:$H$14,MATCH($A1811,'Cohort Summary'!$A$5:$A$14,0)))/INDEX('Cohort Summary'!$I$5:$I$14,MATCH($A1811,'Cohort Summary'!$A$5:$A$14,0))</f>
        <v>0.371710526315789</v>
      </c>
      <c r="L1811" s="42" t="n">
        <f aca="false">(G1811-INDEX('Cohort Summary'!$J$5:$J$14,MATCH($A1811,'Cohort Summary'!$A$5:$A$14,0)))/INDEX('Cohort Summary'!$K$5:$K$14,MATCH($A1811,'Cohort Summary'!$A$5:$A$14,0))</f>
        <v>-0.13559322033898</v>
      </c>
      <c r="M1811" s="42" t="n">
        <f aca="false">MAX(I1811:K1811)</f>
        <v>0.668989547038328</v>
      </c>
      <c r="N1811" s="27" t="s">
        <v>197</v>
      </c>
      <c r="O1811" s="27"/>
      <c r="P1811" s="27" t="str">
        <f aca="false">A1811&amp;"|"&amp;N1811</f>
        <v>NURSE-10|normal</v>
      </c>
    </row>
    <row r="1812" customFormat="false" ht="15" hidden="false" customHeight="true" outlineLevel="0" collapsed="false">
      <c r="A1812" s="27" t="s">
        <v>104</v>
      </c>
      <c r="B1812" s="41" t="n">
        <v>46303.2951388889</v>
      </c>
      <c r="C1812" s="27" t="s">
        <v>195</v>
      </c>
      <c r="D1812" s="27" t="n">
        <v>42.6</v>
      </c>
      <c r="E1812" s="27" t="n">
        <v>22.1</v>
      </c>
      <c r="F1812" s="27" t="n">
        <v>33.9</v>
      </c>
      <c r="G1812" s="27" t="n">
        <v>33.8</v>
      </c>
      <c r="H1812" s="27" t="s">
        <v>199</v>
      </c>
      <c r="I1812" s="42" t="n">
        <f aca="false">(D1812-INDEX('Cohort Summary'!$D$5:$D$14,MATCH($A1812,'Cohort Summary'!$A$5:$A$14,0)))/INDEX('Cohort Summary'!$E$5:$E$14,MATCH($A1812,'Cohort Summary'!$A$5:$A$14,0))</f>
        <v>-0.132404181184667</v>
      </c>
      <c r="J1812" s="42" t="n">
        <f aca="false">(E1812-INDEX('Cohort Summary'!$F$5:$F$14,MATCH($A1812,'Cohort Summary'!$A$5:$A$14,0)))/INDEX('Cohort Summary'!$G$5:$G$14,MATCH($A1812,'Cohort Summary'!$A$5:$A$14,0))</f>
        <v>0.882926829268294</v>
      </c>
      <c r="K1812" s="42" t="n">
        <f aca="false">(F1812-INDEX('Cohort Summary'!$H$5:$H$14,MATCH($A1812,'Cohort Summary'!$A$5:$A$14,0)))/INDEX('Cohort Summary'!$I$5:$I$14,MATCH($A1812,'Cohort Summary'!$A$5:$A$14,0))</f>
        <v>1.32565789473684</v>
      </c>
      <c r="L1812" s="42" t="n">
        <f aca="false">(G1812-INDEX('Cohort Summary'!$J$5:$J$14,MATCH($A1812,'Cohort Summary'!$A$5:$A$14,0)))/INDEX('Cohort Summary'!$K$5:$K$14,MATCH($A1812,'Cohort Summary'!$A$5:$A$14,0))</f>
        <v>1.38983050847458</v>
      </c>
      <c r="M1812" s="42" t="n">
        <f aca="false">MAX(I1812:K1812)</f>
        <v>1.32565789473684</v>
      </c>
      <c r="N1812" s="27" t="s">
        <v>197</v>
      </c>
      <c r="O1812" s="27"/>
      <c r="P1812" s="27" t="str">
        <f aca="false">A1812&amp;"|"&amp;N1812</f>
        <v>NURSE-10|normal</v>
      </c>
    </row>
    <row r="1813" customFormat="false" ht="15" hidden="false" customHeight="true" outlineLevel="0" collapsed="false">
      <c r="A1813" s="27" t="s">
        <v>104</v>
      </c>
      <c r="B1813" s="41" t="n">
        <v>46303.2954861111</v>
      </c>
      <c r="C1813" s="27" t="s">
        <v>195</v>
      </c>
      <c r="D1813" s="27" t="n">
        <v>39.8</v>
      </c>
      <c r="E1813" s="27" t="n">
        <v>19.6</v>
      </c>
      <c r="F1813" s="27" t="n">
        <v>25.1</v>
      </c>
      <c r="G1813" s="27" t="n">
        <v>32.4</v>
      </c>
      <c r="H1813" s="27" t="s">
        <v>199</v>
      </c>
      <c r="I1813" s="42" t="n">
        <f aca="false">(D1813-INDEX('Cohort Summary'!$D$5:$D$14,MATCH($A1813,'Cohort Summary'!$A$5:$A$14,0)))/INDEX('Cohort Summary'!$E$5:$E$14,MATCH($A1813,'Cohort Summary'!$A$5:$A$14,0))</f>
        <v>-1.10801393728223</v>
      </c>
      <c r="J1813" s="42" t="n">
        <f aca="false">(E1813-INDEX('Cohort Summary'!$F$5:$F$14,MATCH($A1813,'Cohort Summary'!$A$5:$A$14,0)))/INDEX('Cohort Summary'!$G$5:$G$14,MATCH($A1813,'Cohort Summary'!$A$5:$A$14,0))</f>
        <v>-0.336585365853657</v>
      </c>
      <c r="K1813" s="42" t="n">
        <f aca="false">(F1813-INDEX('Cohort Summary'!$H$5:$H$14,MATCH($A1813,'Cohort Summary'!$A$5:$A$14,0)))/INDEX('Cohort Summary'!$I$5:$I$14,MATCH($A1813,'Cohort Summary'!$A$5:$A$14,0))</f>
        <v>-1.56907894736842</v>
      </c>
      <c r="L1813" s="42" t="n">
        <f aca="false">(G1813-INDEX('Cohort Summary'!$J$5:$J$14,MATCH($A1813,'Cohort Summary'!$A$5:$A$14,0)))/INDEX('Cohort Summary'!$K$5:$K$14,MATCH($A1813,'Cohort Summary'!$A$5:$A$14,0))</f>
        <v>-0.983050847457624</v>
      </c>
      <c r="M1813" s="42" t="n">
        <f aca="false">MAX(I1813:K1813)</f>
        <v>-0.336585365853657</v>
      </c>
      <c r="N1813" s="27" t="s">
        <v>197</v>
      </c>
      <c r="O1813" s="27"/>
      <c r="P1813" s="27" t="str">
        <f aca="false">A1813&amp;"|"&amp;N1813</f>
        <v>NURSE-10|normal</v>
      </c>
    </row>
    <row r="1814" customFormat="false" ht="15" hidden="false" customHeight="true" outlineLevel="0" collapsed="false">
      <c r="A1814" s="27" t="s">
        <v>104</v>
      </c>
      <c r="B1814" s="41" t="n">
        <v>46303.2958333333</v>
      </c>
      <c r="C1814" s="27" t="s">
        <v>195</v>
      </c>
      <c r="D1814" s="27" t="n">
        <v>47.1</v>
      </c>
      <c r="E1814" s="27" t="n">
        <v>21.7</v>
      </c>
      <c r="F1814" s="27" t="n">
        <v>29.9</v>
      </c>
      <c r="G1814" s="27" t="n">
        <v>33.4</v>
      </c>
      <c r="H1814" s="27" t="s">
        <v>196</v>
      </c>
      <c r="I1814" s="42" t="n">
        <f aca="false">(D1814-INDEX('Cohort Summary'!$D$5:$D$14,MATCH($A1814,'Cohort Summary'!$A$5:$A$14,0)))/INDEX('Cohort Summary'!$E$5:$E$14,MATCH($A1814,'Cohort Summary'!$A$5:$A$14,0))</f>
        <v>1.43554006968641</v>
      </c>
      <c r="J1814" s="42" t="n">
        <f aca="false">(E1814-INDEX('Cohort Summary'!$F$5:$F$14,MATCH($A1814,'Cohort Summary'!$A$5:$A$14,0)))/INDEX('Cohort Summary'!$G$5:$G$14,MATCH($A1814,'Cohort Summary'!$A$5:$A$14,0))</f>
        <v>0.687804878048781</v>
      </c>
      <c r="K1814" s="42" t="n">
        <f aca="false">(F1814-INDEX('Cohort Summary'!$H$5:$H$14,MATCH($A1814,'Cohort Summary'!$A$5:$A$14,0)))/INDEX('Cohort Summary'!$I$5:$I$14,MATCH($A1814,'Cohort Summary'!$A$5:$A$14,0))</f>
        <v>0.00986842105263078</v>
      </c>
      <c r="L1814" s="42" t="n">
        <f aca="false">(G1814-INDEX('Cohort Summary'!$J$5:$J$14,MATCH($A1814,'Cohort Summary'!$A$5:$A$14,0)))/INDEX('Cohort Summary'!$K$5:$K$14,MATCH($A1814,'Cohort Summary'!$A$5:$A$14,0))</f>
        <v>0.711864406779664</v>
      </c>
      <c r="M1814" s="42" t="n">
        <f aca="false">MAX(I1814:K1814)</f>
        <v>1.43554006968641</v>
      </c>
      <c r="N1814" s="27" t="s">
        <v>197</v>
      </c>
      <c r="O1814" s="27"/>
      <c r="P1814" s="27" t="str">
        <f aca="false">A1814&amp;"|"&amp;N1814</f>
        <v>NURSE-10|normal</v>
      </c>
    </row>
    <row r="1815" customFormat="false" ht="15" hidden="false" customHeight="true" outlineLevel="0" collapsed="false">
      <c r="A1815" s="27" t="s">
        <v>104</v>
      </c>
      <c r="B1815" s="41" t="n">
        <v>46303.2961805556</v>
      </c>
      <c r="C1815" s="27" t="s">
        <v>195</v>
      </c>
      <c r="D1815" s="27" t="n">
        <v>42.1</v>
      </c>
      <c r="E1815" s="27" t="n">
        <v>18.7</v>
      </c>
      <c r="F1815" s="27" t="n">
        <v>31.9</v>
      </c>
      <c r="G1815" s="27" t="n">
        <v>32.7</v>
      </c>
      <c r="H1815" s="27" t="s">
        <v>198</v>
      </c>
      <c r="I1815" s="42" t="n">
        <f aca="false">(D1815-INDEX('Cohort Summary'!$D$5:$D$14,MATCH($A1815,'Cohort Summary'!$A$5:$A$14,0)))/INDEX('Cohort Summary'!$E$5:$E$14,MATCH($A1815,'Cohort Summary'!$A$5:$A$14,0))</f>
        <v>-0.306620209059232</v>
      </c>
      <c r="J1815" s="42" t="n">
        <f aca="false">(E1815-INDEX('Cohort Summary'!$F$5:$F$14,MATCH($A1815,'Cohort Summary'!$A$5:$A$14,0)))/INDEX('Cohort Summary'!$G$5:$G$14,MATCH($A1815,'Cohort Summary'!$A$5:$A$14,0))</f>
        <v>-0.775609756097561</v>
      </c>
      <c r="K1815" s="42" t="n">
        <f aca="false">(F1815-INDEX('Cohort Summary'!$H$5:$H$14,MATCH($A1815,'Cohort Summary'!$A$5:$A$14,0)))/INDEX('Cohort Summary'!$I$5:$I$14,MATCH($A1815,'Cohort Summary'!$A$5:$A$14,0))</f>
        <v>0.667763157894736</v>
      </c>
      <c r="L1815" s="42" t="n">
        <f aca="false">(G1815-INDEX('Cohort Summary'!$J$5:$J$14,MATCH($A1815,'Cohort Summary'!$A$5:$A$14,0)))/INDEX('Cohort Summary'!$K$5:$K$14,MATCH($A1815,'Cohort Summary'!$A$5:$A$14,0))</f>
        <v>-0.474576271186431</v>
      </c>
      <c r="M1815" s="42" t="n">
        <f aca="false">MAX(I1815:K1815)</f>
        <v>0.667763157894736</v>
      </c>
      <c r="N1815" s="27" t="s">
        <v>197</v>
      </c>
      <c r="O1815" s="27"/>
      <c r="P1815" s="27" t="str">
        <f aca="false">A1815&amp;"|"&amp;N1815</f>
        <v>NURSE-10|normal</v>
      </c>
    </row>
    <row r="1816" customFormat="false" ht="15" hidden="false" customHeight="true" outlineLevel="0" collapsed="false">
      <c r="A1816" s="27" t="s">
        <v>104</v>
      </c>
      <c r="B1816" s="41" t="n">
        <v>46303.2965277778</v>
      </c>
      <c r="C1816" s="27" t="s">
        <v>195</v>
      </c>
      <c r="D1816" s="27" t="n">
        <v>46.3</v>
      </c>
      <c r="E1816" s="27" t="n">
        <v>18.5</v>
      </c>
      <c r="F1816" s="27" t="n">
        <v>32.2</v>
      </c>
      <c r="G1816" s="27" t="n">
        <v>33.5</v>
      </c>
      <c r="H1816" s="27" t="s">
        <v>199</v>
      </c>
      <c r="I1816" s="42" t="n">
        <f aca="false">(D1816-INDEX('Cohort Summary'!$D$5:$D$14,MATCH($A1816,'Cohort Summary'!$A$5:$A$14,0)))/INDEX('Cohort Summary'!$E$5:$E$14,MATCH($A1816,'Cohort Summary'!$A$5:$A$14,0))</f>
        <v>1.15679442508711</v>
      </c>
      <c r="J1816" s="42" t="n">
        <f aca="false">(E1816-INDEX('Cohort Summary'!$F$5:$F$14,MATCH($A1816,'Cohort Summary'!$A$5:$A$14,0)))/INDEX('Cohort Summary'!$G$5:$G$14,MATCH($A1816,'Cohort Summary'!$A$5:$A$14,0))</f>
        <v>-0.873170731707317</v>
      </c>
      <c r="K1816" s="42" t="n">
        <f aca="false">(F1816-INDEX('Cohort Summary'!$H$5:$H$14,MATCH($A1816,'Cohort Summary'!$A$5:$A$14,0)))/INDEX('Cohort Summary'!$I$5:$I$14,MATCH($A1816,'Cohort Summary'!$A$5:$A$14,0))</f>
        <v>0.766447368421053</v>
      </c>
      <c r="L1816" s="42" t="n">
        <f aca="false">(G1816-INDEX('Cohort Summary'!$J$5:$J$14,MATCH($A1816,'Cohort Summary'!$A$5:$A$14,0)))/INDEX('Cohort Summary'!$K$5:$K$14,MATCH($A1816,'Cohort Summary'!$A$5:$A$14,0))</f>
        <v>0.881355932203395</v>
      </c>
      <c r="M1816" s="42" t="n">
        <f aca="false">MAX(I1816:K1816)</f>
        <v>1.15679442508711</v>
      </c>
      <c r="N1816" s="27" t="s">
        <v>197</v>
      </c>
      <c r="O1816" s="27"/>
      <c r="P1816" s="27" t="str">
        <f aca="false">A1816&amp;"|"&amp;N1816</f>
        <v>NURSE-10|normal</v>
      </c>
    </row>
    <row r="1817" customFormat="false" ht="15" hidden="false" customHeight="true" outlineLevel="0" collapsed="false">
      <c r="A1817" s="27" t="s">
        <v>104</v>
      </c>
      <c r="B1817" s="41" t="n">
        <v>46303.296875</v>
      </c>
      <c r="C1817" s="27" t="s">
        <v>195</v>
      </c>
      <c r="D1817" s="27" t="n">
        <v>40.5</v>
      </c>
      <c r="E1817" s="27" t="n">
        <v>19.8</v>
      </c>
      <c r="F1817" s="27" t="n">
        <v>25</v>
      </c>
      <c r="G1817" s="27" t="n">
        <v>33.8</v>
      </c>
      <c r="H1817" s="27" t="s">
        <v>198</v>
      </c>
      <c r="I1817" s="42" t="n">
        <f aca="false">(D1817-INDEX('Cohort Summary'!$D$5:$D$14,MATCH($A1817,'Cohort Summary'!$A$5:$A$14,0)))/INDEX('Cohort Summary'!$E$5:$E$14,MATCH($A1817,'Cohort Summary'!$A$5:$A$14,0))</f>
        <v>-0.864111498257839</v>
      </c>
      <c r="J1817" s="42" t="n">
        <f aca="false">(E1817-INDEX('Cohort Summary'!$F$5:$F$14,MATCH($A1817,'Cohort Summary'!$A$5:$A$14,0)))/INDEX('Cohort Summary'!$G$5:$G$14,MATCH($A1817,'Cohort Summary'!$A$5:$A$14,0))</f>
        <v>-0.239024390243902</v>
      </c>
      <c r="K1817" s="42" t="n">
        <f aca="false">(F1817-INDEX('Cohort Summary'!$H$5:$H$14,MATCH($A1817,'Cohort Summary'!$A$5:$A$14,0)))/INDEX('Cohort Summary'!$I$5:$I$14,MATCH($A1817,'Cohort Summary'!$A$5:$A$14,0))</f>
        <v>-1.60197368421053</v>
      </c>
      <c r="L1817" s="42" t="n">
        <f aca="false">(G1817-INDEX('Cohort Summary'!$J$5:$J$14,MATCH($A1817,'Cohort Summary'!$A$5:$A$14,0)))/INDEX('Cohort Summary'!$K$5:$K$14,MATCH($A1817,'Cohort Summary'!$A$5:$A$14,0))</f>
        <v>1.38983050847458</v>
      </c>
      <c r="M1817" s="42" t="n">
        <f aca="false">MAX(I1817:K1817)</f>
        <v>-0.239024390243902</v>
      </c>
      <c r="N1817" s="27" t="s">
        <v>197</v>
      </c>
      <c r="O1817" s="27"/>
      <c r="P1817" s="27" t="str">
        <f aca="false">A1817&amp;"|"&amp;N1817</f>
        <v>NURSE-10|normal</v>
      </c>
    </row>
    <row r="1818" customFormat="false" ht="15" hidden="false" customHeight="true" outlineLevel="0" collapsed="false">
      <c r="A1818" s="27" t="s">
        <v>104</v>
      </c>
      <c r="B1818" s="41" t="n">
        <v>46303.2972222222</v>
      </c>
      <c r="C1818" s="27" t="s">
        <v>195</v>
      </c>
      <c r="D1818" s="27" t="n">
        <v>43.5</v>
      </c>
      <c r="E1818" s="27" t="n">
        <v>17.4</v>
      </c>
      <c r="F1818" s="27" t="n">
        <v>27.8</v>
      </c>
      <c r="G1818" s="27" t="n">
        <v>32.8</v>
      </c>
      <c r="H1818" s="27" t="s">
        <v>196</v>
      </c>
      <c r="I1818" s="42" t="n">
        <f aca="false">(D1818-INDEX('Cohort Summary'!$D$5:$D$14,MATCH($A1818,'Cohort Summary'!$A$5:$A$14,0)))/INDEX('Cohort Summary'!$E$5:$E$14,MATCH($A1818,'Cohort Summary'!$A$5:$A$14,0))</f>
        <v>0.181184668989548</v>
      </c>
      <c r="J1818" s="42" t="n">
        <f aca="false">(E1818-INDEX('Cohort Summary'!$F$5:$F$14,MATCH($A1818,'Cohort Summary'!$A$5:$A$14,0)))/INDEX('Cohort Summary'!$G$5:$G$14,MATCH($A1818,'Cohort Summary'!$A$5:$A$14,0))</f>
        <v>-1.40975609756098</v>
      </c>
      <c r="K1818" s="42" t="n">
        <f aca="false">(F1818-INDEX('Cohort Summary'!$H$5:$H$14,MATCH($A1818,'Cohort Summary'!$A$5:$A$14,0)))/INDEX('Cohort Summary'!$I$5:$I$14,MATCH($A1818,'Cohort Summary'!$A$5:$A$14,0))</f>
        <v>-0.680921052631579</v>
      </c>
      <c r="L1818" s="42" t="n">
        <f aca="false">(G1818-INDEX('Cohort Summary'!$J$5:$J$14,MATCH($A1818,'Cohort Summary'!$A$5:$A$14,0)))/INDEX('Cohort Summary'!$K$5:$K$14,MATCH($A1818,'Cohort Summary'!$A$5:$A$14,0))</f>
        <v>-0.305084745762711</v>
      </c>
      <c r="M1818" s="42" t="n">
        <f aca="false">MAX(I1818:K1818)</f>
        <v>0.181184668989548</v>
      </c>
      <c r="N1818" s="27" t="s">
        <v>197</v>
      </c>
      <c r="O1818" s="27"/>
      <c r="P1818" s="27" t="str">
        <f aca="false">A1818&amp;"|"&amp;N1818</f>
        <v>NURSE-10|normal</v>
      </c>
    </row>
    <row r="1819" customFormat="false" ht="15" hidden="false" customHeight="true" outlineLevel="0" collapsed="false">
      <c r="A1819" s="27" t="s">
        <v>104</v>
      </c>
      <c r="B1819" s="41" t="n">
        <v>46303.2975694445</v>
      </c>
      <c r="C1819" s="27" t="s">
        <v>195</v>
      </c>
      <c r="D1819" s="27" t="n">
        <v>39.4</v>
      </c>
      <c r="E1819" s="27" t="n">
        <v>21.1</v>
      </c>
      <c r="F1819" s="27" t="n">
        <v>25.8</v>
      </c>
      <c r="G1819" s="27" t="n">
        <v>33.9</v>
      </c>
      <c r="H1819" s="27" t="s">
        <v>196</v>
      </c>
      <c r="I1819" s="42" t="n">
        <f aca="false">(D1819-INDEX('Cohort Summary'!$D$5:$D$14,MATCH($A1819,'Cohort Summary'!$A$5:$A$14,0)))/INDEX('Cohort Summary'!$E$5:$E$14,MATCH($A1819,'Cohort Summary'!$A$5:$A$14,0))</f>
        <v>-1.24738675958188</v>
      </c>
      <c r="J1819" s="42" t="n">
        <f aca="false">(E1819-INDEX('Cohort Summary'!$F$5:$F$14,MATCH($A1819,'Cohort Summary'!$A$5:$A$14,0)))/INDEX('Cohort Summary'!$G$5:$G$14,MATCH($A1819,'Cohort Summary'!$A$5:$A$14,0))</f>
        <v>0.395121951219513</v>
      </c>
      <c r="K1819" s="42" t="n">
        <f aca="false">(F1819-INDEX('Cohort Summary'!$H$5:$H$14,MATCH($A1819,'Cohort Summary'!$A$5:$A$14,0)))/INDEX('Cohort Summary'!$I$5:$I$14,MATCH($A1819,'Cohort Summary'!$A$5:$A$14,0))</f>
        <v>-1.33881578947368</v>
      </c>
      <c r="L1819" s="42" t="n">
        <f aca="false">(G1819-INDEX('Cohort Summary'!$J$5:$J$14,MATCH($A1819,'Cohort Summary'!$A$5:$A$14,0)))/INDEX('Cohort Summary'!$K$5:$K$14,MATCH($A1819,'Cohort Summary'!$A$5:$A$14,0))</f>
        <v>1.55932203389831</v>
      </c>
      <c r="M1819" s="42" t="n">
        <f aca="false">MAX(I1819:K1819)</f>
        <v>0.395121951219513</v>
      </c>
      <c r="N1819" s="27" t="s">
        <v>197</v>
      </c>
      <c r="O1819" s="27"/>
      <c r="P1819" s="27" t="str">
        <f aca="false">A1819&amp;"|"&amp;N1819</f>
        <v>NURSE-10|normal</v>
      </c>
    </row>
    <row r="1820" customFormat="false" ht="15" hidden="false" customHeight="true" outlineLevel="0" collapsed="false">
      <c r="A1820" s="27" t="s">
        <v>104</v>
      </c>
      <c r="B1820" s="41" t="n">
        <v>46303.2979166667</v>
      </c>
      <c r="C1820" s="27" t="s">
        <v>195</v>
      </c>
      <c r="D1820" s="27" t="n">
        <v>45.9</v>
      </c>
      <c r="E1820" s="27" t="n">
        <v>23.9</v>
      </c>
      <c r="F1820" s="27" t="n">
        <v>26.6</v>
      </c>
      <c r="G1820" s="27" t="n">
        <v>32.5</v>
      </c>
      <c r="H1820" s="27" t="s">
        <v>198</v>
      </c>
      <c r="I1820" s="42" t="n">
        <f aca="false">(D1820-INDEX('Cohort Summary'!$D$5:$D$14,MATCH($A1820,'Cohort Summary'!$A$5:$A$14,0)))/INDEX('Cohort Summary'!$E$5:$E$14,MATCH($A1820,'Cohort Summary'!$A$5:$A$14,0))</f>
        <v>1.01742160278746</v>
      </c>
      <c r="J1820" s="42" t="n">
        <f aca="false">(E1820-INDEX('Cohort Summary'!$F$5:$F$14,MATCH($A1820,'Cohort Summary'!$A$5:$A$14,0)))/INDEX('Cohort Summary'!$G$5:$G$14,MATCH($A1820,'Cohort Summary'!$A$5:$A$14,0))</f>
        <v>1.7609756097561</v>
      </c>
      <c r="K1820" s="42" t="n">
        <f aca="false">(F1820-INDEX('Cohort Summary'!$H$5:$H$14,MATCH($A1820,'Cohort Summary'!$A$5:$A$14,0)))/INDEX('Cohort Summary'!$I$5:$I$14,MATCH($A1820,'Cohort Summary'!$A$5:$A$14,0))</f>
        <v>-1.07565789473684</v>
      </c>
      <c r="L1820" s="42" t="n">
        <f aca="false">(G1820-INDEX('Cohort Summary'!$J$5:$J$14,MATCH($A1820,'Cohort Summary'!$A$5:$A$14,0)))/INDEX('Cohort Summary'!$K$5:$K$14,MATCH($A1820,'Cohort Summary'!$A$5:$A$14,0))</f>
        <v>-0.813559322033893</v>
      </c>
      <c r="M1820" s="42" t="n">
        <f aca="false">MAX(I1820:K1820)</f>
        <v>1.7609756097561</v>
      </c>
      <c r="N1820" s="27" t="s">
        <v>197</v>
      </c>
      <c r="O1820" s="27"/>
      <c r="P1820" s="27" t="str">
        <f aca="false">A1820&amp;"|"&amp;N1820</f>
        <v>NURSE-10|normal</v>
      </c>
    </row>
    <row r="1821" customFormat="false" ht="15" hidden="false" customHeight="true" outlineLevel="0" collapsed="false">
      <c r="A1821" s="27" t="s">
        <v>104</v>
      </c>
      <c r="B1821" s="41" t="n">
        <v>46303.2982638889</v>
      </c>
      <c r="C1821" s="27" t="s">
        <v>195</v>
      </c>
      <c r="D1821" s="27" t="n">
        <v>38.4</v>
      </c>
      <c r="E1821" s="27" t="n">
        <v>20.9</v>
      </c>
      <c r="F1821" s="27" t="n">
        <v>25.8</v>
      </c>
      <c r="G1821" s="27" t="n">
        <v>32.4</v>
      </c>
      <c r="H1821" s="27" t="s">
        <v>198</v>
      </c>
      <c r="I1821" s="42" t="n">
        <f aca="false">(D1821-INDEX('Cohort Summary'!$D$5:$D$14,MATCH($A1821,'Cohort Summary'!$A$5:$A$14,0)))/INDEX('Cohort Summary'!$E$5:$E$14,MATCH($A1821,'Cohort Summary'!$A$5:$A$14,0))</f>
        <v>-1.59581881533101</v>
      </c>
      <c r="J1821" s="42" t="n">
        <f aca="false">(E1821-INDEX('Cohort Summary'!$F$5:$F$14,MATCH($A1821,'Cohort Summary'!$A$5:$A$14,0)))/INDEX('Cohort Summary'!$G$5:$G$14,MATCH($A1821,'Cohort Summary'!$A$5:$A$14,0))</f>
        <v>0.297560975609756</v>
      </c>
      <c r="K1821" s="42" t="n">
        <f aca="false">(F1821-INDEX('Cohort Summary'!$H$5:$H$14,MATCH($A1821,'Cohort Summary'!$A$5:$A$14,0)))/INDEX('Cohort Summary'!$I$5:$I$14,MATCH($A1821,'Cohort Summary'!$A$5:$A$14,0))</f>
        <v>-1.33881578947368</v>
      </c>
      <c r="L1821" s="42" t="n">
        <f aca="false">(G1821-INDEX('Cohort Summary'!$J$5:$J$14,MATCH($A1821,'Cohort Summary'!$A$5:$A$14,0)))/INDEX('Cohort Summary'!$K$5:$K$14,MATCH($A1821,'Cohort Summary'!$A$5:$A$14,0))</f>
        <v>-0.983050847457624</v>
      </c>
      <c r="M1821" s="42" t="n">
        <f aca="false">MAX(I1821:K1821)</f>
        <v>0.297560975609756</v>
      </c>
      <c r="N1821" s="27" t="s">
        <v>197</v>
      </c>
      <c r="O1821" s="27"/>
      <c r="P1821" s="27" t="str">
        <f aca="false">A1821&amp;"|"&amp;N1821</f>
        <v>NURSE-10|normal</v>
      </c>
    </row>
    <row r="1822" customFormat="false" ht="15" hidden="false" customHeight="true" outlineLevel="0" collapsed="false">
      <c r="A1822" s="27" t="s">
        <v>104</v>
      </c>
      <c r="B1822" s="41" t="n">
        <v>46303.2986111111</v>
      </c>
      <c r="C1822" s="27" t="s">
        <v>195</v>
      </c>
      <c r="D1822" s="27" t="n">
        <v>38.4</v>
      </c>
      <c r="E1822" s="27" t="n">
        <v>23.9</v>
      </c>
      <c r="F1822" s="27" t="n">
        <v>25.9</v>
      </c>
      <c r="G1822" s="27" t="n">
        <v>32.3</v>
      </c>
      <c r="H1822" s="27" t="s">
        <v>198</v>
      </c>
      <c r="I1822" s="42" t="n">
        <f aca="false">(D1822-INDEX('Cohort Summary'!$D$5:$D$14,MATCH($A1822,'Cohort Summary'!$A$5:$A$14,0)))/INDEX('Cohort Summary'!$E$5:$E$14,MATCH($A1822,'Cohort Summary'!$A$5:$A$14,0))</f>
        <v>-1.59581881533101</v>
      </c>
      <c r="J1822" s="42" t="n">
        <f aca="false">(E1822-INDEX('Cohort Summary'!$F$5:$F$14,MATCH($A1822,'Cohort Summary'!$A$5:$A$14,0)))/INDEX('Cohort Summary'!$G$5:$G$14,MATCH($A1822,'Cohort Summary'!$A$5:$A$14,0))</f>
        <v>1.7609756097561</v>
      </c>
      <c r="K1822" s="42" t="n">
        <f aca="false">(F1822-INDEX('Cohort Summary'!$H$5:$H$14,MATCH($A1822,'Cohort Summary'!$A$5:$A$14,0)))/INDEX('Cohort Summary'!$I$5:$I$14,MATCH($A1822,'Cohort Summary'!$A$5:$A$14,0))</f>
        <v>-1.30592105263158</v>
      </c>
      <c r="L1822" s="42" t="n">
        <f aca="false">(G1822-INDEX('Cohort Summary'!$J$5:$J$14,MATCH($A1822,'Cohort Summary'!$A$5:$A$14,0)))/INDEX('Cohort Summary'!$K$5:$K$14,MATCH($A1822,'Cohort Summary'!$A$5:$A$14,0))</f>
        <v>-1.15254237288136</v>
      </c>
      <c r="M1822" s="42" t="n">
        <f aca="false">MAX(I1822:K1822)</f>
        <v>1.7609756097561</v>
      </c>
      <c r="N1822" s="27" t="s">
        <v>197</v>
      </c>
      <c r="O1822" s="27"/>
      <c r="P1822" s="27" t="str">
        <f aca="false">A1822&amp;"|"&amp;N1822</f>
        <v>NURSE-10|normal</v>
      </c>
    </row>
    <row r="1823" customFormat="false" ht="15" hidden="false" customHeight="true" outlineLevel="0" collapsed="false">
      <c r="A1823" s="27" t="s">
        <v>104</v>
      </c>
      <c r="B1823" s="41" t="n">
        <v>46303.2989583333</v>
      </c>
      <c r="C1823" s="27" t="s">
        <v>195</v>
      </c>
      <c r="D1823" s="27" t="n">
        <v>39.6</v>
      </c>
      <c r="E1823" s="27" t="n">
        <v>18</v>
      </c>
      <c r="F1823" s="27" t="n">
        <v>28.8</v>
      </c>
      <c r="G1823" s="27" t="n">
        <v>33.6</v>
      </c>
      <c r="H1823" s="27" t="s">
        <v>198</v>
      </c>
      <c r="I1823" s="42" t="n">
        <f aca="false">(D1823-INDEX('Cohort Summary'!$D$5:$D$14,MATCH($A1823,'Cohort Summary'!$A$5:$A$14,0)))/INDEX('Cohort Summary'!$E$5:$E$14,MATCH($A1823,'Cohort Summary'!$A$5:$A$14,0))</f>
        <v>-1.17770034843205</v>
      </c>
      <c r="J1823" s="42" t="n">
        <f aca="false">(E1823-INDEX('Cohort Summary'!$F$5:$F$14,MATCH($A1823,'Cohort Summary'!$A$5:$A$14,0)))/INDEX('Cohort Summary'!$G$5:$G$14,MATCH($A1823,'Cohort Summary'!$A$5:$A$14,0))</f>
        <v>-1.11707317073171</v>
      </c>
      <c r="K1823" s="42" t="n">
        <f aca="false">(F1823-INDEX('Cohort Summary'!$H$5:$H$14,MATCH($A1823,'Cohort Summary'!$A$5:$A$14,0)))/INDEX('Cohort Summary'!$I$5:$I$14,MATCH($A1823,'Cohort Summary'!$A$5:$A$14,0))</f>
        <v>-0.351973684210526</v>
      </c>
      <c r="L1823" s="42" t="n">
        <f aca="false">(G1823-INDEX('Cohort Summary'!$J$5:$J$14,MATCH($A1823,'Cohort Summary'!$A$5:$A$14,0)))/INDEX('Cohort Summary'!$K$5:$K$14,MATCH($A1823,'Cohort Summary'!$A$5:$A$14,0))</f>
        <v>1.05084745762713</v>
      </c>
      <c r="M1823" s="42" t="n">
        <f aca="false">MAX(I1823:K1823)</f>
        <v>-0.351973684210526</v>
      </c>
      <c r="N1823" s="27" t="s">
        <v>197</v>
      </c>
      <c r="O1823" s="27"/>
      <c r="P1823" s="27" t="str">
        <f aca="false">A1823&amp;"|"&amp;N1823</f>
        <v>NURSE-10|normal</v>
      </c>
    </row>
    <row r="1824" customFormat="false" ht="15" hidden="false" customHeight="true" outlineLevel="0" collapsed="false">
      <c r="A1824" s="27" t="s">
        <v>104</v>
      </c>
      <c r="B1824" s="41" t="n">
        <v>46303.2993055556</v>
      </c>
      <c r="C1824" s="27" t="s">
        <v>195</v>
      </c>
      <c r="D1824" s="27" t="n">
        <v>46.5</v>
      </c>
      <c r="E1824" s="27" t="n">
        <v>17</v>
      </c>
      <c r="F1824" s="27" t="n">
        <v>27.9</v>
      </c>
      <c r="G1824" s="27" t="n">
        <v>33.8</v>
      </c>
      <c r="H1824" s="27" t="s">
        <v>196</v>
      </c>
      <c r="I1824" s="42" t="n">
        <f aca="false">(D1824-INDEX('Cohort Summary'!$D$5:$D$14,MATCH($A1824,'Cohort Summary'!$A$5:$A$14,0)))/INDEX('Cohort Summary'!$E$5:$E$14,MATCH($A1824,'Cohort Summary'!$A$5:$A$14,0))</f>
        <v>1.22648083623693</v>
      </c>
      <c r="J1824" s="42" t="n">
        <f aca="false">(E1824-INDEX('Cohort Summary'!$F$5:$F$14,MATCH($A1824,'Cohort Summary'!$A$5:$A$14,0)))/INDEX('Cohort Summary'!$G$5:$G$14,MATCH($A1824,'Cohort Summary'!$A$5:$A$14,0))</f>
        <v>-1.60487804878049</v>
      </c>
      <c r="K1824" s="42" t="n">
        <f aca="false">(F1824-INDEX('Cohort Summary'!$H$5:$H$14,MATCH($A1824,'Cohort Summary'!$A$5:$A$14,0)))/INDEX('Cohort Summary'!$I$5:$I$14,MATCH($A1824,'Cohort Summary'!$A$5:$A$14,0))</f>
        <v>-0.648026315789474</v>
      </c>
      <c r="L1824" s="42" t="n">
        <f aca="false">(G1824-INDEX('Cohort Summary'!$J$5:$J$14,MATCH($A1824,'Cohort Summary'!$A$5:$A$14,0)))/INDEX('Cohort Summary'!$K$5:$K$14,MATCH($A1824,'Cohort Summary'!$A$5:$A$14,0))</f>
        <v>1.38983050847458</v>
      </c>
      <c r="M1824" s="42" t="n">
        <f aca="false">MAX(I1824:K1824)</f>
        <v>1.22648083623693</v>
      </c>
      <c r="N1824" s="27" t="s">
        <v>197</v>
      </c>
      <c r="O1824" s="27"/>
      <c r="P1824" s="27" t="str">
        <f aca="false">A1824&amp;"|"&amp;N1824</f>
        <v>NURSE-10|normal</v>
      </c>
    </row>
    <row r="1825" customFormat="false" ht="15" hidden="false" customHeight="true" outlineLevel="0" collapsed="false">
      <c r="A1825" s="27" t="s">
        <v>104</v>
      </c>
      <c r="B1825" s="41" t="n">
        <v>46303.2996527778</v>
      </c>
      <c r="C1825" s="27" t="s">
        <v>195</v>
      </c>
      <c r="D1825" s="27" t="n">
        <v>38.4</v>
      </c>
      <c r="E1825" s="27" t="n">
        <v>17.7</v>
      </c>
      <c r="F1825" s="27" t="n">
        <v>32.2</v>
      </c>
      <c r="G1825" s="27" t="n">
        <v>33</v>
      </c>
      <c r="H1825" s="27" t="s">
        <v>198</v>
      </c>
      <c r="I1825" s="42" t="n">
        <f aca="false">(D1825-INDEX('Cohort Summary'!$D$5:$D$14,MATCH($A1825,'Cohort Summary'!$A$5:$A$14,0)))/INDEX('Cohort Summary'!$E$5:$E$14,MATCH($A1825,'Cohort Summary'!$A$5:$A$14,0))</f>
        <v>-1.59581881533101</v>
      </c>
      <c r="J1825" s="42" t="n">
        <f aca="false">(E1825-INDEX('Cohort Summary'!$F$5:$F$14,MATCH($A1825,'Cohort Summary'!$A$5:$A$14,0)))/INDEX('Cohort Summary'!$G$5:$G$14,MATCH($A1825,'Cohort Summary'!$A$5:$A$14,0))</f>
        <v>-1.26341463414634</v>
      </c>
      <c r="K1825" s="42" t="n">
        <f aca="false">(F1825-INDEX('Cohort Summary'!$H$5:$H$14,MATCH($A1825,'Cohort Summary'!$A$5:$A$14,0)))/INDEX('Cohort Summary'!$I$5:$I$14,MATCH($A1825,'Cohort Summary'!$A$5:$A$14,0))</f>
        <v>0.766447368421053</v>
      </c>
      <c r="L1825" s="42" t="n">
        <f aca="false">(G1825-INDEX('Cohort Summary'!$J$5:$J$14,MATCH($A1825,'Cohort Summary'!$A$5:$A$14,0)))/INDEX('Cohort Summary'!$K$5:$K$14,MATCH($A1825,'Cohort Summary'!$A$5:$A$14,0))</f>
        <v>0.0338983050847511</v>
      </c>
      <c r="M1825" s="42" t="n">
        <f aca="false">MAX(I1825:K1825)</f>
        <v>0.766447368421053</v>
      </c>
      <c r="N1825" s="27" t="s">
        <v>197</v>
      </c>
      <c r="O1825" s="27"/>
      <c r="P1825" s="27" t="str">
        <f aca="false">A1825&amp;"|"&amp;N1825</f>
        <v>NURSE-10|normal</v>
      </c>
    </row>
    <row r="1826" customFormat="false" ht="15" hidden="false" customHeight="true" outlineLevel="0" collapsed="false">
      <c r="A1826" s="27" t="s">
        <v>104</v>
      </c>
      <c r="B1826" s="41" t="n">
        <v>46303.3</v>
      </c>
      <c r="C1826" s="27" t="s">
        <v>195</v>
      </c>
      <c r="D1826" s="27" t="n">
        <v>41.8</v>
      </c>
      <c r="E1826" s="27" t="n">
        <v>21.8</v>
      </c>
      <c r="F1826" s="27" t="n">
        <v>33</v>
      </c>
      <c r="G1826" s="27" t="n">
        <v>33.4</v>
      </c>
      <c r="H1826" s="27" t="s">
        <v>198</v>
      </c>
      <c r="I1826" s="42" t="n">
        <f aca="false">(D1826-INDEX('Cohort Summary'!$D$5:$D$14,MATCH($A1826,'Cohort Summary'!$A$5:$A$14,0)))/INDEX('Cohort Summary'!$E$5:$E$14,MATCH($A1826,'Cohort Summary'!$A$5:$A$14,0))</f>
        <v>-0.411149825783972</v>
      </c>
      <c r="J1826" s="42" t="n">
        <f aca="false">(E1826-INDEX('Cohort Summary'!$F$5:$F$14,MATCH($A1826,'Cohort Summary'!$A$5:$A$14,0)))/INDEX('Cohort Summary'!$G$5:$G$14,MATCH($A1826,'Cohort Summary'!$A$5:$A$14,0))</f>
        <v>0.736585365853659</v>
      </c>
      <c r="K1826" s="42" t="n">
        <f aca="false">(F1826-INDEX('Cohort Summary'!$H$5:$H$14,MATCH($A1826,'Cohort Summary'!$A$5:$A$14,0)))/INDEX('Cohort Summary'!$I$5:$I$14,MATCH($A1826,'Cohort Summary'!$A$5:$A$14,0))</f>
        <v>1.02960526315789</v>
      </c>
      <c r="L1826" s="42" t="n">
        <f aca="false">(G1826-INDEX('Cohort Summary'!$J$5:$J$14,MATCH($A1826,'Cohort Summary'!$A$5:$A$14,0)))/INDEX('Cohort Summary'!$K$5:$K$14,MATCH($A1826,'Cohort Summary'!$A$5:$A$14,0))</f>
        <v>0.711864406779664</v>
      </c>
      <c r="M1826" s="42" t="n">
        <f aca="false">MAX(I1826:K1826)</f>
        <v>1.02960526315789</v>
      </c>
      <c r="N1826" s="27" t="s">
        <v>197</v>
      </c>
      <c r="O1826" s="27"/>
      <c r="P1826" s="27" t="str">
        <f aca="false">A1826&amp;"|"&amp;N1826</f>
        <v>NURSE-10|normal</v>
      </c>
    </row>
    <row r="1827" customFormat="false" ht="15" hidden="false" customHeight="true" outlineLevel="0" collapsed="false">
      <c r="A1827" s="27" t="s">
        <v>104</v>
      </c>
      <c r="B1827" s="41" t="n">
        <v>46303.3003472222</v>
      </c>
      <c r="C1827" s="27" t="s">
        <v>195</v>
      </c>
      <c r="D1827" s="27" t="n">
        <v>39.5</v>
      </c>
      <c r="E1827" s="27" t="n">
        <v>22.1</v>
      </c>
      <c r="F1827" s="27" t="n">
        <v>25.4</v>
      </c>
      <c r="G1827" s="27" t="n">
        <v>32.9</v>
      </c>
      <c r="H1827" s="27" t="s">
        <v>199</v>
      </c>
      <c r="I1827" s="42" t="n">
        <f aca="false">(D1827-INDEX('Cohort Summary'!$D$5:$D$14,MATCH($A1827,'Cohort Summary'!$A$5:$A$14,0)))/INDEX('Cohort Summary'!$E$5:$E$14,MATCH($A1827,'Cohort Summary'!$A$5:$A$14,0))</f>
        <v>-1.21254355400697</v>
      </c>
      <c r="J1827" s="42" t="n">
        <f aca="false">(E1827-INDEX('Cohort Summary'!$F$5:$F$14,MATCH($A1827,'Cohort Summary'!$A$5:$A$14,0)))/INDEX('Cohort Summary'!$G$5:$G$14,MATCH($A1827,'Cohort Summary'!$A$5:$A$14,0))</f>
        <v>0.882926829268294</v>
      </c>
      <c r="K1827" s="42" t="n">
        <f aca="false">(F1827-INDEX('Cohort Summary'!$H$5:$H$14,MATCH($A1827,'Cohort Summary'!$A$5:$A$14,0)))/INDEX('Cohort Summary'!$I$5:$I$14,MATCH($A1827,'Cohort Summary'!$A$5:$A$14,0))</f>
        <v>-1.47039473684211</v>
      </c>
      <c r="L1827" s="42" t="n">
        <f aca="false">(G1827-INDEX('Cohort Summary'!$J$5:$J$14,MATCH($A1827,'Cohort Summary'!$A$5:$A$14,0)))/INDEX('Cohort Summary'!$K$5:$K$14,MATCH($A1827,'Cohort Summary'!$A$5:$A$14,0))</f>
        <v>-0.13559322033898</v>
      </c>
      <c r="M1827" s="42" t="n">
        <f aca="false">MAX(I1827:K1827)</f>
        <v>0.882926829268294</v>
      </c>
      <c r="N1827" s="27" t="s">
        <v>197</v>
      </c>
      <c r="O1827" s="27"/>
      <c r="P1827" s="27" t="str">
        <f aca="false">A1827&amp;"|"&amp;N1827</f>
        <v>NURSE-10|normal</v>
      </c>
    </row>
    <row r="1828" customFormat="false" ht="15" hidden="false" customHeight="true" outlineLevel="0" collapsed="false">
      <c r="A1828" s="27" t="s">
        <v>104</v>
      </c>
      <c r="B1828" s="41" t="n">
        <v>46303.3006944444</v>
      </c>
      <c r="C1828" s="27" t="s">
        <v>195</v>
      </c>
      <c r="D1828" s="27" t="n">
        <v>39.6</v>
      </c>
      <c r="E1828" s="27" t="n">
        <v>20.8</v>
      </c>
      <c r="F1828" s="27" t="n">
        <v>34.3</v>
      </c>
      <c r="G1828" s="27" t="n">
        <v>32</v>
      </c>
      <c r="H1828" s="27" t="s">
        <v>199</v>
      </c>
      <c r="I1828" s="42" t="n">
        <f aca="false">(D1828-INDEX('Cohort Summary'!$D$5:$D$14,MATCH($A1828,'Cohort Summary'!$A$5:$A$14,0)))/INDEX('Cohort Summary'!$E$5:$E$14,MATCH($A1828,'Cohort Summary'!$A$5:$A$14,0))</f>
        <v>-1.17770034843205</v>
      </c>
      <c r="J1828" s="42" t="n">
        <f aca="false">(E1828-INDEX('Cohort Summary'!$F$5:$F$14,MATCH($A1828,'Cohort Summary'!$A$5:$A$14,0)))/INDEX('Cohort Summary'!$G$5:$G$14,MATCH($A1828,'Cohort Summary'!$A$5:$A$14,0))</f>
        <v>0.248780487804879</v>
      </c>
      <c r="K1828" s="42" t="n">
        <f aca="false">(F1828-INDEX('Cohort Summary'!$H$5:$H$14,MATCH($A1828,'Cohort Summary'!$A$5:$A$14,0)))/INDEX('Cohort Summary'!$I$5:$I$14,MATCH($A1828,'Cohort Summary'!$A$5:$A$14,0))</f>
        <v>1.45723684210526</v>
      </c>
      <c r="L1828" s="42" t="n">
        <f aca="false">(G1828-INDEX('Cohort Summary'!$J$5:$J$14,MATCH($A1828,'Cohort Summary'!$A$5:$A$14,0)))/INDEX('Cohort Summary'!$K$5:$K$14,MATCH($A1828,'Cohort Summary'!$A$5:$A$14,0))</f>
        <v>-1.66101694915254</v>
      </c>
      <c r="M1828" s="42" t="n">
        <f aca="false">MAX(I1828:K1828)</f>
        <v>1.45723684210526</v>
      </c>
      <c r="N1828" s="27" t="s">
        <v>197</v>
      </c>
      <c r="O1828" s="27"/>
      <c r="P1828" s="27" t="str">
        <f aca="false">A1828&amp;"|"&amp;N1828</f>
        <v>NURSE-10|normal</v>
      </c>
    </row>
    <row r="1829" customFormat="false" ht="15" hidden="false" customHeight="true" outlineLevel="0" collapsed="false">
      <c r="A1829" s="27" t="s">
        <v>104</v>
      </c>
      <c r="B1829" s="41" t="n">
        <v>46303.3010416667</v>
      </c>
      <c r="C1829" s="27" t="s">
        <v>195</v>
      </c>
      <c r="D1829" s="27" t="n">
        <v>38.4</v>
      </c>
      <c r="E1829" s="27" t="n">
        <v>21.5</v>
      </c>
      <c r="F1829" s="27" t="n">
        <v>31.9</v>
      </c>
      <c r="G1829" s="27" t="n">
        <v>32</v>
      </c>
      <c r="H1829" s="27" t="s">
        <v>196</v>
      </c>
      <c r="I1829" s="42" t="n">
        <f aca="false">(D1829-INDEX('Cohort Summary'!$D$5:$D$14,MATCH($A1829,'Cohort Summary'!$A$5:$A$14,0)))/INDEX('Cohort Summary'!$E$5:$E$14,MATCH($A1829,'Cohort Summary'!$A$5:$A$14,0))</f>
        <v>-1.59581881533101</v>
      </c>
      <c r="J1829" s="42" t="n">
        <f aca="false">(E1829-INDEX('Cohort Summary'!$F$5:$F$14,MATCH($A1829,'Cohort Summary'!$A$5:$A$14,0)))/INDEX('Cohort Summary'!$G$5:$G$14,MATCH($A1829,'Cohort Summary'!$A$5:$A$14,0))</f>
        <v>0.590243902439025</v>
      </c>
      <c r="K1829" s="42" t="n">
        <f aca="false">(F1829-INDEX('Cohort Summary'!$H$5:$H$14,MATCH($A1829,'Cohort Summary'!$A$5:$A$14,0)))/INDEX('Cohort Summary'!$I$5:$I$14,MATCH($A1829,'Cohort Summary'!$A$5:$A$14,0))</f>
        <v>0.667763157894736</v>
      </c>
      <c r="L1829" s="42" t="n">
        <f aca="false">(G1829-INDEX('Cohort Summary'!$J$5:$J$14,MATCH($A1829,'Cohort Summary'!$A$5:$A$14,0)))/INDEX('Cohort Summary'!$K$5:$K$14,MATCH($A1829,'Cohort Summary'!$A$5:$A$14,0))</f>
        <v>-1.66101694915254</v>
      </c>
      <c r="M1829" s="42" t="n">
        <f aca="false">MAX(I1829:K1829)</f>
        <v>0.667763157894736</v>
      </c>
      <c r="N1829" s="27" t="s">
        <v>197</v>
      </c>
      <c r="O1829" s="27"/>
      <c r="P1829" s="27" t="str">
        <f aca="false">A1829&amp;"|"&amp;N1829</f>
        <v>NURSE-10|normal</v>
      </c>
    </row>
    <row r="1830" customFormat="false" ht="15" hidden="false" customHeight="true" outlineLevel="0" collapsed="false">
      <c r="A1830" s="27" t="s">
        <v>104</v>
      </c>
      <c r="B1830" s="41" t="n">
        <v>46303.3013888889</v>
      </c>
      <c r="C1830" s="27" t="s">
        <v>195</v>
      </c>
      <c r="D1830" s="27" t="n">
        <v>41.6</v>
      </c>
      <c r="E1830" s="27" t="n">
        <v>20.6</v>
      </c>
      <c r="F1830" s="27" t="n">
        <v>31.5</v>
      </c>
      <c r="G1830" s="27" t="n">
        <v>33.9</v>
      </c>
      <c r="H1830" s="27" t="s">
        <v>196</v>
      </c>
      <c r="I1830" s="42" t="n">
        <f aca="false">(D1830-INDEX('Cohort Summary'!$D$5:$D$14,MATCH($A1830,'Cohort Summary'!$A$5:$A$14,0)))/INDEX('Cohort Summary'!$E$5:$E$14,MATCH($A1830,'Cohort Summary'!$A$5:$A$14,0))</f>
        <v>-0.480836236933796</v>
      </c>
      <c r="J1830" s="42" t="n">
        <f aca="false">(E1830-INDEX('Cohort Summary'!$F$5:$F$14,MATCH($A1830,'Cohort Summary'!$A$5:$A$14,0)))/INDEX('Cohort Summary'!$G$5:$G$14,MATCH($A1830,'Cohort Summary'!$A$5:$A$14,0))</f>
        <v>0.151219512195123</v>
      </c>
      <c r="K1830" s="42" t="n">
        <f aca="false">(F1830-INDEX('Cohort Summary'!$H$5:$H$14,MATCH($A1830,'Cohort Summary'!$A$5:$A$14,0)))/INDEX('Cohort Summary'!$I$5:$I$14,MATCH($A1830,'Cohort Summary'!$A$5:$A$14,0))</f>
        <v>0.536184210526316</v>
      </c>
      <c r="L1830" s="42" t="n">
        <f aca="false">(G1830-INDEX('Cohort Summary'!$J$5:$J$14,MATCH($A1830,'Cohort Summary'!$A$5:$A$14,0)))/INDEX('Cohort Summary'!$K$5:$K$14,MATCH($A1830,'Cohort Summary'!$A$5:$A$14,0))</f>
        <v>1.55932203389831</v>
      </c>
      <c r="M1830" s="42" t="n">
        <f aca="false">MAX(I1830:K1830)</f>
        <v>0.536184210526316</v>
      </c>
      <c r="N1830" s="27" t="s">
        <v>197</v>
      </c>
      <c r="O1830" s="27"/>
      <c r="P1830" s="27" t="str">
        <f aca="false">A1830&amp;"|"&amp;N1830</f>
        <v>NURSE-10|normal</v>
      </c>
    </row>
    <row r="1831" customFormat="false" ht="15" hidden="false" customHeight="true" outlineLevel="0" collapsed="false">
      <c r="A1831" s="27" t="s">
        <v>104</v>
      </c>
      <c r="B1831" s="41" t="n">
        <v>46303.3017361111</v>
      </c>
      <c r="C1831" s="27" t="s">
        <v>195</v>
      </c>
      <c r="D1831" s="27" t="n">
        <v>45.4</v>
      </c>
      <c r="E1831" s="27" t="n">
        <v>20.2</v>
      </c>
      <c r="F1831" s="27" t="n">
        <v>34.9</v>
      </c>
      <c r="G1831" s="27" t="n">
        <v>33.9</v>
      </c>
      <c r="H1831" s="27" t="s">
        <v>198</v>
      </c>
      <c r="I1831" s="42" t="n">
        <f aca="false">(D1831-INDEX('Cohort Summary'!$D$5:$D$14,MATCH($A1831,'Cohort Summary'!$A$5:$A$14,0)))/INDEX('Cohort Summary'!$E$5:$E$14,MATCH($A1831,'Cohort Summary'!$A$5:$A$14,0))</f>
        <v>0.843205574912893</v>
      </c>
      <c r="J1831" s="42" t="n">
        <f aca="false">(E1831-INDEX('Cohort Summary'!$F$5:$F$14,MATCH($A1831,'Cohort Summary'!$A$5:$A$14,0)))/INDEX('Cohort Summary'!$G$5:$G$14,MATCH($A1831,'Cohort Summary'!$A$5:$A$14,0))</f>
        <v>-0.0439024390243902</v>
      </c>
      <c r="K1831" s="42" t="n">
        <f aca="false">(F1831-INDEX('Cohort Summary'!$H$5:$H$14,MATCH($A1831,'Cohort Summary'!$A$5:$A$14,0)))/INDEX('Cohort Summary'!$I$5:$I$14,MATCH($A1831,'Cohort Summary'!$A$5:$A$14,0))</f>
        <v>1.65460526315789</v>
      </c>
      <c r="L1831" s="42" t="n">
        <f aca="false">(G1831-INDEX('Cohort Summary'!$J$5:$J$14,MATCH($A1831,'Cohort Summary'!$A$5:$A$14,0)))/INDEX('Cohort Summary'!$K$5:$K$14,MATCH($A1831,'Cohort Summary'!$A$5:$A$14,0))</f>
        <v>1.55932203389831</v>
      </c>
      <c r="M1831" s="42" t="n">
        <f aca="false">MAX(I1831:K1831)</f>
        <v>1.65460526315789</v>
      </c>
      <c r="N1831" s="27" t="s">
        <v>197</v>
      </c>
      <c r="O1831" s="27"/>
      <c r="P1831" s="27" t="str">
        <f aca="false">A1831&amp;"|"&amp;N1831</f>
        <v>NURSE-10|normal</v>
      </c>
    </row>
    <row r="1832" customFormat="false" ht="15" hidden="false" customHeight="true" outlineLevel="0" collapsed="false">
      <c r="A1832" s="27" t="s">
        <v>104</v>
      </c>
      <c r="B1832" s="41" t="n">
        <v>46303.3020833333</v>
      </c>
      <c r="C1832" s="27" t="s">
        <v>195</v>
      </c>
      <c r="D1832" s="27" t="n">
        <v>43.5</v>
      </c>
      <c r="E1832" s="27" t="n">
        <v>19.9</v>
      </c>
      <c r="F1832" s="27" t="n">
        <v>28.4</v>
      </c>
      <c r="G1832" s="27" t="n">
        <v>32.8</v>
      </c>
      <c r="H1832" s="27" t="s">
        <v>198</v>
      </c>
      <c r="I1832" s="42" t="n">
        <f aca="false">(D1832-INDEX('Cohort Summary'!$D$5:$D$14,MATCH($A1832,'Cohort Summary'!$A$5:$A$14,0)))/INDEX('Cohort Summary'!$E$5:$E$14,MATCH($A1832,'Cohort Summary'!$A$5:$A$14,0))</f>
        <v>0.181184668989548</v>
      </c>
      <c r="J1832" s="42" t="n">
        <f aca="false">(E1832-INDEX('Cohort Summary'!$F$5:$F$14,MATCH($A1832,'Cohort Summary'!$A$5:$A$14,0)))/INDEX('Cohort Summary'!$G$5:$G$14,MATCH($A1832,'Cohort Summary'!$A$5:$A$14,0))</f>
        <v>-0.190243902439025</v>
      </c>
      <c r="K1832" s="42" t="n">
        <f aca="false">(F1832-INDEX('Cohort Summary'!$H$5:$H$14,MATCH($A1832,'Cohort Summary'!$A$5:$A$14,0)))/INDEX('Cohort Summary'!$I$5:$I$14,MATCH($A1832,'Cohort Summary'!$A$5:$A$14,0))</f>
        <v>-0.483552631578948</v>
      </c>
      <c r="L1832" s="42" t="n">
        <f aca="false">(G1832-INDEX('Cohort Summary'!$J$5:$J$14,MATCH($A1832,'Cohort Summary'!$A$5:$A$14,0)))/INDEX('Cohort Summary'!$K$5:$K$14,MATCH($A1832,'Cohort Summary'!$A$5:$A$14,0))</f>
        <v>-0.305084745762711</v>
      </c>
      <c r="M1832" s="42" t="n">
        <f aca="false">MAX(I1832:K1832)</f>
        <v>0.181184668989548</v>
      </c>
      <c r="N1832" s="27" t="s">
        <v>197</v>
      </c>
      <c r="O1832" s="27"/>
      <c r="P1832" s="27" t="str">
        <f aca="false">A1832&amp;"|"&amp;N1832</f>
        <v>NURSE-10|normal</v>
      </c>
    </row>
    <row r="1833" customFormat="false" ht="15" hidden="false" customHeight="true" outlineLevel="0" collapsed="false">
      <c r="A1833" s="27" t="s">
        <v>104</v>
      </c>
      <c r="B1833" s="41" t="n">
        <v>46303.3024305556</v>
      </c>
      <c r="C1833" s="27" t="s">
        <v>195</v>
      </c>
      <c r="D1833" s="27" t="n">
        <v>46.6</v>
      </c>
      <c r="E1833" s="27" t="n">
        <v>22.6</v>
      </c>
      <c r="F1833" s="27" t="n">
        <v>27.2</v>
      </c>
      <c r="G1833" s="27" t="n">
        <v>33.4</v>
      </c>
      <c r="H1833" s="27" t="s">
        <v>198</v>
      </c>
      <c r="I1833" s="42" t="n">
        <f aca="false">(D1833-INDEX('Cohort Summary'!$D$5:$D$14,MATCH($A1833,'Cohort Summary'!$A$5:$A$14,0)))/INDEX('Cohort Summary'!$E$5:$E$14,MATCH($A1833,'Cohort Summary'!$A$5:$A$14,0))</f>
        <v>1.26132404181185</v>
      </c>
      <c r="J1833" s="42" t="n">
        <f aca="false">(E1833-INDEX('Cohort Summary'!$F$5:$F$14,MATCH($A1833,'Cohort Summary'!$A$5:$A$14,0)))/INDEX('Cohort Summary'!$G$5:$G$14,MATCH($A1833,'Cohort Summary'!$A$5:$A$14,0))</f>
        <v>1.12682926829268</v>
      </c>
      <c r="K1833" s="42" t="n">
        <f aca="false">(F1833-INDEX('Cohort Summary'!$H$5:$H$14,MATCH($A1833,'Cohort Summary'!$A$5:$A$14,0)))/INDEX('Cohort Summary'!$I$5:$I$14,MATCH($A1833,'Cohort Summary'!$A$5:$A$14,0))</f>
        <v>-0.878289473684211</v>
      </c>
      <c r="L1833" s="42" t="n">
        <f aca="false">(G1833-INDEX('Cohort Summary'!$J$5:$J$14,MATCH($A1833,'Cohort Summary'!$A$5:$A$14,0)))/INDEX('Cohort Summary'!$K$5:$K$14,MATCH($A1833,'Cohort Summary'!$A$5:$A$14,0))</f>
        <v>0.711864406779664</v>
      </c>
      <c r="M1833" s="42" t="n">
        <f aca="false">MAX(I1833:K1833)</f>
        <v>1.26132404181185</v>
      </c>
      <c r="N1833" s="27" t="s">
        <v>197</v>
      </c>
      <c r="O1833" s="27"/>
      <c r="P1833" s="27" t="str">
        <f aca="false">A1833&amp;"|"&amp;N1833</f>
        <v>NURSE-10|normal</v>
      </c>
    </row>
    <row r="1834" customFormat="false" ht="15" hidden="false" customHeight="true" outlineLevel="0" collapsed="false">
      <c r="A1834" s="27" t="s">
        <v>104</v>
      </c>
      <c r="B1834" s="41" t="n">
        <v>46303.3027777778</v>
      </c>
      <c r="C1834" s="27" t="s">
        <v>195</v>
      </c>
      <c r="D1834" s="27" t="n">
        <v>46.5</v>
      </c>
      <c r="E1834" s="27" t="n">
        <v>17.9</v>
      </c>
      <c r="F1834" s="27" t="n">
        <v>30.2</v>
      </c>
      <c r="G1834" s="27" t="n">
        <v>33.5</v>
      </c>
      <c r="H1834" s="27" t="s">
        <v>199</v>
      </c>
      <c r="I1834" s="42" t="n">
        <f aca="false">(D1834-INDEX('Cohort Summary'!$D$5:$D$14,MATCH($A1834,'Cohort Summary'!$A$5:$A$14,0)))/INDEX('Cohort Summary'!$E$5:$E$14,MATCH($A1834,'Cohort Summary'!$A$5:$A$14,0))</f>
        <v>1.22648083623693</v>
      </c>
      <c r="J1834" s="42" t="n">
        <f aca="false">(E1834-INDEX('Cohort Summary'!$F$5:$F$14,MATCH($A1834,'Cohort Summary'!$A$5:$A$14,0)))/INDEX('Cohort Summary'!$G$5:$G$14,MATCH($A1834,'Cohort Summary'!$A$5:$A$14,0))</f>
        <v>-1.16585365853659</v>
      </c>
      <c r="K1834" s="42" t="n">
        <f aca="false">(F1834-INDEX('Cohort Summary'!$H$5:$H$14,MATCH($A1834,'Cohort Summary'!$A$5:$A$14,0)))/INDEX('Cohort Summary'!$I$5:$I$14,MATCH($A1834,'Cohort Summary'!$A$5:$A$14,0))</f>
        <v>0.108552631578947</v>
      </c>
      <c r="L1834" s="42" t="n">
        <f aca="false">(G1834-INDEX('Cohort Summary'!$J$5:$J$14,MATCH($A1834,'Cohort Summary'!$A$5:$A$14,0)))/INDEX('Cohort Summary'!$K$5:$K$14,MATCH($A1834,'Cohort Summary'!$A$5:$A$14,0))</f>
        <v>0.881355932203395</v>
      </c>
      <c r="M1834" s="42" t="n">
        <f aca="false">MAX(I1834:K1834)</f>
        <v>1.22648083623693</v>
      </c>
      <c r="N1834" s="27" t="s">
        <v>197</v>
      </c>
      <c r="O1834" s="27"/>
      <c r="P1834" s="27" t="str">
        <f aca="false">A1834&amp;"|"&amp;N1834</f>
        <v>NURSE-10|normal</v>
      </c>
    </row>
    <row r="1835" customFormat="false" ht="15" hidden="false" customHeight="true" outlineLevel="0" collapsed="false">
      <c r="A1835" s="27" t="s">
        <v>104</v>
      </c>
      <c r="B1835" s="41" t="n">
        <v>46303.303125</v>
      </c>
      <c r="C1835" s="27" t="s">
        <v>195</v>
      </c>
      <c r="D1835" s="27" t="n">
        <v>42.5</v>
      </c>
      <c r="E1835" s="27" t="n">
        <v>23.4</v>
      </c>
      <c r="F1835" s="27" t="n">
        <v>32</v>
      </c>
      <c r="G1835" s="27" t="n">
        <v>33</v>
      </c>
      <c r="H1835" s="27" t="s">
        <v>198</v>
      </c>
      <c r="I1835" s="42" t="n">
        <f aca="false">(D1835-INDEX('Cohort Summary'!$D$5:$D$14,MATCH($A1835,'Cohort Summary'!$A$5:$A$14,0)))/INDEX('Cohort Summary'!$E$5:$E$14,MATCH($A1835,'Cohort Summary'!$A$5:$A$14,0))</f>
        <v>-0.167247386759581</v>
      </c>
      <c r="J1835" s="42" t="n">
        <f aca="false">(E1835-INDEX('Cohort Summary'!$F$5:$F$14,MATCH($A1835,'Cohort Summary'!$A$5:$A$14,0)))/INDEX('Cohort Summary'!$G$5:$G$14,MATCH($A1835,'Cohort Summary'!$A$5:$A$14,0))</f>
        <v>1.51707317073171</v>
      </c>
      <c r="K1835" s="42" t="n">
        <f aca="false">(F1835-INDEX('Cohort Summary'!$H$5:$H$14,MATCH($A1835,'Cohort Summary'!$A$5:$A$14,0)))/INDEX('Cohort Summary'!$I$5:$I$14,MATCH($A1835,'Cohort Summary'!$A$5:$A$14,0))</f>
        <v>0.700657894736842</v>
      </c>
      <c r="L1835" s="42" t="n">
        <f aca="false">(G1835-INDEX('Cohort Summary'!$J$5:$J$14,MATCH($A1835,'Cohort Summary'!$A$5:$A$14,0)))/INDEX('Cohort Summary'!$K$5:$K$14,MATCH($A1835,'Cohort Summary'!$A$5:$A$14,0))</f>
        <v>0.0338983050847511</v>
      </c>
      <c r="M1835" s="42" t="n">
        <f aca="false">MAX(I1835:K1835)</f>
        <v>1.51707317073171</v>
      </c>
      <c r="N1835" s="27" t="s">
        <v>197</v>
      </c>
      <c r="O1835" s="27"/>
      <c r="P1835" s="27" t="str">
        <f aca="false">A1835&amp;"|"&amp;N1835</f>
        <v>NURSE-10|normal</v>
      </c>
    </row>
    <row r="1836" customFormat="false" ht="15" hidden="false" customHeight="true" outlineLevel="0" collapsed="false">
      <c r="A1836" s="27" t="s">
        <v>104</v>
      </c>
      <c r="B1836" s="41" t="n">
        <v>46303.3034722222</v>
      </c>
      <c r="C1836" s="27" t="s">
        <v>195</v>
      </c>
      <c r="D1836" s="27" t="n">
        <v>41.5</v>
      </c>
      <c r="E1836" s="27" t="n">
        <v>17.8</v>
      </c>
      <c r="F1836" s="27" t="n">
        <v>30.7</v>
      </c>
      <c r="G1836" s="27" t="n">
        <v>32.8</v>
      </c>
      <c r="H1836" s="27" t="s">
        <v>199</v>
      </c>
      <c r="I1836" s="42" t="n">
        <f aca="false">(D1836-INDEX('Cohort Summary'!$D$5:$D$14,MATCH($A1836,'Cohort Summary'!$A$5:$A$14,0)))/INDEX('Cohort Summary'!$E$5:$E$14,MATCH($A1836,'Cohort Summary'!$A$5:$A$14,0))</f>
        <v>-0.51567944250871</v>
      </c>
      <c r="J1836" s="42" t="n">
        <f aca="false">(E1836-INDEX('Cohort Summary'!$F$5:$F$14,MATCH($A1836,'Cohort Summary'!$A$5:$A$14,0)))/INDEX('Cohort Summary'!$G$5:$G$14,MATCH($A1836,'Cohort Summary'!$A$5:$A$14,0))</f>
        <v>-1.21463414634146</v>
      </c>
      <c r="K1836" s="42" t="n">
        <f aca="false">(F1836-INDEX('Cohort Summary'!$H$5:$H$14,MATCH($A1836,'Cohort Summary'!$A$5:$A$14,0)))/INDEX('Cohort Summary'!$I$5:$I$14,MATCH($A1836,'Cohort Summary'!$A$5:$A$14,0))</f>
        <v>0.273026315789473</v>
      </c>
      <c r="L1836" s="42" t="n">
        <f aca="false">(G1836-INDEX('Cohort Summary'!$J$5:$J$14,MATCH($A1836,'Cohort Summary'!$A$5:$A$14,0)))/INDEX('Cohort Summary'!$K$5:$K$14,MATCH($A1836,'Cohort Summary'!$A$5:$A$14,0))</f>
        <v>-0.305084745762711</v>
      </c>
      <c r="M1836" s="42" t="n">
        <f aca="false">MAX(I1836:K1836)</f>
        <v>0.273026315789473</v>
      </c>
      <c r="N1836" s="27" t="s">
        <v>197</v>
      </c>
      <c r="O1836" s="27"/>
      <c r="P1836" s="27" t="str">
        <f aca="false">A1836&amp;"|"&amp;N1836</f>
        <v>NURSE-10|normal</v>
      </c>
    </row>
    <row r="1837" customFormat="false" ht="15" hidden="false" customHeight="true" outlineLevel="0" collapsed="false">
      <c r="A1837" s="27" t="s">
        <v>104</v>
      </c>
      <c r="B1837" s="41" t="n">
        <v>46303.3038194445</v>
      </c>
      <c r="C1837" s="27" t="s">
        <v>195</v>
      </c>
      <c r="D1837" s="27" t="n">
        <v>44.6</v>
      </c>
      <c r="E1837" s="27" t="n">
        <v>22.3</v>
      </c>
      <c r="F1837" s="27" t="n">
        <v>30.7</v>
      </c>
      <c r="G1837" s="27" t="n">
        <v>33.5</v>
      </c>
      <c r="H1837" s="27" t="s">
        <v>198</v>
      </c>
      <c r="I1837" s="42" t="n">
        <f aca="false">(D1837-INDEX('Cohort Summary'!$D$5:$D$14,MATCH($A1837,'Cohort Summary'!$A$5:$A$14,0)))/INDEX('Cohort Summary'!$E$5:$E$14,MATCH($A1837,'Cohort Summary'!$A$5:$A$14,0))</f>
        <v>0.56445993031359</v>
      </c>
      <c r="J1837" s="42" t="n">
        <f aca="false">(E1837-INDEX('Cohort Summary'!$F$5:$F$14,MATCH($A1837,'Cohort Summary'!$A$5:$A$14,0)))/INDEX('Cohort Summary'!$G$5:$G$14,MATCH($A1837,'Cohort Summary'!$A$5:$A$14,0))</f>
        <v>0.98048780487805</v>
      </c>
      <c r="K1837" s="42" t="n">
        <f aca="false">(F1837-INDEX('Cohort Summary'!$H$5:$H$14,MATCH($A1837,'Cohort Summary'!$A$5:$A$14,0)))/INDEX('Cohort Summary'!$I$5:$I$14,MATCH($A1837,'Cohort Summary'!$A$5:$A$14,0))</f>
        <v>0.273026315789473</v>
      </c>
      <c r="L1837" s="42" t="n">
        <f aca="false">(G1837-INDEX('Cohort Summary'!$J$5:$J$14,MATCH($A1837,'Cohort Summary'!$A$5:$A$14,0)))/INDEX('Cohort Summary'!$K$5:$K$14,MATCH($A1837,'Cohort Summary'!$A$5:$A$14,0))</f>
        <v>0.881355932203395</v>
      </c>
      <c r="M1837" s="42" t="n">
        <f aca="false">MAX(I1837:K1837)</f>
        <v>0.98048780487805</v>
      </c>
      <c r="N1837" s="27" t="s">
        <v>197</v>
      </c>
      <c r="O1837" s="27"/>
      <c r="P1837" s="27" t="str">
        <f aca="false">A1837&amp;"|"&amp;N1837</f>
        <v>NURSE-10|normal</v>
      </c>
    </row>
    <row r="1838" customFormat="false" ht="15" hidden="false" customHeight="true" outlineLevel="0" collapsed="false">
      <c r="A1838" s="27" t="s">
        <v>104</v>
      </c>
      <c r="B1838" s="41" t="n">
        <v>46303.3041666667</v>
      </c>
      <c r="C1838" s="27" t="s">
        <v>195</v>
      </c>
      <c r="D1838" s="27" t="n">
        <v>46.1</v>
      </c>
      <c r="E1838" s="27" t="n">
        <v>18</v>
      </c>
      <c r="F1838" s="27" t="n">
        <v>30.7</v>
      </c>
      <c r="G1838" s="27" t="n">
        <v>32.3</v>
      </c>
      <c r="H1838" s="27" t="s">
        <v>198</v>
      </c>
      <c r="I1838" s="42" t="n">
        <f aca="false">(D1838-INDEX('Cohort Summary'!$D$5:$D$14,MATCH($A1838,'Cohort Summary'!$A$5:$A$14,0)))/INDEX('Cohort Summary'!$E$5:$E$14,MATCH($A1838,'Cohort Summary'!$A$5:$A$14,0))</f>
        <v>1.08710801393728</v>
      </c>
      <c r="J1838" s="42" t="n">
        <f aca="false">(E1838-INDEX('Cohort Summary'!$F$5:$F$14,MATCH($A1838,'Cohort Summary'!$A$5:$A$14,0)))/INDEX('Cohort Summary'!$G$5:$G$14,MATCH($A1838,'Cohort Summary'!$A$5:$A$14,0))</f>
        <v>-1.11707317073171</v>
      </c>
      <c r="K1838" s="42" t="n">
        <f aca="false">(F1838-INDEX('Cohort Summary'!$H$5:$H$14,MATCH($A1838,'Cohort Summary'!$A$5:$A$14,0)))/INDEX('Cohort Summary'!$I$5:$I$14,MATCH($A1838,'Cohort Summary'!$A$5:$A$14,0))</f>
        <v>0.273026315789473</v>
      </c>
      <c r="L1838" s="42" t="n">
        <f aca="false">(G1838-INDEX('Cohort Summary'!$J$5:$J$14,MATCH($A1838,'Cohort Summary'!$A$5:$A$14,0)))/INDEX('Cohort Summary'!$K$5:$K$14,MATCH($A1838,'Cohort Summary'!$A$5:$A$14,0))</f>
        <v>-1.15254237288136</v>
      </c>
      <c r="M1838" s="42" t="n">
        <f aca="false">MAX(I1838:K1838)</f>
        <v>1.08710801393728</v>
      </c>
      <c r="N1838" s="27" t="s">
        <v>197</v>
      </c>
      <c r="O1838" s="27"/>
      <c r="P1838" s="27" t="str">
        <f aca="false">A1838&amp;"|"&amp;N1838</f>
        <v>NURSE-10|normal</v>
      </c>
    </row>
    <row r="1839" customFormat="false" ht="15" hidden="false" customHeight="true" outlineLevel="0" collapsed="false">
      <c r="A1839" s="27" t="s">
        <v>104</v>
      </c>
      <c r="B1839" s="41" t="n">
        <v>46303.3045138889</v>
      </c>
      <c r="C1839" s="27" t="s">
        <v>195</v>
      </c>
      <c r="D1839" s="27" t="n">
        <v>40.7</v>
      </c>
      <c r="E1839" s="27" t="n">
        <v>22.4</v>
      </c>
      <c r="F1839" s="27" t="n">
        <v>32.7</v>
      </c>
      <c r="G1839" s="27" t="n">
        <v>33.2</v>
      </c>
      <c r="H1839" s="27" t="s">
        <v>199</v>
      </c>
      <c r="I1839" s="42" t="n">
        <f aca="false">(D1839-INDEX('Cohort Summary'!$D$5:$D$14,MATCH($A1839,'Cohort Summary'!$A$5:$A$14,0)))/INDEX('Cohort Summary'!$E$5:$E$14,MATCH($A1839,'Cohort Summary'!$A$5:$A$14,0))</f>
        <v>-0.794425087108012</v>
      </c>
      <c r="J1839" s="42" t="n">
        <f aca="false">(E1839-INDEX('Cohort Summary'!$F$5:$F$14,MATCH($A1839,'Cohort Summary'!$A$5:$A$14,0)))/INDEX('Cohort Summary'!$G$5:$G$14,MATCH($A1839,'Cohort Summary'!$A$5:$A$14,0))</f>
        <v>1.02926829268293</v>
      </c>
      <c r="K1839" s="42" t="n">
        <f aca="false">(F1839-INDEX('Cohort Summary'!$H$5:$H$14,MATCH($A1839,'Cohort Summary'!$A$5:$A$14,0)))/INDEX('Cohort Summary'!$I$5:$I$14,MATCH($A1839,'Cohort Summary'!$A$5:$A$14,0))</f>
        <v>0.93092105263158</v>
      </c>
      <c r="L1839" s="42" t="n">
        <f aca="false">(G1839-INDEX('Cohort Summary'!$J$5:$J$14,MATCH($A1839,'Cohort Summary'!$A$5:$A$14,0)))/INDEX('Cohort Summary'!$K$5:$K$14,MATCH($A1839,'Cohort Summary'!$A$5:$A$14,0))</f>
        <v>0.372881355932214</v>
      </c>
      <c r="M1839" s="42" t="n">
        <f aca="false">MAX(I1839:K1839)</f>
        <v>1.02926829268293</v>
      </c>
      <c r="N1839" s="27" t="s">
        <v>197</v>
      </c>
      <c r="O1839" s="27"/>
      <c r="P1839" s="27" t="str">
        <f aca="false">A1839&amp;"|"&amp;N1839</f>
        <v>NURSE-10|normal</v>
      </c>
    </row>
    <row r="1840" customFormat="false" ht="15" hidden="false" customHeight="true" outlineLevel="0" collapsed="false">
      <c r="A1840" s="27" t="s">
        <v>104</v>
      </c>
      <c r="B1840" s="41" t="n">
        <v>46303.3048611111</v>
      </c>
      <c r="C1840" s="27" t="s">
        <v>195</v>
      </c>
      <c r="D1840" s="27" t="n">
        <v>48</v>
      </c>
      <c r="E1840" s="27" t="n">
        <v>19.1</v>
      </c>
      <c r="F1840" s="27" t="n">
        <v>29</v>
      </c>
      <c r="G1840" s="27" t="n">
        <v>33.9</v>
      </c>
      <c r="H1840" s="27" t="s">
        <v>199</v>
      </c>
      <c r="I1840" s="42" t="n">
        <f aca="false">(D1840-INDEX('Cohort Summary'!$D$5:$D$14,MATCH($A1840,'Cohort Summary'!$A$5:$A$14,0)))/INDEX('Cohort Summary'!$E$5:$E$14,MATCH($A1840,'Cohort Summary'!$A$5:$A$14,0))</f>
        <v>1.74912891986063</v>
      </c>
      <c r="J1840" s="42" t="n">
        <f aca="false">(E1840-INDEX('Cohort Summary'!$F$5:$F$14,MATCH($A1840,'Cohort Summary'!$A$5:$A$14,0)))/INDEX('Cohort Summary'!$G$5:$G$14,MATCH($A1840,'Cohort Summary'!$A$5:$A$14,0))</f>
        <v>-0.580487804878048</v>
      </c>
      <c r="K1840" s="42" t="n">
        <f aca="false">(F1840-INDEX('Cohort Summary'!$H$5:$H$14,MATCH($A1840,'Cohort Summary'!$A$5:$A$14,0)))/INDEX('Cohort Summary'!$I$5:$I$14,MATCH($A1840,'Cohort Summary'!$A$5:$A$14,0))</f>
        <v>-0.286184210526316</v>
      </c>
      <c r="L1840" s="42" t="n">
        <f aca="false">(G1840-INDEX('Cohort Summary'!$J$5:$J$14,MATCH($A1840,'Cohort Summary'!$A$5:$A$14,0)))/INDEX('Cohort Summary'!$K$5:$K$14,MATCH($A1840,'Cohort Summary'!$A$5:$A$14,0))</f>
        <v>1.55932203389831</v>
      </c>
      <c r="M1840" s="42" t="n">
        <f aca="false">MAX(I1840:K1840)</f>
        <v>1.74912891986063</v>
      </c>
      <c r="N1840" s="27" t="s">
        <v>197</v>
      </c>
      <c r="O1840" s="27"/>
      <c r="P1840" s="27" t="str">
        <f aca="false">A1840&amp;"|"&amp;N1840</f>
        <v>NURSE-10|normal</v>
      </c>
    </row>
    <row r="1841" customFormat="false" ht="15" hidden="false" customHeight="true" outlineLevel="0" collapsed="false">
      <c r="A1841" s="27" t="s">
        <v>104</v>
      </c>
      <c r="B1841" s="41" t="n">
        <v>46303.3052083333</v>
      </c>
      <c r="C1841" s="27" t="s">
        <v>195</v>
      </c>
      <c r="D1841" s="27" t="n">
        <v>45.7</v>
      </c>
      <c r="E1841" s="27" t="n">
        <v>17.1</v>
      </c>
      <c r="F1841" s="27" t="n">
        <v>31.3</v>
      </c>
      <c r="G1841" s="27" t="n">
        <v>33.1</v>
      </c>
      <c r="H1841" s="27" t="s">
        <v>198</v>
      </c>
      <c r="I1841" s="42" t="n">
        <f aca="false">(D1841-INDEX('Cohort Summary'!$D$5:$D$14,MATCH($A1841,'Cohort Summary'!$A$5:$A$14,0)))/INDEX('Cohort Summary'!$E$5:$E$14,MATCH($A1841,'Cohort Summary'!$A$5:$A$14,0))</f>
        <v>0.947735191637633</v>
      </c>
      <c r="J1841" s="42" t="n">
        <f aca="false">(E1841-INDEX('Cohort Summary'!$F$5:$F$14,MATCH($A1841,'Cohort Summary'!$A$5:$A$14,0)))/INDEX('Cohort Summary'!$G$5:$G$14,MATCH($A1841,'Cohort Summary'!$A$5:$A$14,0))</f>
        <v>-1.55609756097561</v>
      </c>
      <c r="K1841" s="42" t="n">
        <f aca="false">(F1841-INDEX('Cohort Summary'!$H$5:$H$14,MATCH($A1841,'Cohort Summary'!$A$5:$A$14,0)))/INDEX('Cohort Summary'!$I$5:$I$14,MATCH($A1841,'Cohort Summary'!$A$5:$A$14,0))</f>
        <v>0.470394736842105</v>
      </c>
      <c r="L1841" s="42" t="n">
        <f aca="false">(G1841-INDEX('Cohort Summary'!$J$5:$J$14,MATCH($A1841,'Cohort Summary'!$A$5:$A$14,0)))/INDEX('Cohort Summary'!$K$5:$K$14,MATCH($A1841,'Cohort Summary'!$A$5:$A$14,0))</f>
        <v>0.203389830508482</v>
      </c>
      <c r="M1841" s="42" t="n">
        <f aca="false">MAX(I1841:K1841)</f>
        <v>0.947735191637633</v>
      </c>
      <c r="N1841" s="27" t="s">
        <v>197</v>
      </c>
      <c r="O1841" s="27"/>
      <c r="P1841" s="27" t="str">
        <f aca="false">A1841&amp;"|"&amp;N1841</f>
        <v>NURSE-10|normal</v>
      </c>
    </row>
    <row r="1842" customFormat="false" ht="15" hidden="false" customHeight="true" outlineLevel="0" collapsed="false">
      <c r="A1842" s="27" t="s">
        <v>104</v>
      </c>
      <c r="B1842" s="41" t="n">
        <v>46303.3055555556</v>
      </c>
      <c r="C1842" s="27" t="s">
        <v>195</v>
      </c>
      <c r="D1842" s="27" t="n">
        <v>40.8</v>
      </c>
      <c r="E1842" s="27" t="n">
        <v>22.1</v>
      </c>
      <c r="F1842" s="27" t="n">
        <v>25.8</v>
      </c>
      <c r="G1842" s="27" t="n">
        <v>33.6</v>
      </c>
      <c r="H1842" s="27" t="s">
        <v>196</v>
      </c>
      <c r="I1842" s="42" t="n">
        <f aca="false">(D1842-INDEX('Cohort Summary'!$D$5:$D$14,MATCH($A1842,'Cohort Summary'!$A$5:$A$14,0)))/INDEX('Cohort Summary'!$E$5:$E$14,MATCH($A1842,'Cohort Summary'!$A$5:$A$14,0))</f>
        <v>-0.759581881533101</v>
      </c>
      <c r="J1842" s="42" t="n">
        <f aca="false">(E1842-INDEX('Cohort Summary'!$F$5:$F$14,MATCH($A1842,'Cohort Summary'!$A$5:$A$14,0)))/INDEX('Cohort Summary'!$G$5:$G$14,MATCH($A1842,'Cohort Summary'!$A$5:$A$14,0))</f>
        <v>0.882926829268294</v>
      </c>
      <c r="K1842" s="42" t="n">
        <f aca="false">(F1842-INDEX('Cohort Summary'!$H$5:$H$14,MATCH($A1842,'Cohort Summary'!$A$5:$A$14,0)))/INDEX('Cohort Summary'!$I$5:$I$14,MATCH($A1842,'Cohort Summary'!$A$5:$A$14,0))</f>
        <v>-1.33881578947368</v>
      </c>
      <c r="L1842" s="42" t="n">
        <f aca="false">(G1842-INDEX('Cohort Summary'!$J$5:$J$14,MATCH($A1842,'Cohort Summary'!$A$5:$A$14,0)))/INDEX('Cohort Summary'!$K$5:$K$14,MATCH($A1842,'Cohort Summary'!$A$5:$A$14,0))</f>
        <v>1.05084745762713</v>
      </c>
      <c r="M1842" s="42" t="n">
        <f aca="false">MAX(I1842:K1842)</f>
        <v>0.882926829268294</v>
      </c>
      <c r="N1842" s="27" t="s">
        <v>197</v>
      </c>
      <c r="O1842" s="27"/>
      <c r="P1842" s="27" t="str">
        <f aca="false">A1842&amp;"|"&amp;N1842</f>
        <v>NURSE-10|normal</v>
      </c>
    </row>
    <row r="1843" customFormat="false" ht="15" hidden="false" customHeight="true" outlineLevel="0" collapsed="false">
      <c r="A1843" s="27" t="s">
        <v>104</v>
      </c>
      <c r="B1843" s="41" t="n">
        <v>46303.3059027778</v>
      </c>
      <c r="C1843" s="27" t="s">
        <v>195</v>
      </c>
      <c r="D1843" s="27" t="n">
        <v>43.9</v>
      </c>
      <c r="E1843" s="27" t="n">
        <v>23.4</v>
      </c>
      <c r="F1843" s="27" t="n">
        <v>31.4</v>
      </c>
      <c r="G1843" s="27" t="n">
        <v>33.5</v>
      </c>
      <c r="H1843" s="27" t="s">
        <v>196</v>
      </c>
      <c r="I1843" s="42" t="n">
        <f aca="false">(D1843-INDEX('Cohort Summary'!$D$5:$D$14,MATCH($A1843,'Cohort Summary'!$A$5:$A$14,0)))/INDEX('Cohort Summary'!$E$5:$E$14,MATCH($A1843,'Cohort Summary'!$A$5:$A$14,0))</f>
        <v>0.320557491289199</v>
      </c>
      <c r="J1843" s="42" t="n">
        <f aca="false">(E1843-INDEX('Cohort Summary'!$F$5:$F$14,MATCH($A1843,'Cohort Summary'!$A$5:$A$14,0)))/INDEX('Cohort Summary'!$G$5:$G$14,MATCH($A1843,'Cohort Summary'!$A$5:$A$14,0))</f>
        <v>1.51707317073171</v>
      </c>
      <c r="K1843" s="42" t="n">
        <f aca="false">(F1843-INDEX('Cohort Summary'!$H$5:$H$14,MATCH($A1843,'Cohort Summary'!$A$5:$A$14,0)))/INDEX('Cohort Summary'!$I$5:$I$14,MATCH($A1843,'Cohort Summary'!$A$5:$A$14,0))</f>
        <v>0.50328947368421</v>
      </c>
      <c r="L1843" s="42" t="n">
        <f aca="false">(G1843-INDEX('Cohort Summary'!$J$5:$J$14,MATCH($A1843,'Cohort Summary'!$A$5:$A$14,0)))/INDEX('Cohort Summary'!$K$5:$K$14,MATCH($A1843,'Cohort Summary'!$A$5:$A$14,0))</f>
        <v>0.881355932203395</v>
      </c>
      <c r="M1843" s="42" t="n">
        <f aca="false">MAX(I1843:K1843)</f>
        <v>1.51707317073171</v>
      </c>
      <c r="N1843" s="27" t="s">
        <v>197</v>
      </c>
      <c r="O1843" s="27"/>
      <c r="P1843" s="27" t="str">
        <f aca="false">A1843&amp;"|"&amp;N1843</f>
        <v>NURSE-10|normal</v>
      </c>
    </row>
    <row r="1844" customFormat="false" ht="15" hidden="false" customHeight="true" outlineLevel="0" collapsed="false">
      <c r="A1844" s="27" t="s">
        <v>104</v>
      </c>
      <c r="B1844" s="41" t="n">
        <v>46303.30625</v>
      </c>
      <c r="C1844" s="27" t="s">
        <v>195</v>
      </c>
      <c r="D1844" s="27" t="n">
        <v>41.4</v>
      </c>
      <c r="E1844" s="27" t="n">
        <v>18.5</v>
      </c>
      <c r="F1844" s="27" t="n">
        <v>26.5</v>
      </c>
      <c r="G1844" s="27" t="n">
        <v>32.4</v>
      </c>
      <c r="H1844" s="27" t="s">
        <v>199</v>
      </c>
      <c r="I1844" s="42" t="n">
        <f aca="false">(D1844-INDEX('Cohort Summary'!$D$5:$D$14,MATCH($A1844,'Cohort Summary'!$A$5:$A$14,0)))/INDEX('Cohort Summary'!$E$5:$E$14,MATCH($A1844,'Cohort Summary'!$A$5:$A$14,0))</f>
        <v>-0.550522648083623</v>
      </c>
      <c r="J1844" s="42" t="n">
        <f aca="false">(E1844-INDEX('Cohort Summary'!$F$5:$F$14,MATCH($A1844,'Cohort Summary'!$A$5:$A$14,0)))/INDEX('Cohort Summary'!$G$5:$G$14,MATCH($A1844,'Cohort Summary'!$A$5:$A$14,0))</f>
        <v>-0.873170731707317</v>
      </c>
      <c r="K1844" s="42" t="n">
        <f aca="false">(F1844-INDEX('Cohort Summary'!$H$5:$H$14,MATCH($A1844,'Cohort Summary'!$A$5:$A$14,0)))/INDEX('Cohort Summary'!$I$5:$I$14,MATCH($A1844,'Cohort Summary'!$A$5:$A$14,0))</f>
        <v>-1.10855263157895</v>
      </c>
      <c r="L1844" s="42" t="n">
        <f aca="false">(G1844-INDEX('Cohort Summary'!$J$5:$J$14,MATCH($A1844,'Cohort Summary'!$A$5:$A$14,0)))/INDEX('Cohort Summary'!$K$5:$K$14,MATCH($A1844,'Cohort Summary'!$A$5:$A$14,0))</f>
        <v>-0.983050847457624</v>
      </c>
      <c r="M1844" s="42" t="n">
        <f aca="false">MAX(I1844:K1844)</f>
        <v>-0.550522648083623</v>
      </c>
      <c r="N1844" s="27" t="s">
        <v>197</v>
      </c>
      <c r="O1844" s="27"/>
      <c r="P1844" s="27" t="str">
        <f aca="false">A1844&amp;"|"&amp;N1844</f>
        <v>NURSE-10|normal</v>
      </c>
    </row>
    <row r="1845" customFormat="false" ht="15" hidden="false" customHeight="true" outlineLevel="0" collapsed="false">
      <c r="A1845" s="27" t="s">
        <v>104</v>
      </c>
      <c r="B1845" s="41" t="n">
        <v>46303.3065972222</v>
      </c>
      <c r="C1845" s="27" t="s">
        <v>195</v>
      </c>
      <c r="D1845" s="27" t="n">
        <v>39.4</v>
      </c>
      <c r="E1845" s="27" t="n">
        <v>19.5</v>
      </c>
      <c r="F1845" s="27" t="n">
        <v>34.8</v>
      </c>
      <c r="G1845" s="27" t="n">
        <v>32.4</v>
      </c>
      <c r="H1845" s="27" t="s">
        <v>199</v>
      </c>
      <c r="I1845" s="42" t="n">
        <f aca="false">(D1845-INDEX('Cohort Summary'!$D$5:$D$14,MATCH($A1845,'Cohort Summary'!$A$5:$A$14,0)))/INDEX('Cohort Summary'!$E$5:$E$14,MATCH($A1845,'Cohort Summary'!$A$5:$A$14,0))</f>
        <v>-1.24738675958188</v>
      </c>
      <c r="J1845" s="42" t="n">
        <f aca="false">(E1845-INDEX('Cohort Summary'!$F$5:$F$14,MATCH($A1845,'Cohort Summary'!$A$5:$A$14,0)))/INDEX('Cohort Summary'!$G$5:$G$14,MATCH($A1845,'Cohort Summary'!$A$5:$A$14,0))</f>
        <v>-0.385365853658536</v>
      </c>
      <c r="K1845" s="42" t="n">
        <f aca="false">(F1845-INDEX('Cohort Summary'!$H$5:$H$14,MATCH($A1845,'Cohort Summary'!$A$5:$A$14,0)))/INDEX('Cohort Summary'!$I$5:$I$14,MATCH($A1845,'Cohort Summary'!$A$5:$A$14,0))</f>
        <v>1.62171052631579</v>
      </c>
      <c r="L1845" s="42" t="n">
        <f aca="false">(G1845-INDEX('Cohort Summary'!$J$5:$J$14,MATCH($A1845,'Cohort Summary'!$A$5:$A$14,0)))/INDEX('Cohort Summary'!$K$5:$K$14,MATCH($A1845,'Cohort Summary'!$A$5:$A$14,0))</f>
        <v>-0.983050847457624</v>
      </c>
      <c r="M1845" s="42" t="n">
        <f aca="false">MAX(I1845:K1845)</f>
        <v>1.62171052631579</v>
      </c>
      <c r="N1845" s="27" t="s">
        <v>197</v>
      </c>
      <c r="O1845" s="27"/>
      <c r="P1845" s="27" t="str">
        <f aca="false">A1845&amp;"|"&amp;N1845</f>
        <v>NURSE-10|normal</v>
      </c>
    </row>
    <row r="1846" customFormat="false" ht="15" hidden="false" customHeight="true" outlineLevel="0" collapsed="false">
      <c r="A1846" s="27" t="s">
        <v>104</v>
      </c>
      <c r="B1846" s="41" t="n">
        <v>46303.3069444444</v>
      </c>
      <c r="C1846" s="27" t="s">
        <v>195</v>
      </c>
      <c r="D1846" s="27" t="n">
        <v>42.3</v>
      </c>
      <c r="E1846" s="27" t="n">
        <v>21.6</v>
      </c>
      <c r="F1846" s="27" t="n">
        <v>25</v>
      </c>
      <c r="G1846" s="27" t="n">
        <v>32.8</v>
      </c>
      <c r="H1846" s="27" t="s">
        <v>198</v>
      </c>
      <c r="I1846" s="42" t="n">
        <f aca="false">(D1846-INDEX('Cohort Summary'!$D$5:$D$14,MATCH($A1846,'Cohort Summary'!$A$5:$A$14,0)))/INDEX('Cohort Summary'!$E$5:$E$14,MATCH($A1846,'Cohort Summary'!$A$5:$A$14,0))</f>
        <v>-0.236933797909408</v>
      </c>
      <c r="J1846" s="42" t="n">
        <f aca="false">(E1846-INDEX('Cohort Summary'!$F$5:$F$14,MATCH($A1846,'Cohort Summary'!$A$5:$A$14,0)))/INDEX('Cohort Summary'!$G$5:$G$14,MATCH($A1846,'Cohort Summary'!$A$5:$A$14,0))</f>
        <v>0.639024390243904</v>
      </c>
      <c r="K1846" s="42" t="n">
        <f aca="false">(F1846-INDEX('Cohort Summary'!$H$5:$H$14,MATCH($A1846,'Cohort Summary'!$A$5:$A$14,0)))/INDEX('Cohort Summary'!$I$5:$I$14,MATCH($A1846,'Cohort Summary'!$A$5:$A$14,0))</f>
        <v>-1.60197368421053</v>
      </c>
      <c r="L1846" s="42" t="n">
        <f aca="false">(G1846-INDEX('Cohort Summary'!$J$5:$J$14,MATCH($A1846,'Cohort Summary'!$A$5:$A$14,0)))/INDEX('Cohort Summary'!$K$5:$K$14,MATCH($A1846,'Cohort Summary'!$A$5:$A$14,0))</f>
        <v>-0.305084745762711</v>
      </c>
      <c r="M1846" s="42" t="n">
        <f aca="false">MAX(I1846:K1846)</f>
        <v>0.639024390243904</v>
      </c>
      <c r="N1846" s="27" t="s">
        <v>197</v>
      </c>
      <c r="O1846" s="27"/>
      <c r="P1846" s="27" t="str">
        <f aca="false">A1846&amp;"|"&amp;N1846</f>
        <v>NURSE-10|normal</v>
      </c>
    </row>
    <row r="1847" customFormat="false" ht="15" hidden="false" customHeight="true" outlineLevel="0" collapsed="false">
      <c r="A1847" s="27" t="s">
        <v>104</v>
      </c>
      <c r="B1847" s="41" t="n">
        <v>46303.3072916667</v>
      </c>
      <c r="C1847" s="27" t="s">
        <v>195</v>
      </c>
      <c r="D1847" s="27" t="n">
        <v>39.2</v>
      </c>
      <c r="E1847" s="27" t="n">
        <v>23.5</v>
      </c>
      <c r="F1847" s="27" t="n">
        <v>26.9</v>
      </c>
      <c r="G1847" s="27" t="n">
        <v>34</v>
      </c>
      <c r="H1847" s="27" t="s">
        <v>196</v>
      </c>
      <c r="I1847" s="42" t="n">
        <f aca="false">(D1847-INDEX('Cohort Summary'!$D$5:$D$14,MATCH($A1847,'Cohort Summary'!$A$5:$A$14,0)))/INDEX('Cohort Summary'!$E$5:$E$14,MATCH($A1847,'Cohort Summary'!$A$5:$A$14,0))</f>
        <v>-1.31707317073171</v>
      </c>
      <c r="J1847" s="42" t="n">
        <f aca="false">(E1847-INDEX('Cohort Summary'!$F$5:$F$14,MATCH($A1847,'Cohort Summary'!$A$5:$A$14,0)))/INDEX('Cohort Summary'!$G$5:$G$14,MATCH($A1847,'Cohort Summary'!$A$5:$A$14,0))</f>
        <v>1.56585365853659</v>
      </c>
      <c r="K1847" s="42" t="n">
        <f aca="false">(F1847-INDEX('Cohort Summary'!$H$5:$H$14,MATCH($A1847,'Cohort Summary'!$A$5:$A$14,0)))/INDEX('Cohort Summary'!$I$5:$I$14,MATCH($A1847,'Cohort Summary'!$A$5:$A$14,0))</f>
        <v>-0.976973684210527</v>
      </c>
      <c r="L1847" s="42" t="n">
        <f aca="false">(G1847-INDEX('Cohort Summary'!$J$5:$J$14,MATCH($A1847,'Cohort Summary'!$A$5:$A$14,0)))/INDEX('Cohort Summary'!$K$5:$K$14,MATCH($A1847,'Cohort Summary'!$A$5:$A$14,0))</f>
        <v>1.72881355932204</v>
      </c>
      <c r="M1847" s="42" t="n">
        <f aca="false">MAX(I1847:K1847)</f>
        <v>1.56585365853659</v>
      </c>
      <c r="N1847" s="27" t="s">
        <v>197</v>
      </c>
      <c r="O1847" s="27"/>
      <c r="P1847" s="27" t="str">
        <f aca="false">A1847&amp;"|"&amp;N1847</f>
        <v>NURSE-10|normal</v>
      </c>
    </row>
    <row r="1848" customFormat="false" ht="15" hidden="false" customHeight="true" outlineLevel="0" collapsed="false">
      <c r="A1848" s="27" t="s">
        <v>104</v>
      </c>
      <c r="B1848" s="41" t="n">
        <v>46303.3076388889</v>
      </c>
      <c r="C1848" s="27" t="s">
        <v>195</v>
      </c>
      <c r="D1848" s="27" t="n">
        <v>43.3</v>
      </c>
      <c r="E1848" s="27" t="n">
        <v>20.7</v>
      </c>
      <c r="F1848" s="27" t="n">
        <v>25.3</v>
      </c>
      <c r="G1848" s="27" t="n">
        <v>32.2</v>
      </c>
      <c r="H1848" s="27" t="s">
        <v>196</v>
      </c>
      <c r="I1848" s="42" t="n">
        <f aca="false">(D1848-INDEX('Cohort Summary'!$D$5:$D$14,MATCH($A1848,'Cohort Summary'!$A$5:$A$14,0)))/INDEX('Cohort Summary'!$E$5:$E$14,MATCH($A1848,'Cohort Summary'!$A$5:$A$14,0))</f>
        <v>0.111498257839721</v>
      </c>
      <c r="J1848" s="42" t="n">
        <f aca="false">(E1848-INDEX('Cohort Summary'!$F$5:$F$14,MATCH($A1848,'Cohort Summary'!$A$5:$A$14,0)))/INDEX('Cohort Summary'!$G$5:$G$14,MATCH($A1848,'Cohort Summary'!$A$5:$A$14,0))</f>
        <v>0.2</v>
      </c>
      <c r="K1848" s="42" t="n">
        <f aca="false">(F1848-INDEX('Cohort Summary'!$H$5:$H$14,MATCH($A1848,'Cohort Summary'!$A$5:$A$14,0)))/INDEX('Cohort Summary'!$I$5:$I$14,MATCH($A1848,'Cohort Summary'!$A$5:$A$14,0))</f>
        <v>-1.50328947368421</v>
      </c>
      <c r="L1848" s="42" t="n">
        <f aca="false">(G1848-INDEX('Cohort Summary'!$J$5:$J$14,MATCH($A1848,'Cohort Summary'!$A$5:$A$14,0)))/INDEX('Cohort Summary'!$K$5:$K$14,MATCH($A1848,'Cohort Summary'!$A$5:$A$14,0))</f>
        <v>-1.32203389830507</v>
      </c>
      <c r="M1848" s="42" t="n">
        <f aca="false">MAX(I1848:K1848)</f>
        <v>0.2</v>
      </c>
      <c r="N1848" s="27" t="s">
        <v>197</v>
      </c>
      <c r="O1848" s="27"/>
      <c r="P1848" s="27" t="str">
        <f aca="false">A1848&amp;"|"&amp;N1848</f>
        <v>NURSE-10|normal</v>
      </c>
    </row>
    <row r="1849" customFormat="false" ht="15" hidden="false" customHeight="true" outlineLevel="0" collapsed="false">
      <c r="A1849" s="27" t="s">
        <v>104</v>
      </c>
      <c r="B1849" s="41" t="n">
        <v>46303.3079861111</v>
      </c>
      <c r="C1849" s="27" t="s">
        <v>195</v>
      </c>
      <c r="D1849" s="27" t="n">
        <v>39.9</v>
      </c>
      <c r="E1849" s="27" t="n">
        <v>17.3</v>
      </c>
      <c r="F1849" s="27" t="n">
        <v>30.8</v>
      </c>
      <c r="G1849" s="27" t="n">
        <v>33.4</v>
      </c>
      <c r="H1849" s="27" t="s">
        <v>198</v>
      </c>
      <c r="I1849" s="42" t="n">
        <f aca="false">(D1849-INDEX('Cohort Summary'!$D$5:$D$14,MATCH($A1849,'Cohort Summary'!$A$5:$A$14,0)))/INDEX('Cohort Summary'!$E$5:$E$14,MATCH($A1849,'Cohort Summary'!$A$5:$A$14,0))</f>
        <v>-1.07317073170732</v>
      </c>
      <c r="J1849" s="42" t="n">
        <f aca="false">(E1849-INDEX('Cohort Summary'!$F$5:$F$14,MATCH($A1849,'Cohort Summary'!$A$5:$A$14,0)))/INDEX('Cohort Summary'!$G$5:$G$14,MATCH($A1849,'Cohort Summary'!$A$5:$A$14,0))</f>
        <v>-1.45853658536585</v>
      </c>
      <c r="K1849" s="42" t="n">
        <f aca="false">(F1849-INDEX('Cohort Summary'!$H$5:$H$14,MATCH($A1849,'Cohort Summary'!$A$5:$A$14,0)))/INDEX('Cohort Summary'!$I$5:$I$14,MATCH($A1849,'Cohort Summary'!$A$5:$A$14,0))</f>
        <v>0.305921052631579</v>
      </c>
      <c r="L1849" s="42" t="n">
        <f aca="false">(G1849-INDEX('Cohort Summary'!$J$5:$J$14,MATCH($A1849,'Cohort Summary'!$A$5:$A$14,0)))/INDEX('Cohort Summary'!$K$5:$K$14,MATCH($A1849,'Cohort Summary'!$A$5:$A$14,0))</f>
        <v>0.711864406779664</v>
      </c>
      <c r="M1849" s="42" t="n">
        <f aca="false">MAX(I1849:K1849)</f>
        <v>0.305921052631579</v>
      </c>
      <c r="N1849" s="27" t="s">
        <v>197</v>
      </c>
      <c r="O1849" s="27"/>
      <c r="P1849" s="27" t="str">
        <f aca="false">A1849&amp;"|"&amp;N1849</f>
        <v>NURSE-10|normal</v>
      </c>
    </row>
    <row r="1850" customFormat="false" ht="15" hidden="false" customHeight="true" outlineLevel="0" collapsed="false">
      <c r="A1850" s="27" t="s">
        <v>104</v>
      </c>
      <c r="B1850" s="41" t="n">
        <v>46303.3083333333</v>
      </c>
      <c r="C1850" s="27" t="s">
        <v>195</v>
      </c>
      <c r="D1850" s="27" t="n">
        <v>44</v>
      </c>
      <c r="E1850" s="27" t="n">
        <v>17.5</v>
      </c>
      <c r="F1850" s="27" t="n">
        <v>30.9</v>
      </c>
      <c r="G1850" s="27" t="n">
        <v>33.1</v>
      </c>
      <c r="H1850" s="27" t="s">
        <v>198</v>
      </c>
      <c r="I1850" s="42" t="n">
        <f aca="false">(D1850-INDEX('Cohort Summary'!$D$5:$D$14,MATCH($A1850,'Cohort Summary'!$A$5:$A$14,0)))/INDEX('Cohort Summary'!$E$5:$E$14,MATCH($A1850,'Cohort Summary'!$A$5:$A$14,0))</f>
        <v>0.355400696864113</v>
      </c>
      <c r="J1850" s="42" t="n">
        <f aca="false">(E1850-INDEX('Cohort Summary'!$F$5:$F$14,MATCH($A1850,'Cohort Summary'!$A$5:$A$14,0)))/INDEX('Cohort Summary'!$G$5:$G$14,MATCH($A1850,'Cohort Summary'!$A$5:$A$14,0))</f>
        <v>-1.3609756097561</v>
      </c>
      <c r="K1850" s="42" t="n">
        <f aca="false">(F1850-INDEX('Cohort Summary'!$H$5:$H$14,MATCH($A1850,'Cohort Summary'!$A$5:$A$14,0)))/INDEX('Cohort Summary'!$I$5:$I$14,MATCH($A1850,'Cohort Summary'!$A$5:$A$14,0))</f>
        <v>0.338815789473683</v>
      </c>
      <c r="L1850" s="42" t="n">
        <f aca="false">(G1850-INDEX('Cohort Summary'!$J$5:$J$14,MATCH($A1850,'Cohort Summary'!$A$5:$A$14,0)))/INDEX('Cohort Summary'!$K$5:$K$14,MATCH($A1850,'Cohort Summary'!$A$5:$A$14,0))</f>
        <v>0.203389830508482</v>
      </c>
      <c r="M1850" s="42" t="n">
        <f aca="false">MAX(I1850:K1850)</f>
        <v>0.355400696864113</v>
      </c>
      <c r="N1850" s="27" t="s">
        <v>197</v>
      </c>
      <c r="O1850" s="27"/>
      <c r="P1850" s="27" t="str">
        <f aca="false">A1850&amp;"|"&amp;N1850</f>
        <v>NURSE-10|normal</v>
      </c>
    </row>
    <row r="1851" customFormat="false" ht="15" hidden="false" customHeight="true" outlineLevel="0" collapsed="false">
      <c r="A1851" s="27" t="s">
        <v>104</v>
      </c>
      <c r="B1851" s="41" t="n">
        <v>46303.3086805556</v>
      </c>
      <c r="C1851" s="27" t="s">
        <v>195</v>
      </c>
      <c r="D1851" s="27" t="n">
        <v>45.8</v>
      </c>
      <c r="E1851" s="27" t="n">
        <v>17.8</v>
      </c>
      <c r="F1851" s="27" t="n">
        <v>30.4</v>
      </c>
      <c r="G1851" s="27" t="n">
        <v>32.7</v>
      </c>
      <c r="H1851" s="27" t="s">
        <v>199</v>
      </c>
      <c r="I1851" s="42" t="n">
        <f aca="false">(D1851-INDEX('Cohort Summary'!$D$5:$D$14,MATCH($A1851,'Cohort Summary'!$A$5:$A$14,0)))/INDEX('Cohort Summary'!$E$5:$E$14,MATCH($A1851,'Cohort Summary'!$A$5:$A$14,0))</f>
        <v>0.982578397212544</v>
      </c>
      <c r="J1851" s="42" t="n">
        <f aca="false">(E1851-INDEX('Cohort Summary'!$F$5:$F$14,MATCH($A1851,'Cohort Summary'!$A$5:$A$14,0)))/INDEX('Cohort Summary'!$G$5:$G$14,MATCH($A1851,'Cohort Summary'!$A$5:$A$14,0))</f>
        <v>-1.21463414634146</v>
      </c>
      <c r="K1851" s="42" t="n">
        <f aca="false">(F1851-INDEX('Cohort Summary'!$H$5:$H$14,MATCH($A1851,'Cohort Summary'!$A$5:$A$14,0)))/INDEX('Cohort Summary'!$I$5:$I$14,MATCH($A1851,'Cohort Summary'!$A$5:$A$14,0))</f>
        <v>0.174342105263157</v>
      </c>
      <c r="L1851" s="42" t="n">
        <f aca="false">(G1851-INDEX('Cohort Summary'!$J$5:$J$14,MATCH($A1851,'Cohort Summary'!$A$5:$A$14,0)))/INDEX('Cohort Summary'!$K$5:$K$14,MATCH($A1851,'Cohort Summary'!$A$5:$A$14,0))</f>
        <v>-0.474576271186431</v>
      </c>
      <c r="M1851" s="42" t="n">
        <f aca="false">MAX(I1851:K1851)</f>
        <v>0.982578397212544</v>
      </c>
      <c r="N1851" s="27" t="s">
        <v>197</v>
      </c>
      <c r="O1851" s="27"/>
      <c r="P1851" s="27" t="str">
        <f aca="false">A1851&amp;"|"&amp;N1851</f>
        <v>NURSE-10|normal</v>
      </c>
    </row>
    <row r="1852" customFormat="false" ht="15" hidden="false" customHeight="true" outlineLevel="0" collapsed="false">
      <c r="A1852" s="27" t="s">
        <v>104</v>
      </c>
      <c r="B1852" s="41" t="n">
        <v>46303.3090277778</v>
      </c>
      <c r="C1852" s="27" t="s">
        <v>195</v>
      </c>
      <c r="D1852" s="27" t="n">
        <v>45.1</v>
      </c>
      <c r="E1852" s="27" t="n">
        <v>21.2</v>
      </c>
      <c r="F1852" s="27" t="n">
        <v>27.6</v>
      </c>
      <c r="G1852" s="27" t="n">
        <v>32.9</v>
      </c>
      <c r="H1852" s="27" t="s">
        <v>196</v>
      </c>
      <c r="I1852" s="42" t="n">
        <f aca="false">(D1852-INDEX('Cohort Summary'!$D$5:$D$14,MATCH($A1852,'Cohort Summary'!$A$5:$A$14,0)))/INDEX('Cohort Summary'!$E$5:$E$14,MATCH($A1852,'Cohort Summary'!$A$5:$A$14,0))</f>
        <v>0.738675958188155</v>
      </c>
      <c r="J1852" s="42" t="n">
        <f aca="false">(E1852-INDEX('Cohort Summary'!$F$5:$F$14,MATCH($A1852,'Cohort Summary'!$A$5:$A$14,0)))/INDEX('Cohort Summary'!$G$5:$G$14,MATCH($A1852,'Cohort Summary'!$A$5:$A$14,0))</f>
        <v>0.44390243902439</v>
      </c>
      <c r="K1852" s="42" t="n">
        <f aca="false">(F1852-INDEX('Cohort Summary'!$H$5:$H$14,MATCH($A1852,'Cohort Summary'!$A$5:$A$14,0)))/INDEX('Cohort Summary'!$I$5:$I$14,MATCH($A1852,'Cohort Summary'!$A$5:$A$14,0))</f>
        <v>-0.746710526315789</v>
      </c>
      <c r="L1852" s="42" t="n">
        <f aca="false">(G1852-INDEX('Cohort Summary'!$J$5:$J$14,MATCH($A1852,'Cohort Summary'!$A$5:$A$14,0)))/INDEX('Cohort Summary'!$K$5:$K$14,MATCH($A1852,'Cohort Summary'!$A$5:$A$14,0))</f>
        <v>-0.13559322033898</v>
      </c>
      <c r="M1852" s="42" t="n">
        <f aca="false">MAX(I1852:K1852)</f>
        <v>0.738675958188155</v>
      </c>
      <c r="N1852" s="27" t="s">
        <v>197</v>
      </c>
      <c r="O1852" s="27"/>
      <c r="P1852" s="27" t="str">
        <f aca="false">A1852&amp;"|"&amp;N1852</f>
        <v>NURSE-10|normal</v>
      </c>
    </row>
    <row r="1853" customFormat="false" ht="15" hidden="false" customHeight="true" outlineLevel="0" collapsed="false">
      <c r="A1853" s="27" t="s">
        <v>104</v>
      </c>
      <c r="B1853" s="41" t="n">
        <v>46303.309375</v>
      </c>
      <c r="C1853" s="27" t="s">
        <v>195</v>
      </c>
      <c r="D1853" s="27" t="n">
        <v>43.5</v>
      </c>
      <c r="E1853" s="27" t="n">
        <v>17.4</v>
      </c>
      <c r="F1853" s="27" t="n">
        <v>28.9</v>
      </c>
      <c r="G1853" s="27" t="n">
        <v>33.7</v>
      </c>
      <c r="H1853" s="27" t="s">
        <v>198</v>
      </c>
      <c r="I1853" s="42" t="n">
        <f aca="false">(D1853-INDEX('Cohort Summary'!$D$5:$D$14,MATCH($A1853,'Cohort Summary'!$A$5:$A$14,0)))/INDEX('Cohort Summary'!$E$5:$E$14,MATCH($A1853,'Cohort Summary'!$A$5:$A$14,0))</f>
        <v>0.181184668989548</v>
      </c>
      <c r="J1853" s="42" t="n">
        <f aca="false">(E1853-INDEX('Cohort Summary'!$F$5:$F$14,MATCH($A1853,'Cohort Summary'!$A$5:$A$14,0)))/INDEX('Cohort Summary'!$G$5:$G$14,MATCH($A1853,'Cohort Summary'!$A$5:$A$14,0))</f>
        <v>-1.40975609756098</v>
      </c>
      <c r="K1853" s="42" t="n">
        <f aca="false">(F1853-INDEX('Cohort Summary'!$H$5:$H$14,MATCH($A1853,'Cohort Summary'!$A$5:$A$14,0)))/INDEX('Cohort Summary'!$I$5:$I$14,MATCH($A1853,'Cohort Summary'!$A$5:$A$14,0))</f>
        <v>-0.319078947368422</v>
      </c>
      <c r="L1853" s="42" t="n">
        <f aca="false">(G1853-INDEX('Cohort Summary'!$J$5:$J$14,MATCH($A1853,'Cohort Summary'!$A$5:$A$14,0)))/INDEX('Cohort Summary'!$K$5:$K$14,MATCH($A1853,'Cohort Summary'!$A$5:$A$14,0))</f>
        <v>1.22033898305086</v>
      </c>
      <c r="M1853" s="42" t="n">
        <f aca="false">MAX(I1853:K1853)</f>
        <v>0.181184668989548</v>
      </c>
      <c r="N1853" s="27" t="s">
        <v>197</v>
      </c>
      <c r="O1853" s="27"/>
      <c r="P1853" s="27" t="str">
        <f aca="false">A1853&amp;"|"&amp;N1853</f>
        <v>NURSE-10|normal</v>
      </c>
    </row>
    <row r="1854" customFormat="false" ht="15" hidden="false" customHeight="true" outlineLevel="0" collapsed="false">
      <c r="A1854" s="27" t="s">
        <v>104</v>
      </c>
      <c r="B1854" s="41" t="n">
        <v>46303.3097222222</v>
      </c>
      <c r="C1854" s="27" t="s">
        <v>195</v>
      </c>
      <c r="D1854" s="27" t="n">
        <v>47.9</v>
      </c>
      <c r="E1854" s="27" t="n">
        <v>19.8</v>
      </c>
      <c r="F1854" s="27" t="n">
        <v>30.1</v>
      </c>
      <c r="G1854" s="27" t="n">
        <v>33.5</v>
      </c>
      <c r="H1854" s="27" t="s">
        <v>199</v>
      </c>
      <c r="I1854" s="42" t="n">
        <f aca="false">(D1854-INDEX('Cohort Summary'!$D$5:$D$14,MATCH($A1854,'Cohort Summary'!$A$5:$A$14,0)))/INDEX('Cohort Summary'!$E$5:$E$14,MATCH($A1854,'Cohort Summary'!$A$5:$A$14,0))</f>
        <v>1.71428571428571</v>
      </c>
      <c r="J1854" s="42" t="n">
        <f aca="false">(E1854-INDEX('Cohort Summary'!$F$5:$F$14,MATCH($A1854,'Cohort Summary'!$A$5:$A$14,0)))/INDEX('Cohort Summary'!$G$5:$G$14,MATCH($A1854,'Cohort Summary'!$A$5:$A$14,0))</f>
        <v>-0.239024390243902</v>
      </c>
      <c r="K1854" s="42" t="n">
        <f aca="false">(F1854-INDEX('Cohort Summary'!$H$5:$H$14,MATCH($A1854,'Cohort Summary'!$A$5:$A$14,0)))/INDEX('Cohort Summary'!$I$5:$I$14,MATCH($A1854,'Cohort Summary'!$A$5:$A$14,0))</f>
        <v>0.0756578947368422</v>
      </c>
      <c r="L1854" s="42" t="n">
        <f aca="false">(G1854-INDEX('Cohort Summary'!$J$5:$J$14,MATCH($A1854,'Cohort Summary'!$A$5:$A$14,0)))/INDEX('Cohort Summary'!$K$5:$K$14,MATCH($A1854,'Cohort Summary'!$A$5:$A$14,0))</f>
        <v>0.881355932203395</v>
      </c>
      <c r="M1854" s="42" t="n">
        <f aca="false">MAX(I1854:K1854)</f>
        <v>1.71428571428571</v>
      </c>
      <c r="N1854" s="27" t="s">
        <v>197</v>
      </c>
      <c r="O1854" s="27"/>
      <c r="P1854" s="27" t="str">
        <f aca="false">A1854&amp;"|"&amp;N1854</f>
        <v>NURSE-10|normal</v>
      </c>
    </row>
    <row r="1855" customFormat="false" ht="15" hidden="false" customHeight="true" outlineLevel="0" collapsed="false">
      <c r="A1855" s="27" t="s">
        <v>104</v>
      </c>
      <c r="B1855" s="41" t="n">
        <v>46303.3100694444</v>
      </c>
      <c r="C1855" s="27" t="s">
        <v>195</v>
      </c>
      <c r="D1855" s="27" t="n">
        <v>45.4</v>
      </c>
      <c r="E1855" s="27" t="n">
        <v>19.7</v>
      </c>
      <c r="F1855" s="27" t="n">
        <v>32.1</v>
      </c>
      <c r="G1855" s="27" t="n">
        <v>32.4</v>
      </c>
      <c r="H1855" s="27" t="s">
        <v>196</v>
      </c>
      <c r="I1855" s="42" t="n">
        <f aca="false">(D1855-INDEX('Cohort Summary'!$D$5:$D$14,MATCH($A1855,'Cohort Summary'!$A$5:$A$14,0)))/INDEX('Cohort Summary'!$E$5:$E$14,MATCH($A1855,'Cohort Summary'!$A$5:$A$14,0))</f>
        <v>0.843205574912893</v>
      </c>
      <c r="J1855" s="42" t="n">
        <f aca="false">(E1855-INDEX('Cohort Summary'!$F$5:$F$14,MATCH($A1855,'Cohort Summary'!$A$5:$A$14,0)))/INDEX('Cohort Summary'!$G$5:$G$14,MATCH($A1855,'Cohort Summary'!$A$5:$A$14,0))</f>
        <v>-0.28780487804878</v>
      </c>
      <c r="K1855" s="42" t="n">
        <f aca="false">(F1855-INDEX('Cohort Summary'!$H$5:$H$14,MATCH($A1855,'Cohort Summary'!$A$5:$A$14,0)))/INDEX('Cohort Summary'!$I$5:$I$14,MATCH($A1855,'Cohort Summary'!$A$5:$A$14,0))</f>
        <v>0.733552631578948</v>
      </c>
      <c r="L1855" s="42" t="n">
        <f aca="false">(G1855-INDEX('Cohort Summary'!$J$5:$J$14,MATCH($A1855,'Cohort Summary'!$A$5:$A$14,0)))/INDEX('Cohort Summary'!$K$5:$K$14,MATCH($A1855,'Cohort Summary'!$A$5:$A$14,0))</f>
        <v>-0.983050847457624</v>
      </c>
      <c r="M1855" s="42" t="n">
        <f aca="false">MAX(I1855:K1855)</f>
        <v>0.843205574912893</v>
      </c>
      <c r="N1855" s="27" t="s">
        <v>197</v>
      </c>
      <c r="O1855" s="27"/>
      <c r="P1855" s="27" t="str">
        <f aca="false">A1855&amp;"|"&amp;N1855</f>
        <v>NURSE-10|normal</v>
      </c>
    </row>
    <row r="1856" customFormat="false" ht="15" hidden="false" customHeight="true" outlineLevel="0" collapsed="false">
      <c r="A1856" s="27" t="s">
        <v>104</v>
      </c>
      <c r="B1856" s="41" t="n">
        <v>46303.3104166667</v>
      </c>
      <c r="C1856" s="27" t="s">
        <v>195</v>
      </c>
      <c r="D1856" s="27" t="n">
        <v>40.3</v>
      </c>
      <c r="E1856" s="27" t="n">
        <v>21</v>
      </c>
      <c r="F1856" s="27" t="n">
        <v>34.6</v>
      </c>
      <c r="G1856" s="27" t="n">
        <v>32.6</v>
      </c>
      <c r="H1856" s="27" t="s">
        <v>196</v>
      </c>
      <c r="I1856" s="42" t="n">
        <f aca="false">(D1856-INDEX('Cohort Summary'!$D$5:$D$14,MATCH($A1856,'Cohort Summary'!$A$5:$A$14,0)))/INDEX('Cohort Summary'!$E$5:$E$14,MATCH($A1856,'Cohort Summary'!$A$5:$A$14,0))</f>
        <v>-0.933797909407665</v>
      </c>
      <c r="J1856" s="42" t="n">
        <f aca="false">(E1856-INDEX('Cohort Summary'!$F$5:$F$14,MATCH($A1856,'Cohort Summary'!$A$5:$A$14,0)))/INDEX('Cohort Summary'!$G$5:$G$14,MATCH($A1856,'Cohort Summary'!$A$5:$A$14,0))</f>
        <v>0.346341463414635</v>
      </c>
      <c r="K1856" s="42" t="n">
        <f aca="false">(F1856-INDEX('Cohort Summary'!$H$5:$H$14,MATCH($A1856,'Cohort Summary'!$A$5:$A$14,0)))/INDEX('Cohort Summary'!$I$5:$I$14,MATCH($A1856,'Cohort Summary'!$A$5:$A$14,0))</f>
        <v>1.55592105263158</v>
      </c>
      <c r="L1856" s="42" t="n">
        <f aca="false">(G1856-INDEX('Cohort Summary'!$J$5:$J$14,MATCH($A1856,'Cohort Summary'!$A$5:$A$14,0)))/INDEX('Cohort Summary'!$K$5:$K$14,MATCH($A1856,'Cohort Summary'!$A$5:$A$14,0))</f>
        <v>-0.644067796610162</v>
      </c>
      <c r="M1856" s="42" t="n">
        <f aca="false">MAX(I1856:K1856)</f>
        <v>1.55592105263158</v>
      </c>
      <c r="N1856" s="27" t="s">
        <v>197</v>
      </c>
      <c r="O1856" s="27"/>
      <c r="P1856" s="27" t="str">
        <f aca="false">A1856&amp;"|"&amp;N1856</f>
        <v>NURSE-10|normal</v>
      </c>
    </row>
    <row r="1857" customFormat="false" ht="15" hidden="false" customHeight="true" outlineLevel="0" collapsed="false">
      <c r="A1857" s="27" t="s">
        <v>104</v>
      </c>
      <c r="B1857" s="41" t="n">
        <v>46303.3107638889</v>
      </c>
      <c r="C1857" s="27" t="s">
        <v>195</v>
      </c>
      <c r="D1857" s="27" t="n">
        <v>39.2</v>
      </c>
      <c r="E1857" s="27" t="n">
        <v>23.1</v>
      </c>
      <c r="F1857" s="27" t="n">
        <v>34.8</v>
      </c>
      <c r="G1857" s="27" t="n">
        <v>32.2</v>
      </c>
      <c r="H1857" s="27" t="s">
        <v>199</v>
      </c>
      <c r="I1857" s="42" t="n">
        <f aca="false">(D1857-INDEX('Cohort Summary'!$D$5:$D$14,MATCH($A1857,'Cohort Summary'!$A$5:$A$14,0)))/INDEX('Cohort Summary'!$E$5:$E$14,MATCH($A1857,'Cohort Summary'!$A$5:$A$14,0))</f>
        <v>-1.31707317073171</v>
      </c>
      <c r="J1857" s="42" t="n">
        <f aca="false">(E1857-INDEX('Cohort Summary'!$F$5:$F$14,MATCH($A1857,'Cohort Summary'!$A$5:$A$14,0)))/INDEX('Cohort Summary'!$G$5:$G$14,MATCH($A1857,'Cohort Summary'!$A$5:$A$14,0))</f>
        <v>1.37073170731707</v>
      </c>
      <c r="K1857" s="42" t="n">
        <f aca="false">(F1857-INDEX('Cohort Summary'!$H$5:$H$14,MATCH($A1857,'Cohort Summary'!$A$5:$A$14,0)))/INDEX('Cohort Summary'!$I$5:$I$14,MATCH($A1857,'Cohort Summary'!$A$5:$A$14,0))</f>
        <v>1.62171052631579</v>
      </c>
      <c r="L1857" s="42" t="n">
        <f aca="false">(G1857-INDEX('Cohort Summary'!$J$5:$J$14,MATCH($A1857,'Cohort Summary'!$A$5:$A$14,0)))/INDEX('Cohort Summary'!$K$5:$K$14,MATCH($A1857,'Cohort Summary'!$A$5:$A$14,0))</f>
        <v>-1.32203389830507</v>
      </c>
      <c r="M1857" s="42" t="n">
        <f aca="false">MAX(I1857:K1857)</f>
        <v>1.62171052631579</v>
      </c>
      <c r="N1857" s="27" t="s">
        <v>197</v>
      </c>
      <c r="O1857" s="27"/>
      <c r="P1857" s="27" t="str">
        <f aca="false">A1857&amp;"|"&amp;N1857</f>
        <v>NURSE-10|normal</v>
      </c>
    </row>
    <row r="1858" customFormat="false" ht="15" hidden="false" customHeight="true" outlineLevel="0" collapsed="false">
      <c r="A1858" s="27" t="s">
        <v>104</v>
      </c>
      <c r="B1858" s="41" t="n">
        <v>46303.3111111111</v>
      </c>
      <c r="C1858" s="27" t="s">
        <v>195</v>
      </c>
      <c r="D1858" s="27" t="n">
        <v>47.5</v>
      </c>
      <c r="E1858" s="27" t="n">
        <v>21.3</v>
      </c>
      <c r="F1858" s="27" t="n">
        <v>33.4</v>
      </c>
      <c r="G1858" s="27" t="n">
        <v>33.9</v>
      </c>
      <c r="H1858" s="27" t="s">
        <v>199</v>
      </c>
      <c r="I1858" s="42" t="n">
        <f aca="false">(D1858-INDEX('Cohort Summary'!$D$5:$D$14,MATCH($A1858,'Cohort Summary'!$A$5:$A$14,0)))/INDEX('Cohort Summary'!$E$5:$E$14,MATCH($A1858,'Cohort Summary'!$A$5:$A$14,0))</f>
        <v>1.57491289198606</v>
      </c>
      <c r="J1858" s="42" t="n">
        <f aca="false">(E1858-INDEX('Cohort Summary'!$F$5:$F$14,MATCH($A1858,'Cohort Summary'!$A$5:$A$14,0)))/INDEX('Cohort Summary'!$G$5:$G$14,MATCH($A1858,'Cohort Summary'!$A$5:$A$14,0))</f>
        <v>0.492682926829269</v>
      </c>
      <c r="K1858" s="42" t="n">
        <f aca="false">(F1858-INDEX('Cohort Summary'!$H$5:$H$14,MATCH($A1858,'Cohort Summary'!$A$5:$A$14,0)))/INDEX('Cohort Summary'!$I$5:$I$14,MATCH($A1858,'Cohort Summary'!$A$5:$A$14,0))</f>
        <v>1.16118421052632</v>
      </c>
      <c r="L1858" s="42" t="n">
        <f aca="false">(G1858-INDEX('Cohort Summary'!$J$5:$J$14,MATCH($A1858,'Cohort Summary'!$A$5:$A$14,0)))/INDEX('Cohort Summary'!$K$5:$K$14,MATCH($A1858,'Cohort Summary'!$A$5:$A$14,0))</f>
        <v>1.55932203389831</v>
      </c>
      <c r="M1858" s="42" t="n">
        <f aca="false">MAX(I1858:K1858)</f>
        <v>1.57491289198606</v>
      </c>
      <c r="N1858" s="27" t="s">
        <v>197</v>
      </c>
      <c r="O1858" s="27"/>
      <c r="P1858" s="27" t="str">
        <f aca="false">A1858&amp;"|"&amp;N1858</f>
        <v>NURSE-10|normal</v>
      </c>
    </row>
    <row r="1859" customFormat="false" ht="15" hidden="false" customHeight="true" outlineLevel="0" collapsed="false">
      <c r="A1859" s="27" t="s">
        <v>104</v>
      </c>
      <c r="B1859" s="41" t="n">
        <v>46303.3114583333</v>
      </c>
      <c r="C1859" s="27" t="s">
        <v>195</v>
      </c>
      <c r="D1859" s="27" t="n">
        <v>46.4</v>
      </c>
      <c r="E1859" s="27" t="n">
        <v>17.2</v>
      </c>
      <c r="F1859" s="27" t="n">
        <v>26.9</v>
      </c>
      <c r="G1859" s="27" t="n">
        <v>33.3</v>
      </c>
      <c r="H1859" s="27" t="s">
        <v>199</v>
      </c>
      <c r="I1859" s="42" t="n">
        <f aca="false">(D1859-INDEX('Cohort Summary'!$D$5:$D$14,MATCH($A1859,'Cohort Summary'!$A$5:$A$14,0)))/INDEX('Cohort Summary'!$E$5:$E$14,MATCH($A1859,'Cohort Summary'!$A$5:$A$14,0))</f>
        <v>1.19163763066202</v>
      </c>
      <c r="J1859" s="42" t="n">
        <f aca="false">(E1859-INDEX('Cohort Summary'!$F$5:$F$14,MATCH($A1859,'Cohort Summary'!$A$5:$A$14,0)))/INDEX('Cohort Summary'!$G$5:$G$14,MATCH($A1859,'Cohort Summary'!$A$5:$A$14,0))</f>
        <v>-1.50731707317073</v>
      </c>
      <c r="K1859" s="42" t="n">
        <f aca="false">(F1859-INDEX('Cohort Summary'!$H$5:$H$14,MATCH($A1859,'Cohort Summary'!$A$5:$A$14,0)))/INDEX('Cohort Summary'!$I$5:$I$14,MATCH($A1859,'Cohort Summary'!$A$5:$A$14,0))</f>
        <v>-0.976973684210527</v>
      </c>
      <c r="L1859" s="42" t="n">
        <f aca="false">(G1859-INDEX('Cohort Summary'!$J$5:$J$14,MATCH($A1859,'Cohort Summary'!$A$5:$A$14,0)))/INDEX('Cohort Summary'!$K$5:$K$14,MATCH($A1859,'Cohort Summary'!$A$5:$A$14,0))</f>
        <v>0.542372881355933</v>
      </c>
      <c r="M1859" s="42" t="n">
        <f aca="false">MAX(I1859:K1859)</f>
        <v>1.19163763066202</v>
      </c>
      <c r="N1859" s="27" t="s">
        <v>197</v>
      </c>
      <c r="O1859" s="27"/>
      <c r="P1859" s="27" t="str">
        <f aca="false">A1859&amp;"|"&amp;N1859</f>
        <v>NURSE-10|normal</v>
      </c>
    </row>
    <row r="1860" customFormat="false" ht="15" hidden="false" customHeight="true" outlineLevel="0" collapsed="false">
      <c r="A1860" s="27" t="s">
        <v>104</v>
      </c>
      <c r="B1860" s="41" t="n">
        <v>46303.3118055556</v>
      </c>
      <c r="C1860" s="27" t="s">
        <v>195</v>
      </c>
      <c r="D1860" s="27" t="n">
        <v>45.8</v>
      </c>
      <c r="E1860" s="27" t="n">
        <v>18</v>
      </c>
      <c r="F1860" s="27" t="n">
        <v>25.8</v>
      </c>
      <c r="G1860" s="27" t="n">
        <v>33</v>
      </c>
      <c r="H1860" s="27" t="s">
        <v>196</v>
      </c>
      <c r="I1860" s="42" t="n">
        <f aca="false">(D1860-INDEX('Cohort Summary'!$D$5:$D$14,MATCH($A1860,'Cohort Summary'!$A$5:$A$14,0)))/INDEX('Cohort Summary'!$E$5:$E$14,MATCH($A1860,'Cohort Summary'!$A$5:$A$14,0))</f>
        <v>0.982578397212544</v>
      </c>
      <c r="J1860" s="42" t="n">
        <f aca="false">(E1860-INDEX('Cohort Summary'!$F$5:$F$14,MATCH($A1860,'Cohort Summary'!$A$5:$A$14,0)))/INDEX('Cohort Summary'!$G$5:$G$14,MATCH($A1860,'Cohort Summary'!$A$5:$A$14,0))</f>
        <v>-1.11707317073171</v>
      </c>
      <c r="K1860" s="42" t="n">
        <f aca="false">(F1860-INDEX('Cohort Summary'!$H$5:$H$14,MATCH($A1860,'Cohort Summary'!$A$5:$A$14,0)))/INDEX('Cohort Summary'!$I$5:$I$14,MATCH($A1860,'Cohort Summary'!$A$5:$A$14,0))</f>
        <v>-1.33881578947368</v>
      </c>
      <c r="L1860" s="42" t="n">
        <f aca="false">(G1860-INDEX('Cohort Summary'!$J$5:$J$14,MATCH($A1860,'Cohort Summary'!$A$5:$A$14,0)))/INDEX('Cohort Summary'!$K$5:$K$14,MATCH($A1860,'Cohort Summary'!$A$5:$A$14,0))</f>
        <v>0.0338983050847511</v>
      </c>
      <c r="M1860" s="42" t="n">
        <f aca="false">MAX(I1860:K1860)</f>
        <v>0.982578397212544</v>
      </c>
      <c r="N1860" s="27" t="s">
        <v>197</v>
      </c>
      <c r="O1860" s="27"/>
      <c r="P1860" s="27" t="str">
        <f aca="false">A1860&amp;"|"&amp;N1860</f>
        <v>NURSE-10|normal</v>
      </c>
    </row>
    <row r="1861" customFormat="false" ht="15" hidden="false" customHeight="true" outlineLevel="0" collapsed="false">
      <c r="A1861" s="27" t="s">
        <v>104</v>
      </c>
      <c r="B1861" s="41" t="n">
        <v>46303.3121527778</v>
      </c>
      <c r="C1861" s="27" t="s">
        <v>195</v>
      </c>
      <c r="D1861" s="27" t="n">
        <v>43.2</v>
      </c>
      <c r="E1861" s="27" t="n">
        <v>19.9</v>
      </c>
      <c r="F1861" s="27" t="n">
        <v>34.8</v>
      </c>
      <c r="G1861" s="27" t="n">
        <v>32.7</v>
      </c>
      <c r="H1861" s="27" t="s">
        <v>198</v>
      </c>
      <c r="I1861" s="42" t="n">
        <f aca="false">(D1861-INDEX('Cohort Summary'!$D$5:$D$14,MATCH($A1861,'Cohort Summary'!$A$5:$A$14,0)))/INDEX('Cohort Summary'!$E$5:$E$14,MATCH($A1861,'Cohort Summary'!$A$5:$A$14,0))</f>
        <v>0.0766550522648104</v>
      </c>
      <c r="J1861" s="42" t="n">
        <f aca="false">(E1861-INDEX('Cohort Summary'!$F$5:$F$14,MATCH($A1861,'Cohort Summary'!$A$5:$A$14,0)))/INDEX('Cohort Summary'!$G$5:$G$14,MATCH($A1861,'Cohort Summary'!$A$5:$A$14,0))</f>
        <v>-0.190243902439025</v>
      </c>
      <c r="K1861" s="42" t="n">
        <f aca="false">(F1861-INDEX('Cohort Summary'!$H$5:$H$14,MATCH($A1861,'Cohort Summary'!$A$5:$A$14,0)))/INDEX('Cohort Summary'!$I$5:$I$14,MATCH($A1861,'Cohort Summary'!$A$5:$A$14,0))</f>
        <v>1.62171052631579</v>
      </c>
      <c r="L1861" s="42" t="n">
        <f aca="false">(G1861-INDEX('Cohort Summary'!$J$5:$J$14,MATCH($A1861,'Cohort Summary'!$A$5:$A$14,0)))/INDEX('Cohort Summary'!$K$5:$K$14,MATCH($A1861,'Cohort Summary'!$A$5:$A$14,0))</f>
        <v>-0.474576271186431</v>
      </c>
      <c r="M1861" s="42" t="n">
        <f aca="false">MAX(I1861:K1861)</f>
        <v>1.62171052631579</v>
      </c>
      <c r="N1861" s="27" t="s">
        <v>197</v>
      </c>
      <c r="O1861" s="27"/>
      <c r="P1861" s="27" t="str">
        <f aca="false">A1861&amp;"|"&amp;N1861</f>
        <v>NURSE-10|normal</v>
      </c>
    </row>
    <row r="1862" customFormat="false" ht="15" hidden="false" customHeight="true" outlineLevel="0" collapsed="false">
      <c r="A1862" s="27" t="s">
        <v>104</v>
      </c>
      <c r="B1862" s="41" t="n">
        <v>46303.3125</v>
      </c>
      <c r="C1862" s="27" t="s">
        <v>200</v>
      </c>
      <c r="D1862" s="27" t="n">
        <v>40.5</v>
      </c>
      <c r="E1862" s="27" t="n">
        <v>22.7</v>
      </c>
      <c r="F1862" s="27" t="n">
        <v>34.6</v>
      </c>
      <c r="G1862" s="27" t="n">
        <v>33.3</v>
      </c>
      <c r="H1862" s="27" t="s">
        <v>199</v>
      </c>
      <c r="I1862" s="42" t="n">
        <f aca="false">(D1862-INDEX('Cohort Summary'!$D$5:$D$14,MATCH($A1862,'Cohort Summary'!$A$5:$A$14,0)))/INDEX('Cohort Summary'!$E$5:$E$14,MATCH($A1862,'Cohort Summary'!$A$5:$A$14,0))</f>
        <v>-0.864111498257839</v>
      </c>
      <c r="J1862" s="42" t="n">
        <f aca="false">(E1862-INDEX('Cohort Summary'!$F$5:$F$14,MATCH($A1862,'Cohort Summary'!$A$5:$A$14,0)))/INDEX('Cohort Summary'!$G$5:$G$14,MATCH($A1862,'Cohort Summary'!$A$5:$A$14,0))</f>
        <v>1.17560975609756</v>
      </c>
      <c r="K1862" s="42" t="n">
        <f aca="false">(F1862-INDEX('Cohort Summary'!$H$5:$H$14,MATCH($A1862,'Cohort Summary'!$A$5:$A$14,0)))/INDEX('Cohort Summary'!$I$5:$I$14,MATCH($A1862,'Cohort Summary'!$A$5:$A$14,0))</f>
        <v>1.55592105263158</v>
      </c>
      <c r="L1862" s="42" t="n">
        <f aca="false">(G1862-INDEX('Cohort Summary'!$J$5:$J$14,MATCH($A1862,'Cohort Summary'!$A$5:$A$14,0)))/INDEX('Cohort Summary'!$K$5:$K$14,MATCH($A1862,'Cohort Summary'!$A$5:$A$14,0))</f>
        <v>0.542372881355933</v>
      </c>
      <c r="M1862" s="42" t="n">
        <f aca="false">MAX(I1862:K1862)</f>
        <v>1.55592105263158</v>
      </c>
      <c r="N1862" s="27" t="s">
        <v>197</v>
      </c>
      <c r="O1862" s="27"/>
      <c r="P1862" s="27" t="str">
        <f aca="false">A1862&amp;"|"&amp;N1862</f>
        <v>NURSE-10|normal</v>
      </c>
    </row>
    <row r="1863" customFormat="false" ht="15" hidden="false" customHeight="true" outlineLevel="0" collapsed="false">
      <c r="A1863" s="27" t="s">
        <v>104</v>
      </c>
      <c r="B1863" s="41" t="n">
        <v>46303.3128472222</v>
      </c>
      <c r="C1863" s="27" t="s">
        <v>200</v>
      </c>
      <c r="D1863" s="27" t="n">
        <v>47.5</v>
      </c>
      <c r="E1863" s="27" t="n">
        <v>23.6</v>
      </c>
      <c r="F1863" s="27" t="n">
        <v>31.2</v>
      </c>
      <c r="G1863" s="27" t="n">
        <v>32.5</v>
      </c>
      <c r="H1863" s="27" t="s">
        <v>196</v>
      </c>
      <c r="I1863" s="42" t="n">
        <f aca="false">(D1863-INDEX('Cohort Summary'!$D$5:$D$14,MATCH($A1863,'Cohort Summary'!$A$5:$A$14,0)))/INDEX('Cohort Summary'!$E$5:$E$14,MATCH($A1863,'Cohort Summary'!$A$5:$A$14,0))</f>
        <v>1.57491289198606</v>
      </c>
      <c r="J1863" s="42" t="n">
        <f aca="false">(E1863-INDEX('Cohort Summary'!$F$5:$F$14,MATCH($A1863,'Cohort Summary'!$A$5:$A$14,0)))/INDEX('Cohort Summary'!$G$5:$G$14,MATCH($A1863,'Cohort Summary'!$A$5:$A$14,0))</f>
        <v>1.61463414634146</v>
      </c>
      <c r="K1863" s="42" t="n">
        <f aca="false">(F1863-INDEX('Cohort Summary'!$H$5:$H$14,MATCH($A1863,'Cohort Summary'!$A$5:$A$14,0)))/INDEX('Cohort Summary'!$I$5:$I$14,MATCH($A1863,'Cohort Summary'!$A$5:$A$14,0))</f>
        <v>0.437499999999999</v>
      </c>
      <c r="L1863" s="42" t="n">
        <f aca="false">(G1863-INDEX('Cohort Summary'!$J$5:$J$14,MATCH($A1863,'Cohort Summary'!$A$5:$A$14,0)))/INDEX('Cohort Summary'!$K$5:$K$14,MATCH($A1863,'Cohort Summary'!$A$5:$A$14,0))</f>
        <v>-0.813559322033893</v>
      </c>
      <c r="M1863" s="42" t="n">
        <f aca="false">MAX(I1863:K1863)</f>
        <v>1.61463414634146</v>
      </c>
      <c r="N1863" s="27" t="s">
        <v>197</v>
      </c>
      <c r="O1863" s="27"/>
      <c r="P1863" s="27" t="str">
        <f aca="false">A1863&amp;"|"&amp;N1863</f>
        <v>NURSE-10|normal</v>
      </c>
    </row>
    <row r="1864" customFormat="false" ht="15" hidden="false" customHeight="true" outlineLevel="0" collapsed="false">
      <c r="A1864" s="27" t="s">
        <v>104</v>
      </c>
      <c r="B1864" s="41" t="n">
        <v>46303.3131944445</v>
      </c>
      <c r="C1864" s="27" t="s">
        <v>200</v>
      </c>
      <c r="D1864" s="27" t="n">
        <v>40.8</v>
      </c>
      <c r="E1864" s="27" t="n">
        <v>18.2</v>
      </c>
      <c r="F1864" s="27" t="n">
        <v>34</v>
      </c>
      <c r="G1864" s="27" t="n">
        <v>32.7</v>
      </c>
      <c r="H1864" s="27" t="s">
        <v>199</v>
      </c>
      <c r="I1864" s="42" t="n">
        <f aca="false">(D1864-INDEX('Cohort Summary'!$D$5:$D$14,MATCH($A1864,'Cohort Summary'!$A$5:$A$14,0)))/INDEX('Cohort Summary'!$E$5:$E$14,MATCH($A1864,'Cohort Summary'!$A$5:$A$14,0))</f>
        <v>-0.759581881533101</v>
      </c>
      <c r="J1864" s="42" t="n">
        <f aca="false">(E1864-INDEX('Cohort Summary'!$F$5:$F$14,MATCH($A1864,'Cohort Summary'!$A$5:$A$14,0)))/INDEX('Cohort Summary'!$G$5:$G$14,MATCH($A1864,'Cohort Summary'!$A$5:$A$14,0))</f>
        <v>-1.01951219512195</v>
      </c>
      <c r="K1864" s="42" t="n">
        <f aca="false">(F1864-INDEX('Cohort Summary'!$H$5:$H$14,MATCH($A1864,'Cohort Summary'!$A$5:$A$14,0)))/INDEX('Cohort Summary'!$I$5:$I$14,MATCH($A1864,'Cohort Summary'!$A$5:$A$14,0))</f>
        <v>1.35855263157895</v>
      </c>
      <c r="L1864" s="42" t="n">
        <f aca="false">(G1864-INDEX('Cohort Summary'!$J$5:$J$14,MATCH($A1864,'Cohort Summary'!$A$5:$A$14,0)))/INDEX('Cohort Summary'!$K$5:$K$14,MATCH($A1864,'Cohort Summary'!$A$5:$A$14,0))</f>
        <v>-0.474576271186431</v>
      </c>
      <c r="M1864" s="42" t="n">
        <f aca="false">MAX(I1864:K1864)</f>
        <v>1.35855263157895</v>
      </c>
      <c r="N1864" s="27" t="s">
        <v>197</v>
      </c>
      <c r="O1864" s="27"/>
      <c r="P1864" s="27" t="str">
        <f aca="false">A1864&amp;"|"&amp;N1864</f>
        <v>NURSE-10|normal</v>
      </c>
    </row>
    <row r="1865" customFormat="false" ht="15" hidden="false" customHeight="true" outlineLevel="0" collapsed="false">
      <c r="A1865" s="27" t="s">
        <v>104</v>
      </c>
      <c r="B1865" s="41" t="n">
        <v>46303.3135416667</v>
      </c>
      <c r="C1865" s="27" t="s">
        <v>200</v>
      </c>
      <c r="D1865" s="27" t="n">
        <v>43.6</v>
      </c>
      <c r="E1865" s="27" t="n">
        <v>23.3</v>
      </c>
      <c r="F1865" s="27" t="n">
        <v>34</v>
      </c>
      <c r="G1865" s="27" t="n">
        <v>33.4</v>
      </c>
      <c r="H1865" s="27" t="s">
        <v>199</v>
      </c>
      <c r="I1865" s="42" t="n">
        <f aca="false">(D1865-INDEX('Cohort Summary'!$D$5:$D$14,MATCH($A1865,'Cohort Summary'!$A$5:$A$14,0)))/INDEX('Cohort Summary'!$E$5:$E$14,MATCH($A1865,'Cohort Summary'!$A$5:$A$14,0))</f>
        <v>0.216027874564462</v>
      </c>
      <c r="J1865" s="42" t="n">
        <f aca="false">(E1865-INDEX('Cohort Summary'!$F$5:$F$14,MATCH($A1865,'Cohort Summary'!$A$5:$A$14,0)))/INDEX('Cohort Summary'!$G$5:$G$14,MATCH($A1865,'Cohort Summary'!$A$5:$A$14,0))</f>
        <v>1.46829268292683</v>
      </c>
      <c r="K1865" s="42" t="n">
        <f aca="false">(F1865-INDEX('Cohort Summary'!$H$5:$H$14,MATCH($A1865,'Cohort Summary'!$A$5:$A$14,0)))/INDEX('Cohort Summary'!$I$5:$I$14,MATCH($A1865,'Cohort Summary'!$A$5:$A$14,0))</f>
        <v>1.35855263157895</v>
      </c>
      <c r="L1865" s="42" t="n">
        <f aca="false">(G1865-INDEX('Cohort Summary'!$J$5:$J$14,MATCH($A1865,'Cohort Summary'!$A$5:$A$14,0)))/INDEX('Cohort Summary'!$K$5:$K$14,MATCH($A1865,'Cohort Summary'!$A$5:$A$14,0))</f>
        <v>0.711864406779664</v>
      </c>
      <c r="M1865" s="42" t="n">
        <f aca="false">MAX(I1865:K1865)</f>
        <v>1.46829268292683</v>
      </c>
      <c r="N1865" s="27" t="s">
        <v>197</v>
      </c>
      <c r="O1865" s="27"/>
      <c r="P1865" s="27" t="str">
        <f aca="false">A1865&amp;"|"&amp;N1865</f>
        <v>NURSE-10|normal</v>
      </c>
    </row>
    <row r="1866" customFormat="false" ht="15" hidden="false" customHeight="true" outlineLevel="0" collapsed="false">
      <c r="A1866" s="27" t="s">
        <v>104</v>
      </c>
      <c r="B1866" s="41" t="n">
        <v>46303.3138888889</v>
      </c>
      <c r="C1866" s="27" t="s">
        <v>200</v>
      </c>
      <c r="D1866" s="27" t="n">
        <v>42.9</v>
      </c>
      <c r="E1866" s="27" t="n">
        <v>17</v>
      </c>
      <c r="F1866" s="27" t="n">
        <v>33.9</v>
      </c>
      <c r="G1866" s="27" t="n">
        <v>32.4</v>
      </c>
      <c r="H1866" s="27" t="s">
        <v>198</v>
      </c>
      <c r="I1866" s="42" t="n">
        <f aca="false">(D1866-INDEX('Cohort Summary'!$D$5:$D$14,MATCH($A1866,'Cohort Summary'!$A$5:$A$14,0)))/INDEX('Cohort Summary'!$E$5:$E$14,MATCH($A1866,'Cohort Summary'!$A$5:$A$14,0))</f>
        <v>-0.0278745644599297</v>
      </c>
      <c r="J1866" s="42" t="n">
        <f aca="false">(E1866-INDEX('Cohort Summary'!$F$5:$F$14,MATCH($A1866,'Cohort Summary'!$A$5:$A$14,0)))/INDEX('Cohort Summary'!$G$5:$G$14,MATCH($A1866,'Cohort Summary'!$A$5:$A$14,0))</f>
        <v>-1.60487804878049</v>
      </c>
      <c r="K1866" s="42" t="n">
        <f aca="false">(F1866-INDEX('Cohort Summary'!$H$5:$H$14,MATCH($A1866,'Cohort Summary'!$A$5:$A$14,0)))/INDEX('Cohort Summary'!$I$5:$I$14,MATCH($A1866,'Cohort Summary'!$A$5:$A$14,0))</f>
        <v>1.32565789473684</v>
      </c>
      <c r="L1866" s="42" t="n">
        <f aca="false">(G1866-INDEX('Cohort Summary'!$J$5:$J$14,MATCH($A1866,'Cohort Summary'!$A$5:$A$14,0)))/INDEX('Cohort Summary'!$K$5:$K$14,MATCH($A1866,'Cohort Summary'!$A$5:$A$14,0))</f>
        <v>-0.983050847457624</v>
      </c>
      <c r="M1866" s="42" t="n">
        <f aca="false">MAX(I1866:K1866)</f>
        <v>1.32565789473684</v>
      </c>
      <c r="N1866" s="27" t="s">
        <v>197</v>
      </c>
      <c r="O1866" s="27"/>
      <c r="P1866" s="27" t="str">
        <f aca="false">A1866&amp;"|"&amp;N1866</f>
        <v>NURSE-10|normal</v>
      </c>
    </row>
    <row r="1867" customFormat="false" ht="15" hidden="false" customHeight="true" outlineLevel="0" collapsed="false">
      <c r="A1867" s="27" t="s">
        <v>104</v>
      </c>
      <c r="B1867" s="41" t="n">
        <v>46303.3142361111</v>
      </c>
      <c r="C1867" s="27" t="s">
        <v>200</v>
      </c>
      <c r="D1867" s="27" t="n">
        <v>42</v>
      </c>
      <c r="E1867" s="27" t="n">
        <v>23.7</v>
      </c>
      <c r="F1867" s="27" t="n">
        <v>27.6</v>
      </c>
      <c r="G1867" s="27" t="n">
        <v>33.5</v>
      </c>
      <c r="H1867" s="27" t="s">
        <v>198</v>
      </c>
      <c r="I1867" s="42" t="n">
        <f aca="false">(D1867-INDEX('Cohort Summary'!$D$5:$D$14,MATCH($A1867,'Cohort Summary'!$A$5:$A$14,0)))/INDEX('Cohort Summary'!$E$5:$E$14,MATCH($A1867,'Cohort Summary'!$A$5:$A$14,0))</f>
        <v>-0.341463414634145</v>
      </c>
      <c r="J1867" s="42" t="n">
        <f aca="false">(E1867-INDEX('Cohort Summary'!$F$5:$F$14,MATCH($A1867,'Cohort Summary'!$A$5:$A$14,0)))/INDEX('Cohort Summary'!$G$5:$G$14,MATCH($A1867,'Cohort Summary'!$A$5:$A$14,0))</f>
        <v>1.66341463414634</v>
      </c>
      <c r="K1867" s="42" t="n">
        <f aca="false">(F1867-INDEX('Cohort Summary'!$H$5:$H$14,MATCH($A1867,'Cohort Summary'!$A$5:$A$14,0)))/INDEX('Cohort Summary'!$I$5:$I$14,MATCH($A1867,'Cohort Summary'!$A$5:$A$14,0))</f>
        <v>-0.746710526315789</v>
      </c>
      <c r="L1867" s="42" t="n">
        <f aca="false">(G1867-INDEX('Cohort Summary'!$J$5:$J$14,MATCH($A1867,'Cohort Summary'!$A$5:$A$14,0)))/INDEX('Cohort Summary'!$K$5:$K$14,MATCH($A1867,'Cohort Summary'!$A$5:$A$14,0))</f>
        <v>0.881355932203395</v>
      </c>
      <c r="M1867" s="42" t="n">
        <f aca="false">MAX(I1867:K1867)</f>
        <v>1.66341463414634</v>
      </c>
      <c r="N1867" s="27" t="s">
        <v>197</v>
      </c>
      <c r="O1867" s="27"/>
      <c r="P1867" s="27" t="str">
        <f aca="false">A1867&amp;"|"&amp;N1867</f>
        <v>NURSE-10|normal</v>
      </c>
    </row>
    <row r="1868" customFormat="false" ht="15" hidden="false" customHeight="true" outlineLevel="0" collapsed="false">
      <c r="A1868" s="27" t="s">
        <v>104</v>
      </c>
      <c r="B1868" s="41" t="n">
        <v>46303.3145833333</v>
      </c>
      <c r="C1868" s="27" t="s">
        <v>200</v>
      </c>
      <c r="D1868" s="27" t="n">
        <v>47.8</v>
      </c>
      <c r="E1868" s="27" t="n">
        <v>24</v>
      </c>
      <c r="F1868" s="27" t="n">
        <v>28.6</v>
      </c>
      <c r="G1868" s="27" t="n">
        <v>33.9</v>
      </c>
      <c r="H1868" s="27" t="s">
        <v>198</v>
      </c>
      <c r="I1868" s="42" t="n">
        <f aca="false">(D1868-INDEX('Cohort Summary'!$D$5:$D$14,MATCH($A1868,'Cohort Summary'!$A$5:$A$14,0)))/INDEX('Cohort Summary'!$E$5:$E$14,MATCH($A1868,'Cohort Summary'!$A$5:$A$14,0))</f>
        <v>1.6794425087108</v>
      </c>
      <c r="J1868" s="42" t="n">
        <f aca="false">(E1868-INDEX('Cohort Summary'!$F$5:$F$14,MATCH($A1868,'Cohort Summary'!$A$5:$A$14,0)))/INDEX('Cohort Summary'!$G$5:$G$14,MATCH($A1868,'Cohort Summary'!$A$5:$A$14,0))</f>
        <v>1.80975609756098</v>
      </c>
      <c r="K1868" s="42" t="n">
        <f aca="false">(F1868-INDEX('Cohort Summary'!$H$5:$H$14,MATCH($A1868,'Cohort Summary'!$A$5:$A$14,0)))/INDEX('Cohort Summary'!$I$5:$I$14,MATCH($A1868,'Cohort Summary'!$A$5:$A$14,0))</f>
        <v>-0.417763157894737</v>
      </c>
      <c r="L1868" s="42" t="n">
        <f aca="false">(G1868-INDEX('Cohort Summary'!$J$5:$J$14,MATCH($A1868,'Cohort Summary'!$A$5:$A$14,0)))/INDEX('Cohort Summary'!$K$5:$K$14,MATCH($A1868,'Cohort Summary'!$A$5:$A$14,0))</f>
        <v>1.55932203389831</v>
      </c>
      <c r="M1868" s="42" t="n">
        <f aca="false">MAX(I1868:K1868)</f>
        <v>1.80975609756098</v>
      </c>
      <c r="N1868" s="27" t="s">
        <v>197</v>
      </c>
      <c r="O1868" s="27"/>
      <c r="P1868" s="27" t="str">
        <f aca="false">A1868&amp;"|"&amp;N1868</f>
        <v>NURSE-10|normal</v>
      </c>
    </row>
    <row r="1869" customFormat="false" ht="15" hidden="false" customHeight="true" outlineLevel="0" collapsed="false">
      <c r="A1869" s="27" t="s">
        <v>104</v>
      </c>
      <c r="B1869" s="41" t="n">
        <v>46303.3149305556</v>
      </c>
      <c r="C1869" s="27" t="s">
        <v>200</v>
      </c>
      <c r="D1869" s="27" t="n">
        <v>43.3</v>
      </c>
      <c r="E1869" s="27" t="n">
        <v>20.9</v>
      </c>
      <c r="F1869" s="27" t="n">
        <v>27</v>
      </c>
      <c r="G1869" s="27" t="n">
        <v>33.6</v>
      </c>
      <c r="H1869" s="27" t="s">
        <v>199</v>
      </c>
      <c r="I1869" s="42" t="n">
        <f aca="false">(D1869-INDEX('Cohort Summary'!$D$5:$D$14,MATCH($A1869,'Cohort Summary'!$A$5:$A$14,0)))/INDEX('Cohort Summary'!$E$5:$E$14,MATCH($A1869,'Cohort Summary'!$A$5:$A$14,0))</f>
        <v>0.111498257839721</v>
      </c>
      <c r="J1869" s="42" t="n">
        <f aca="false">(E1869-INDEX('Cohort Summary'!$F$5:$F$14,MATCH($A1869,'Cohort Summary'!$A$5:$A$14,0)))/INDEX('Cohort Summary'!$G$5:$G$14,MATCH($A1869,'Cohort Summary'!$A$5:$A$14,0))</f>
        <v>0.297560975609756</v>
      </c>
      <c r="K1869" s="42" t="n">
        <f aca="false">(F1869-INDEX('Cohort Summary'!$H$5:$H$14,MATCH($A1869,'Cohort Summary'!$A$5:$A$14,0)))/INDEX('Cohort Summary'!$I$5:$I$14,MATCH($A1869,'Cohort Summary'!$A$5:$A$14,0))</f>
        <v>-0.944078947368421</v>
      </c>
      <c r="L1869" s="42" t="n">
        <f aca="false">(G1869-INDEX('Cohort Summary'!$J$5:$J$14,MATCH($A1869,'Cohort Summary'!$A$5:$A$14,0)))/INDEX('Cohort Summary'!$K$5:$K$14,MATCH($A1869,'Cohort Summary'!$A$5:$A$14,0))</f>
        <v>1.05084745762713</v>
      </c>
      <c r="M1869" s="42" t="n">
        <f aca="false">MAX(I1869:K1869)</f>
        <v>0.297560975609756</v>
      </c>
      <c r="N1869" s="27" t="s">
        <v>197</v>
      </c>
      <c r="O1869" s="27"/>
      <c r="P1869" s="27" t="str">
        <f aca="false">A1869&amp;"|"&amp;N1869</f>
        <v>NURSE-10|normal</v>
      </c>
    </row>
    <row r="1870" customFormat="false" ht="15" hidden="false" customHeight="true" outlineLevel="0" collapsed="false">
      <c r="A1870" s="27" t="s">
        <v>104</v>
      </c>
      <c r="B1870" s="41" t="n">
        <v>46303.3152777778</v>
      </c>
      <c r="C1870" s="27" t="s">
        <v>200</v>
      </c>
      <c r="D1870" s="27" t="n">
        <v>41.3</v>
      </c>
      <c r="E1870" s="27" t="n">
        <v>22.3</v>
      </c>
      <c r="F1870" s="27" t="n">
        <v>29.1</v>
      </c>
      <c r="G1870" s="27" t="n">
        <v>32.7</v>
      </c>
      <c r="H1870" s="27" t="s">
        <v>198</v>
      </c>
      <c r="I1870" s="42" t="n">
        <f aca="false">(D1870-INDEX('Cohort Summary'!$D$5:$D$14,MATCH($A1870,'Cohort Summary'!$A$5:$A$14,0)))/INDEX('Cohort Summary'!$E$5:$E$14,MATCH($A1870,'Cohort Summary'!$A$5:$A$14,0))</f>
        <v>-0.585365853658536</v>
      </c>
      <c r="J1870" s="42" t="n">
        <f aca="false">(E1870-INDEX('Cohort Summary'!$F$5:$F$14,MATCH($A1870,'Cohort Summary'!$A$5:$A$14,0)))/INDEX('Cohort Summary'!$G$5:$G$14,MATCH($A1870,'Cohort Summary'!$A$5:$A$14,0))</f>
        <v>0.98048780487805</v>
      </c>
      <c r="K1870" s="42" t="n">
        <f aca="false">(F1870-INDEX('Cohort Summary'!$H$5:$H$14,MATCH($A1870,'Cohort Summary'!$A$5:$A$14,0)))/INDEX('Cohort Summary'!$I$5:$I$14,MATCH($A1870,'Cohort Summary'!$A$5:$A$14,0))</f>
        <v>-0.25328947368421</v>
      </c>
      <c r="L1870" s="42" t="n">
        <f aca="false">(G1870-INDEX('Cohort Summary'!$J$5:$J$14,MATCH($A1870,'Cohort Summary'!$A$5:$A$14,0)))/INDEX('Cohort Summary'!$K$5:$K$14,MATCH($A1870,'Cohort Summary'!$A$5:$A$14,0))</f>
        <v>-0.474576271186431</v>
      </c>
      <c r="M1870" s="42" t="n">
        <f aca="false">MAX(I1870:K1870)</f>
        <v>0.98048780487805</v>
      </c>
      <c r="N1870" s="27" t="s">
        <v>197</v>
      </c>
      <c r="O1870" s="27"/>
      <c r="P1870" s="27" t="str">
        <f aca="false">A1870&amp;"|"&amp;N1870</f>
        <v>NURSE-10|normal</v>
      </c>
    </row>
    <row r="1871" customFormat="false" ht="15" hidden="false" customHeight="true" outlineLevel="0" collapsed="false">
      <c r="A1871" s="27" t="s">
        <v>104</v>
      </c>
      <c r="B1871" s="41" t="n">
        <v>46303.315625</v>
      </c>
      <c r="C1871" s="27" t="s">
        <v>200</v>
      </c>
      <c r="D1871" s="27" t="n">
        <v>43.5</v>
      </c>
      <c r="E1871" s="27" t="n">
        <v>17.9</v>
      </c>
      <c r="F1871" s="27" t="n">
        <v>29.6</v>
      </c>
      <c r="G1871" s="27" t="n">
        <v>32.1</v>
      </c>
      <c r="H1871" s="27" t="s">
        <v>198</v>
      </c>
      <c r="I1871" s="42" t="n">
        <f aca="false">(D1871-INDEX('Cohort Summary'!$D$5:$D$14,MATCH($A1871,'Cohort Summary'!$A$5:$A$14,0)))/INDEX('Cohort Summary'!$E$5:$E$14,MATCH($A1871,'Cohort Summary'!$A$5:$A$14,0))</f>
        <v>0.181184668989548</v>
      </c>
      <c r="J1871" s="42" t="n">
        <f aca="false">(E1871-INDEX('Cohort Summary'!$F$5:$F$14,MATCH($A1871,'Cohort Summary'!$A$5:$A$14,0)))/INDEX('Cohort Summary'!$G$5:$G$14,MATCH($A1871,'Cohort Summary'!$A$5:$A$14,0))</f>
        <v>-1.16585365853659</v>
      </c>
      <c r="K1871" s="42" t="n">
        <f aca="false">(F1871-INDEX('Cohort Summary'!$H$5:$H$14,MATCH($A1871,'Cohort Summary'!$A$5:$A$14,0)))/INDEX('Cohort Summary'!$I$5:$I$14,MATCH($A1871,'Cohort Summary'!$A$5:$A$14,0))</f>
        <v>-0.0888157894736841</v>
      </c>
      <c r="L1871" s="42" t="n">
        <f aca="false">(G1871-INDEX('Cohort Summary'!$J$5:$J$14,MATCH($A1871,'Cohort Summary'!$A$5:$A$14,0)))/INDEX('Cohort Summary'!$K$5:$K$14,MATCH($A1871,'Cohort Summary'!$A$5:$A$14,0))</f>
        <v>-1.49152542372881</v>
      </c>
      <c r="M1871" s="42" t="n">
        <f aca="false">MAX(I1871:K1871)</f>
        <v>0.181184668989548</v>
      </c>
      <c r="N1871" s="27" t="s">
        <v>197</v>
      </c>
      <c r="O1871" s="27"/>
      <c r="P1871" s="27" t="str">
        <f aca="false">A1871&amp;"|"&amp;N1871</f>
        <v>NURSE-10|normal</v>
      </c>
    </row>
    <row r="1872" customFormat="false" ht="15" hidden="false" customHeight="true" outlineLevel="0" collapsed="false">
      <c r="A1872" s="27" t="s">
        <v>104</v>
      </c>
      <c r="B1872" s="41" t="n">
        <v>46303.3159722222</v>
      </c>
      <c r="C1872" s="27" t="s">
        <v>200</v>
      </c>
      <c r="D1872" s="27" t="n">
        <v>47.3</v>
      </c>
      <c r="E1872" s="27" t="n">
        <v>23.5</v>
      </c>
      <c r="F1872" s="27" t="n">
        <v>32.1</v>
      </c>
      <c r="G1872" s="27" t="n">
        <v>33.7</v>
      </c>
      <c r="H1872" s="27" t="s">
        <v>199</v>
      </c>
      <c r="I1872" s="42" t="n">
        <f aca="false">(D1872-INDEX('Cohort Summary'!$D$5:$D$14,MATCH($A1872,'Cohort Summary'!$A$5:$A$14,0)))/INDEX('Cohort Summary'!$E$5:$E$14,MATCH($A1872,'Cohort Summary'!$A$5:$A$14,0))</f>
        <v>1.50522648083624</v>
      </c>
      <c r="J1872" s="42" t="n">
        <f aca="false">(E1872-INDEX('Cohort Summary'!$F$5:$F$14,MATCH($A1872,'Cohort Summary'!$A$5:$A$14,0)))/INDEX('Cohort Summary'!$G$5:$G$14,MATCH($A1872,'Cohort Summary'!$A$5:$A$14,0))</f>
        <v>1.56585365853659</v>
      </c>
      <c r="K1872" s="42" t="n">
        <f aca="false">(F1872-INDEX('Cohort Summary'!$H$5:$H$14,MATCH($A1872,'Cohort Summary'!$A$5:$A$14,0)))/INDEX('Cohort Summary'!$I$5:$I$14,MATCH($A1872,'Cohort Summary'!$A$5:$A$14,0))</f>
        <v>0.733552631578948</v>
      </c>
      <c r="L1872" s="42" t="n">
        <f aca="false">(G1872-INDEX('Cohort Summary'!$J$5:$J$14,MATCH($A1872,'Cohort Summary'!$A$5:$A$14,0)))/INDEX('Cohort Summary'!$K$5:$K$14,MATCH($A1872,'Cohort Summary'!$A$5:$A$14,0))</f>
        <v>1.22033898305086</v>
      </c>
      <c r="M1872" s="42" t="n">
        <f aca="false">MAX(I1872:K1872)</f>
        <v>1.56585365853659</v>
      </c>
      <c r="N1872" s="27" t="s">
        <v>197</v>
      </c>
      <c r="O1872" s="27"/>
      <c r="P1872" s="27" t="str">
        <f aca="false">A1872&amp;"|"&amp;N1872</f>
        <v>NURSE-10|normal</v>
      </c>
    </row>
    <row r="1873" customFormat="false" ht="15" hidden="false" customHeight="true" outlineLevel="0" collapsed="false">
      <c r="A1873" s="27" t="s">
        <v>104</v>
      </c>
      <c r="B1873" s="41" t="n">
        <v>46303.3163194444</v>
      </c>
      <c r="C1873" s="27" t="s">
        <v>200</v>
      </c>
      <c r="D1873" s="27" t="n">
        <v>38.6</v>
      </c>
      <c r="E1873" s="27" t="n">
        <v>21.2</v>
      </c>
      <c r="F1873" s="27" t="n">
        <v>27.3</v>
      </c>
      <c r="G1873" s="27" t="n">
        <v>32.4</v>
      </c>
      <c r="H1873" s="27" t="s">
        <v>196</v>
      </c>
      <c r="I1873" s="42" t="n">
        <f aca="false">(D1873-INDEX('Cohort Summary'!$D$5:$D$14,MATCH($A1873,'Cohort Summary'!$A$5:$A$14,0)))/INDEX('Cohort Summary'!$E$5:$E$14,MATCH($A1873,'Cohort Summary'!$A$5:$A$14,0))</f>
        <v>-1.52613240418118</v>
      </c>
      <c r="J1873" s="42" t="n">
        <f aca="false">(E1873-INDEX('Cohort Summary'!$F$5:$F$14,MATCH($A1873,'Cohort Summary'!$A$5:$A$14,0)))/INDEX('Cohort Summary'!$G$5:$G$14,MATCH($A1873,'Cohort Summary'!$A$5:$A$14,0))</f>
        <v>0.44390243902439</v>
      </c>
      <c r="K1873" s="42" t="n">
        <f aca="false">(F1873-INDEX('Cohort Summary'!$H$5:$H$14,MATCH($A1873,'Cohort Summary'!$A$5:$A$14,0)))/INDEX('Cohort Summary'!$I$5:$I$14,MATCH($A1873,'Cohort Summary'!$A$5:$A$14,0))</f>
        <v>-0.845394736842105</v>
      </c>
      <c r="L1873" s="42" t="n">
        <f aca="false">(G1873-INDEX('Cohort Summary'!$J$5:$J$14,MATCH($A1873,'Cohort Summary'!$A$5:$A$14,0)))/INDEX('Cohort Summary'!$K$5:$K$14,MATCH($A1873,'Cohort Summary'!$A$5:$A$14,0))</f>
        <v>-0.983050847457624</v>
      </c>
      <c r="M1873" s="42" t="n">
        <f aca="false">MAX(I1873:K1873)</f>
        <v>0.44390243902439</v>
      </c>
      <c r="N1873" s="27" t="s">
        <v>197</v>
      </c>
      <c r="O1873" s="27"/>
      <c r="P1873" s="27" t="str">
        <f aca="false">A1873&amp;"|"&amp;N1873</f>
        <v>NURSE-10|normal</v>
      </c>
    </row>
    <row r="1874" customFormat="false" ht="15" hidden="false" customHeight="true" outlineLevel="0" collapsed="false">
      <c r="A1874" s="27" t="s">
        <v>104</v>
      </c>
      <c r="B1874" s="41" t="n">
        <v>46303.3166666667</v>
      </c>
      <c r="C1874" s="27" t="s">
        <v>200</v>
      </c>
      <c r="D1874" s="27" t="n">
        <v>41.2</v>
      </c>
      <c r="E1874" s="27" t="n">
        <v>22.6</v>
      </c>
      <c r="F1874" s="27" t="n">
        <v>30.5</v>
      </c>
      <c r="G1874" s="27" t="n">
        <v>33.6</v>
      </c>
      <c r="H1874" s="27" t="s">
        <v>198</v>
      </c>
      <c r="I1874" s="42" t="n">
        <f aca="false">(D1874-INDEX('Cohort Summary'!$D$5:$D$14,MATCH($A1874,'Cohort Summary'!$A$5:$A$14,0)))/INDEX('Cohort Summary'!$E$5:$E$14,MATCH($A1874,'Cohort Summary'!$A$5:$A$14,0))</f>
        <v>-0.620209059233447</v>
      </c>
      <c r="J1874" s="42" t="n">
        <f aca="false">(E1874-INDEX('Cohort Summary'!$F$5:$F$14,MATCH($A1874,'Cohort Summary'!$A$5:$A$14,0)))/INDEX('Cohort Summary'!$G$5:$G$14,MATCH($A1874,'Cohort Summary'!$A$5:$A$14,0))</f>
        <v>1.12682926829268</v>
      </c>
      <c r="K1874" s="42" t="n">
        <f aca="false">(F1874-INDEX('Cohort Summary'!$H$5:$H$14,MATCH($A1874,'Cohort Summary'!$A$5:$A$14,0)))/INDEX('Cohort Summary'!$I$5:$I$14,MATCH($A1874,'Cohort Summary'!$A$5:$A$14,0))</f>
        <v>0.207236842105263</v>
      </c>
      <c r="L1874" s="42" t="n">
        <f aca="false">(G1874-INDEX('Cohort Summary'!$J$5:$J$14,MATCH($A1874,'Cohort Summary'!$A$5:$A$14,0)))/INDEX('Cohort Summary'!$K$5:$K$14,MATCH($A1874,'Cohort Summary'!$A$5:$A$14,0))</f>
        <v>1.05084745762713</v>
      </c>
      <c r="M1874" s="42" t="n">
        <f aca="false">MAX(I1874:K1874)</f>
        <v>1.12682926829268</v>
      </c>
      <c r="N1874" s="27" t="s">
        <v>197</v>
      </c>
      <c r="O1874" s="27"/>
      <c r="P1874" s="27" t="str">
        <f aca="false">A1874&amp;"|"&amp;N1874</f>
        <v>NURSE-10|normal</v>
      </c>
    </row>
    <row r="1875" customFormat="false" ht="15" hidden="false" customHeight="true" outlineLevel="0" collapsed="false">
      <c r="A1875" s="27" t="s">
        <v>104</v>
      </c>
      <c r="B1875" s="41" t="n">
        <v>46303.3170138889</v>
      </c>
      <c r="C1875" s="27" t="s">
        <v>200</v>
      </c>
      <c r="D1875" s="27" t="n">
        <v>42.9</v>
      </c>
      <c r="E1875" s="27" t="n">
        <v>19.9</v>
      </c>
      <c r="F1875" s="27" t="n">
        <v>25.1</v>
      </c>
      <c r="G1875" s="27" t="n">
        <v>32.7</v>
      </c>
      <c r="H1875" s="27" t="s">
        <v>196</v>
      </c>
      <c r="I1875" s="42" t="n">
        <f aca="false">(D1875-INDEX('Cohort Summary'!$D$5:$D$14,MATCH($A1875,'Cohort Summary'!$A$5:$A$14,0)))/INDEX('Cohort Summary'!$E$5:$E$14,MATCH($A1875,'Cohort Summary'!$A$5:$A$14,0))</f>
        <v>-0.0278745644599297</v>
      </c>
      <c r="J1875" s="42" t="n">
        <f aca="false">(E1875-INDEX('Cohort Summary'!$F$5:$F$14,MATCH($A1875,'Cohort Summary'!$A$5:$A$14,0)))/INDEX('Cohort Summary'!$G$5:$G$14,MATCH($A1875,'Cohort Summary'!$A$5:$A$14,0))</f>
        <v>-0.190243902439025</v>
      </c>
      <c r="K1875" s="42" t="n">
        <f aca="false">(F1875-INDEX('Cohort Summary'!$H$5:$H$14,MATCH($A1875,'Cohort Summary'!$A$5:$A$14,0)))/INDEX('Cohort Summary'!$I$5:$I$14,MATCH($A1875,'Cohort Summary'!$A$5:$A$14,0))</f>
        <v>-1.56907894736842</v>
      </c>
      <c r="L1875" s="42" t="n">
        <f aca="false">(G1875-INDEX('Cohort Summary'!$J$5:$J$14,MATCH($A1875,'Cohort Summary'!$A$5:$A$14,0)))/INDEX('Cohort Summary'!$K$5:$K$14,MATCH($A1875,'Cohort Summary'!$A$5:$A$14,0))</f>
        <v>-0.474576271186431</v>
      </c>
      <c r="M1875" s="42" t="n">
        <f aca="false">MAX(I1875:K1875)</f>
        <v>-0.0278745644599297</v>
      </c>
      <c r="N1875" s="27" t="s">
        <v>197</v>
      </c>
      <c r="O1875" s="27"/>
      <c r="P1875" s="27" t="str">
        <f aca="false">A1875&amp;"|"&amp;N1875</f>
        <v>NURSE-10|normal</v>
      </c>
    </row>
    <row r="1876" customFormat="false" ht="15" hidden="false" customHeight="true" outlineLevel="0" collapsed="false">
      <c r="A1876" s="27" t="s">
        <v>104</v>
      </c>
      <c r="B1876" s="41" t="n">
        <v>46303.3173611111</v>
      </c>
      <c r="C1876" s="27" t="s">
        <v>200</v>
      </c>
      <c r="D1876" s="27" t="n">
        <v>42.9</v>
      </c>
      <c r="E1876" s="27" t="n">
        <v>18.3</v>
      </c>
      <c r="F1876" s="27" t="n">
        <v>33.8</v>
      </c>
      <c r="G1876" s="27" t="n">
        <v>33.4</v>
      </c>
      <c r="H1876" s="27" t="s">
        <v>198</v>
      </c>
      <c r="I1876" s="42" t="n">
        <f aca="false">(D1876-INDEX('Cohort Summary'!$D$5:$D$14,MATCH($A1876,'Cohort Summary'!$A$5:$A$14,0)))/INDEX('Cohort Summary'!$E$5:$E$14,MATCH($A1876,'Cohort Summary'!$A$5:$A$14,0))</f>
        <v>-0.0278745644599297</v>
      </c>
      <c r="J1876" s="42" t="n">
        <f aca="false">(E1876-INDEX('Cohort Summary'!$F$5:$F$14,MATCH($A1876,'Cohort Summary'!$A$5:$A$14,0)))/INDEX('Cohort Summary'!$G$5:$G$14,MATCH($A1876,'Cohort Summary'!$A$5:$A$14,0))</f>
        <v>-0.970731707317073</v>
      </c>
      <c r="K1876" s="42" t="n">
        <f aca="false">(F1876-INDEX('Cohort Summary'!$H$5:$H$14,MATCH($A1876,'Cohort Summary'!$A$5:$A$14,0)))/INDEX('Cohort Summary'!$I$5:$I$14,MATCH($A1876,'Cohort Summary'!$A$5:$A$14,0))</f>
        <v>1.29276315789474</v>
      </c>
      <c r="L1876" s="42" t="n">
        <f aca="false">(G1876-INDEX('Cohort Summary'!$J$5:$J$14,MATCH($A1876,'Cohort Summary'!$A$5:$A$14,0)))/INDEX('Cohort Summary'!$K$5:$K$14,MATCH($A1876,'Cohort Summary'!$A$5:$A$14,0))</f>
        <v>0.711864406779664</v>
      </c>
      <c r="M1876" s="42" t="n">
        <f aca="false">MAX(I1876:K1876)</f>
        <v>1.29276315789474</v>
      </c>
      <c r="N1876" s="27" t="s">
        <v>197</v>
      </c>
      <c r="O1876" s="27"/>
      <c r="P1876" s="27" t="str">
        <f aca="false">A1876&amp;"|"&amp;N1876</f>
        <v>NURSE-10|normal</v>
      </c>
    </row>
    <row r="1877" customFormat="false" ht="15" hidden="false" customHeight="true" outlineLevel="0" collapsed="false">
      <c r="A1877" s="27" t="s">
        <v>104</v>
      </c>
      <c r="B1877" s="41" t="n">
        <v>46303.3177083333</v>
      </c>
      <c r="C1877" s="27" t="s">
        <v>200</v>
      </c>
      <c r="D1877" s="27" t="n">
        <v>53.1</v>
      </c>
      <c r="E1877" s="27" t="n">
        <v>22.6</v>
      </c>
      <c r="F1877" s="27" t="n">
        <v>35.9</v>
      </c>
      <c r="G1877" s="27" t="n">
        <v>34.4</v>
      </c>
      <c r="H1877" s="27" t="s">
        <v>198</v>
      </c>
      <c r="I1877" s="42" t="n">
        <f aca="false">(D1877-INDEX('Cohort Summary'!$D$5:$D$14,MATCH($A1877,'Cohort Summary'!$A$5:$A$14,0)))/INDEX('Cohort Summary'!$E$5:$E$14,MATCH($A1877,'Cohort Summary'!$A$5:$A$14,0))</f>
        <v>3.52613240418119</v>
      </c>
      <c r="J1877" s="42" t="n">
        <f aca="false">(E1877-INDEX('Cohort Summary'!$F$5:$F$14,MATCH($A1877,'Cohort Summary'!$A$5:$A$14,0)))/INDEX('Cohort Summary'!$G$5:$G$14,MATCH($A1877,'Cohort Summary'!$A$5:$A$14,0))</f>
        <v>1.12682926829268</v>
      </c>
      <c r="K1877" s="42" t="n">
        <f aca="false">(F1877-INDEX('Cohort Summary'!$H$5:$H$14,MATCH($A1877,'Cohort Summary'!$A$5:$A$14,0)))/INDEX('Cohort Summary'!$I$5:$I$14,MATCH($A1877,'Cohort Summary'!$A$5:$A$14,0))</f>
        <v>1.98355263157895</v>
      </c>
      <c r="L1877" s="42" t="n">
        <f aca="false">(G1877-INDEX('Cohort Summary'!$J$5:$J$14,MATCH($A1877,'Cohort Summary'!$A$5:$A$14,0)))/INDEX('Cohort Summary'!$K$5:$K$14,MATCH($A1877,'Cohort Summary'!$A$5:$A$14,0))</f>
        <v>2.40677966101695</v>
      </c>
      <c r="M1877" s="42" t="n">
        <f aca="false">MAX(I1877:K1877)</f>
        <v>3.52613240418119</v>
      </c>
      <c r="N1877" s="27" t="s">
        <v>212</v>
      </c>
      <c r="O1877" s="27" t="s">
        <v>332</v>
      </c>
      <c r="P1877" s="27" t="str">
        <f aca="false">A1877&amp;"|"&amp;N1877</f>
        <v>NURSE-10|alert</v>
      </c>
    </row>
    <row r="1878" customFormat="false" ht="15" hidden="false" customHeight="true" outlineLevel="0" collapsed="false">
      <c r="A1878" s="27" t="s">
        <v>104</v>
      </c>
      <c r="B1878" s="41" t="n">
        <v>46303.3180555556</v>
      </c>
      <c r="C1878" s="27" t="s">
        <v>200</v>
      </c>
      <c r="D1878" s="27" t="n">
        <v>49.2</v>
      </c>
      <c r="E1878" s="27" t="n">
        <v>22.7</v>
      </c>
      <c r="F1878" s="27" t="n">
        <v>37.8</v>
      </c>
      <c r="G1878" s="27" t="n">
        <v>33.6</v>
      </c>
      <c r="H1878" s="27" t="s">
        <v>196</v>
      </c>
      <c r="I1878" s="42" t="n">
        <f aca="false">(D1878-INDEX('Cohort Summary'!$D$5:$D$14,MATCH($A1878,'Cohort Summary'!$A$5:$A$14,0)))/INDEX('Cohort Summary'!$E$5:$E$14,MATCH($A1878,'Cohort Summary'!$A$5:$A$14,0))</f>
        <v>2.16724738675958</v>
      </c>
      <c r="J1878" s="42" t="n">
        <f aca="false">(E1878-INDEX('Cohort Summary'!$F$5:$F$14,MATCH($A1878,'Cohort Summary'!$A$5:$A$14,0)))/INDEX('Cohort Summary'!$G$5:$G$14,MATCH($A1878,'Cohort Summary'!$A$5:$A$14,0))</f>
        <v>1.17560975609756</v>
      </c>
      <c r="K1878" s="42" t="n">
        <f aca="false">(F1878-INDEX('Cohort Summary'!$H$5:$H$14,MATCH($A1878,'Cohort Summary'!$A$5:$A$14,0)))/INDEX('Cohort Summary'!$I$5:$I$14,MATCH($A1878,'Cohort Summary'!$A$5:$A$14,0))</f>
        <v>2.60855263157895</v>
      </c>
      <c r="L1878" s="42" t="n">
        <f aca="false">(G1878-INDEX('Cohort Summary'!$J$5:$J$14,MATCH($A1878,'Cohort Summary'!$A$5:$A$14,0)))/INDEX('Cohort Summary'!$K$5:$K$14,MATCH($A1878,'Cohort Summary'!$A$5:$A$14,0))</f>
        <v>1.05084745762713</v>
      </c>
      <c r="M1878" s="42" t="n">
        <f aca="false">MAX(I1878:K1878)</f>
        <v>2.60855263157895</v>
      </c>
      <c r="N1878" s="27" t="s">
        <v>201</v>
      </c>
      <c r="O1878" s="27" t="s">
        <v>333</v>
      </c>
      <c r="P1878" s="27" t="str">
        <f aca="false">A1878&amp;"|"&amp;N1878</f>
        <v>NURSE-10|caution</v>
      </c>
    </row>
    <row r="1879" customFormat="false" ht="15" hidden="false" customHeight="true" outlineLevel="0" collapsed="false">
      <c r="A1879" s="27" t="s">
        <v>104</v>
      </c>
      <c r="B1879" s="41" t="n">
        <v>46303.3184027778</v>
      </c>
      <c r="C1879" s="27" t="s">
        <v>200</v>
      </c>
      <c r="D1879" s="27" t="n">
        <v>54.6</v>
      </c>
      <c r="E1879" s="27" t="n">
        <v>23.5</v>
      </c>
      <c r="F1879" s="27" t="n">
        <v>35.1</v>
      </c>
      <c r="G1879" s="27" t="n">
        <v>34.4</v>
      </c>
      <c r="H1879" s="27" t="s">
        <v>198</v>
      </c>
      <c r="I1879" s="42" t="n">
        <f aca="false">(D1879-INDEX('Cohort Summary'!$D$5:$D$14,MATCH($A1879,'Cohort Summary'!$A$5:$A$14,0)))/INDEX('Cohort Summary'!$E$5:$E$14,MATCH($A1879,'Cohort Summary'!$A$5:$A$14,0))</f>
        <v>4.04878048780488</v>
      </c>
      <c r="J1879" s="42" t="n">
        <f aca="false">(E1879-INDEX('Cohort Summary'!$F$5:$F$14,MATCH($A1879,'Cohort Summary'!$A$5:$A$14,0)))/INDEX('Cohort Summary'!$G$5:$G$14,MATCH($A1879,'Cohort Summary'!$A$5:$A$14,0))</f>
        <v>1.56585365853659</v>
      </c>
      <c r="K1879" s="42" t="n">
        <f aca="false">(F1879-INDEX('Cohort Summary'!$H$5:$H$14,MATCH($A1879,'Cohort Summary'!$A$5:$A$14,0)))/INDEX('Cohort Summary'!$I$5:$I$14,MATCH($A1879,'Cohort Summary'!$A$5:$A$14,0))</f>
        <v>1.72039473684211</v>
      </c>
      <c r="L1879" s="42" t="n">
        <f aca="false">(G1879-INDEX('Cohort Summary'!$J$5:$J$14,MATCH($A1879,'Cohort Summary'!$A$5:$A$14,0)))/INDEX('Cohort Summary'!$K$5:$K$14,MATCH($A1879,'Cohort Summary'!$A$5:$A$14,0))</f>
        <v>2.40677966101695</v>
      </c>
      <c r="M1879" s="42" t="n">
        <f aca="false">MAX(I1879:K1879)</f>
        <v>4.04878048780488</v>
      </c>
      <c r="N1879" s="27" t="s">
        <v>212</v>
      </c>
      <c r="O1879" s="27" t="s">
        <v>334</v>
      </c>
      <c r="P1879" s="27" t="str">
        <f aca="false">A1879&amp;"|"&amp;N1879</f>
        <v>NURSE-10|alert</v>
      </c>
    </row>
    <row r="1880" customFormat="false" ht="15" hidden="false" customHeight="true" outlineLevel="0" collapsed="false">
      <c r="A1880" s="27" t="s">
        <v>104</v>
      </c>
      <c r="B1880" s="41" t="n">
        <v>46303.31875</v>
      </c>
      <c r="C1880" s="27" t="s">
        <v>200</v>
      </c>
      <c r="D1880" s="27" t="n">
        <v>52</v>
      </c>
      <c r="E1880" s="27" t="n">
        <v>19.5</v>
      </c>
      <c r="F1880" s="27" t="n">
        <v>37.1</v>
      </c>
      <c r="G1880" s="27" t="n">
        <v>34.6</v>
      </c>
      <c r="H1880" s="27" t="s">
        <v>198</v>
      </c>
      <c r="I1880" s="42" t="n">
        <f aca="false">(D1880-INDEX('Cohort Summary'!$D$5:$D$14,MATCH($A1880,'Cohort Summary'!$A$5:$A$14,0)))/INDEX('Cohort Summary'!$E$5:$E$14,MATCH($A1880,'Cohort Summary'!$A$5:$A$14,0))</f>
        <v>3.14285714285714</v>
      </c>
      <c r="J1880" s="42" t="n">
        <f aca="false">(E1880-INDEX('Cohort Summary'!$F$5:$F$14,MATCH($A1880,'Cohort Summary'!$A$5:$A$14,0)))/INDEX('Cohort Summary'!$G$5:$G$14,MATCH($A1880,'Cohort Summary'!$A$5:$A$14,0))</f>
        <v>-0.385365853658536</v>
      </c>
      <c r="K1880" s="42" t="n">
        <f aca="false">(F1880-INDEX('Cohort Summary'!$H$5:$H$14,MATCH($A1880,'Cohort Summary'!$A$5:$A$14,0)))/INDEX('Cohort Summary'!$I$5:$I$14,MATCH($A1880,'Cohort Summary'!$A$5:$A$14,0))</f>
        <v>2.37828947368421</v>
      </c>
      <c r="L1880" s="42" t="n">
        <f aca="false">(G1880-INDEX('Cohort Summary'!$J$5:$J$14,MATCH($A1880,'Cohort Summary'!$A$5:$A$14,0)))/INDEX('Cohort Summary'!$K$5:$K$14,MATCH($A1880,'Cohort Summary'!$A$5:$A$14,0))</f>
        <v>2.74576271186441</v>
      </c>
      <c r="M1880" s="42" t="n">
        <f aca="false">MAX(I1880:K1880)</f>
        <v>3.14285714285714</v>
      </c>
      <c r="N1880" s="27" t="s">
        <v>212</v>
      </c>
      <c r="O1880" s="27" t="s">
        <v>335</v>
      </c>
      <c r="P1880" s="27" t="str">
        <f aca="false">A1880&amp;"|"&amp;N1880</f>
        <v>NURSE-10|alert</v>
      </c>
    </row>
    <row r="1881" customFormat="false" ht="15" hidden="false" customHeight="true" outlineLevel="0" collapsed="false">
      <c r="A1881" s="27" t="s">
        <v>104</v>
      </c>
      <c r="B1881" s="41" t="n">
        <v>46303.3190972222</v>
      </c>
      <c r="C1881" s="27" t="s">
        <v>200</v>
      </c>
      <c r="D1881" s="27" t="n">
        <v>49.4</v>
      </c>
      <c r="E1881" s="27" t="n">
        <v>18.9</v>
      </c>
      <c r="F1881" s="27" t="n">
        <v>34.7</v>
      </c>
      <c r="G1881" s="27" t="n">
        <v>33.8</v>
      </c>
      <c r="H1881" s="27" t="s">
        <v>199</v>
      </c>
      <c r="I1881" s="42" t="n">
        <f aca="false">(D1881-INDEX('Cohort Summary'!$D$5:$D$14,MATCH($A1881,'Cohort Summary'!$A$5:$A$14,0)))/INDEX('Cohort Summary'!$E$5:$E$14,MATCH($A1881,'Cohort Summary'!$A$5:$A$14,0))</f>
        <v>2.23693379790941</v>
      </c>
      <c r="J1881" s="42" t="n">
        <f aca="false">(E1881-INDEX('Cohort Summary'!$F$5:$F$14,MATCH($A1881,'Cohort Summary'!$A$5:$A$14,0)))/INDEX('Cohort Summary'!$G$5:$G$14,MATCH($A1881,'Cohort Summary'!$A$5:$A$14,0))</f>
        <v>-0.678048780487805</v>
      </c>
      <c r="K1881" s="42" t="n">
        <f aca="false">(F1881-INDEX('Cohort Summary'!$H$5:$H$14,MATCH($A1881,'Cohort Summary'!$A$5:$A$14,0)))/INDEX('Cohort Summary'!$I$5:$I$14,MATCH($A1881,'Cohort Summary'!$A$5:$A$14,0))</f>
        <v>1.58881578947368</v>
      </c>
      <c r="L1881" s="42" t="n">
        <f aca="false">(G1881-INDEX('Cohort Summary'!$J$5:$J$14,MATCH($A1881,'Cohort Summary'!$A$5:$A$14,0)))/INDEX('Cohort Summary'!$K$5:$K$14,MATCH($A1881,'Cohort Summary'!$A$5:$A$14,0))</f>
        <v>1.38983050847458</v>
      </c>
      <c r="M1881" s="42" t="n">
        <f aca="false">MAX(I1881:K1881)</f>
        <v>2.23693379790941</v>
      </c>
      <c r="N1881" s="27" t="s">
        <v>201</v>
      </c>
      <c r="O1881" s="27" t="s">
        <v>336</v>
      </c>
      <c r="P1881" s="27" t="str">
        <f aca="false">A1881&amp;"|"&amp;N1881</f>
        <v>NURSE-10|caution</v>
      </c>
    </row>
    <row r="1882" customFormat="false" ht="15" hidden="false" customHeight="true" outlineLevel="0" collapsed="false">
      <c r="A1882" s="27" t="s">
        <v>104</v>
      </c>
      <c r="B1882" s="41" t="n">
        <v>46303.3194444445</v>
      </c>
      <c r="C1882" s="27" t="s">
        <v>200</v>
      </c>
      <c r="D1882" s="27" t="n">
        <v>52.8</v>
      </c>
      <c r="E1882" s="27" t="n">
        <v>19.2</v>
      </c>
      <c r="F1882" s="27" t="n">
        <v>37</v>
      </c>
      <c r="G1882" s="27" t="n">
        <v>34.1</v>
      </c>
      <c r="H1882" s="27" t="s">
        <v>198</v>
      </c>
      <c r="I1882" s="42" t="n">
        <f aca="false">(D1882-INDEX('Cohort Summary'!$D$5:$D$14,MATCH($A1882,'Cohort Summary'!$A$5:$A$14,0)))/INDEX('Cohort Summary'!$E$5:$E$14,MATCH($A1882,'Cohort Summary'!$A$5:$A$14,0))</f>
        <v>3.42160278745645</v>
      </c>
      <c r="J1882" s="42" t="n">
        <f aca="false">(E1882-INDEX('Cohort Summary'!$F$5:$F$14,MATCH($A1882,'Cohort Summary'!$A$5:$A$14,0)))/INDEX('Cohort Summary'!$G$5:$G$14,MATCH($A1882,'Cohort Summary'!$A$5:$A$14,0))</f>
        <v>-0.531707317073171</v>
      </c>
      <c r="K1882" s="42" t="n">
        <f aca="false">(F1882-INDEX('Cohort Summary'!$H$5:$H$14,MATCH($A1882,'Cohort Summary'!$A$5:$A$14,0)))/INDEX('Cohort Summary'!$I$5:$I$14,MATCH($A1882,'Cohort Summary'!$A$5:$A$14,0))</f>
        <v>2.34539473684211</v>
      </c>
      <c r="L1882" s="42" t="n">
        <f aca="false">(G1882-INDEX('Cohort Summary'!$J$5:$J$14,MATCH($A1882,'Cohort Summary'!$A$5:$A$14,0)))/INDEX('Cohort Summary'!$K$5:$K$14,MATCH($A1882,'Cohort Summary'!$A$5:$A$14,0))</f>
        <v>1.89830508474577</v>
      </c>
      <c r="M1882" s="42" t="n">
        <f aca="false">MAX(I1882:K1882)</f>
        <v>3.42160278745645</v>
      </c>
      <c r="N1882" s="27" t="s">
        <v>212</v>
      </c>
      <c r="O1882" s="27" t="s">
        <v>337</v>
      </c>
      <c r="P1882" s="27" t="str">
        <f aca="false">A1882&amp;"|"&amp;N1882</f>
        <v>NURSE-10|alert</v>
      </c>
    </row>
    <row r="1883" customFormat="false" ht="15" hidden="false" customHeight="true" outlineLevel="0" collapsed="false">
      <c r="A1883" s="27" t="s">
        <v>104</v>
      </c>
      <c r="B1883" s="41" t="n">
        <v>46303.3197916667</v>
      </c>
      <c r="C1883" s="27" t="s">
        <v>200</v>
      </c>
      <c r="D1883" s="27" t="n">
        <v>45.9</v>
      </c>
      <c r="E1883" s="27" t="n">
        <v>21.8</v>
      </c>
      <c r="F1883" s="27" t="n">
        <v>34.3</v>
      </c>
      <c r="G1883" s="27" t="n">
        <v>33.8</v>
      </c>
      <c r="H1883" s="27" t="s">
        <v>196</v>
      </c>
      <c r="I1883" s="42" t="n">
        <f aca="false">(D1883-INDEX('Cohort Summary'!$D$5:$D$14,MATCH($A1883,'Cohort Summary'!$A$5:$A$14,0)))/INDEX('Cohort Summary'!$E$5:$E$14,MATCH($A1883,'Cohort Summary'!$A$5:$A$14,0))</f>
        <v>1.01742160278746</v>
      </c>
      <c r="J1883" s="42" t="n">
        <f aca="false">(E1883-INDEX('Cohort Summary'!$F$5:$F$14,MATCH($A1883,'Cohort Summary'!$A$5:$A$14,0)))/INDEX('Cohort Summary'!$G$5:$G$14,MATCH($A1883,'Cohort Summary'!$A$5:$A$14,0))</f>
        <v>0.736585365853659</v>
      </c>
      <c r="K1883" s="42" t="n">
        <f aca="false">(F1883-INDEX('Cohort Summary'!$H$5:$H$14,MATCH($A1883,'Cohort Summary'!$A$5:$A$14,0)))/INDEX('Cohort Summary'!$I$5:$I$14,MATCH($A1883,'Cohort Summary'!$A$5:$A$14,0))</f>
        <v>1.45723684210526</v>
      </c>
      <c r="L1883" s="42" t="n">
        <f aca="false">(G1883-INDEX('Cohort Summary'!$J$5:$J$14,MATCH($A1883,'Cohort Summary'!$A$5:$A$14,0)))/INDEX('Cohort Summary'!$K$5:$K$14,MATCH($A1883,'Cohort Summary'!$A$5:$A$14,0))</f>
        <v>1.38983050847458</v>
      </c>
      <c r="M1883" s="42" t="n">
        <f aca="false">MAX(I1883:K1883)</f>
        <v>1.45723684210526</v>
      </c>
      <c r="N1883" s="27" t="s">
        <v>197</v>
      </c>
      <c r="O1883" s="27"/>
      <c r="P1883" s="27" t="str">
        <f aca="false">A1883&amp;"|"&amp;N1883</f>
        <v>NURSE-10|normal</v>
      </c>
    </row>
    <row r="1884" customFormat="false" ht="15" hidden="false" customHeight="true" outlineLevel="0" collapsed="false">
      <c r="A1884" s="27" t="s">
        <v>104</v>
      </c>
      <c r="B1884" s="41" t="n">
        <v>46303.3201388889</v>
      </c>
      <c r="C1884" s="27" t="s">
        <v>200</v>
      </c>
      <c r="D1884" s="27" t="n">
        <v>46.9</v>
      </c>
      <c r="E1884" s="27" t="n">
        <v>23.8</v>
      </c>
      <c r="F1884" s="27" t="n">
        <v>33.1</v>
      </c>
      <c r="G1884" s="27" t="n">
        <v>32.1</v>
      </c>
      <c r="H1884" s="27" t="s">
        <v>199</v>
      </c>
      <c r="I1884" s="42" t="n">
        <f aca="false">(D1884-INDEX('Cohort Summary'!$D$5:$D$14,MATCH($A1884,'Cohort Summary'!$A$5:$A$14,0)))/INDEX('Cohort Summary'!$E$5:$E$14,MATCH($A1884,'Cohort Summary'!$A$5:$A$14,0))</f>
        <v>1.36585365853659</v>
      </c>
      <c r="J1884" s="42" t="n">
        <f aca="false">(E1884-INDEX('Cohort Summary'!$F$5:$F$14,MATCH($A1884,'Cohort Summary'!$A$5:$A$14,0)))/INDEX('Cohort Summary'!$G$5:$G$14,MATCH($A1884,'Cohort Summary'!$A$5:$A$14,0))</f>
        <v>1.71219512195122</v>
      </c>
      <c r="K1884" s="42" t="n">
        <f aca="false">(F1884-INDEX('Cohort Summary'!$H$5:$H$14,MATCH($A1884,'Cohort Summary'!$A$5:$A$14,0)))/INDEX('Cohort Summary'!$I$5:$I$14,MATCH($A1884,'Cohort Summary'!$A$5:$A$14,0))</f>
        <v>1.0625</v>
      </c>
      <c r="L1884" s="42" t="n">
        <f aca="false">(G1884-INDEX('Cohort Summary'!$J$5:$J$14,MATCH($A1884,'Cohort Summary'!$A$5:$A$14,0)))/INDEX('Cohort Summary'!$K$5:$K$14,MATCH($A1884,'Cohort Summary'!$A$5:$A$14,0))</f>
        <v>-1.49152542372881</v>
      </c>
      <c r="M1884" s="42" t="n">
        <f aca="false">MAX(I1884:K1884)</f>
        <v>1.71219512195122</v>
      </c>
      <c r="N1884" s="27" t="s">
        <v>197</v>
      </c>
      <c r="O1884" s="27"/>
      <c r="P1884" s="27" t="str">
        <f aca="false">A1884&amp;"|"&amp;N1884</f>
        <v>NURSE-10|normal</v>
      </c>
    </row>
    <row r="1885" customFormat="false" ht="15" hidden="false" customHeight="true" outlineLevel="0" collapsed="false">
      <c r="A1885" s="27" t="s">
        <v>104</v>
      </c>
      <c r="B1885" s="41" t="n">
        <v>46303.3204861111</v>
      </c>
      <c r="C1885" s="27" t="s">
        <v>200</v>
      </c>
      <c r="D1885" s="27" t="n">
        <v>42.2</v>
      </c>
      <c r="E1885" s="27" t="n">
        <v>18.3</v>
      </c>
      <c r="F1885" s="27" t="n">
        <v>29.4</v>
      </c>
      <c r="G1885" s="27" t="n">
        <v>32.8</v>
      </c>
      <c r="H1885" s="27" t="s">
        <v>196</v>
      </c>
      <c r="I1885" s="42" t="n">
        <f aca="false">(D1885-INDEX('Cohort Summary'!$D$5:$D$14,MATCH($A1885,'Cohort Summary'!$A$5:$A$14,0)))/INDEX('Cohort Summary'!$E$5:$E$14,MATCH($A1885,'Cohort Summary'!$A$5:$A$14,0))</f>
        <v>-0.271777003484319</v>
      </c>
      <c r="J1885" s="42" t="n">
        <f aca="false">(E1885-INDEX('Cohort Summary'!$F$5:$F$14,MATCH($A1885,'Cohort Summary'!$A$5:$A$14,0)))/INDEX('Cohort Summary'!$G$5:$G$14,MATCH($A1885,'Cohort Summary'!$A$5:$A$14,0))</f>
        <v>-0.970731707317073</v>
      </c>
      <c r="K1885" s="42" t="n">
        <f aca="false">(F1885-INDEX('Cohort Summary'!$H$5:$H$14,MATCH($A1885,'Cohort Summary'!$A$5:$A$14,0)))/INDEX('Cohort Summary'!$I$5:$I$14,MATCH($A1885,'Cohort Summary'!$A$5:$A$14,0))</f>
        <v>-0.154605263157896</v>
      </c>
      <c r="L1885" s="42" t="n">
        <f aca="false">(G1885-INDEX('Cohort Summary'!$J$5:$J$14,MATCH($A1885,'Cohort Summary'!$A$5:$A$14,0)))/INDEX('Cohort Summary'!$K$5:$K$14,MATCH($A1885,'Cohort Summary'!$A$5:$A$14,0))</f>
        <v>-0.305084745762711</v>
      </c>
      <c r="M1885" s="42" t="n">
        <f aca="false">MAX(I1885:K1885)</f>
        <v>-0.154605263157896</v>
      </c>
      <c r="N1885" s="27" t="s">
        <v>197</v>
      </c>
      <c r="O1885" s="27"/>
      <c r="P1885" s="27" t="str">
        <f aca="false">A1885&amp;"|"&amp;N1885</f>
        <v>NURSE-10|normal</v>
      </c>
    </row>
    <row r="1886" customFormat="false" ht="15" hidden="false" customHeight="true" outlineLevel="0" collapsed="false">
      <c r="A1886" s="27" t="s">
        <v>104</v>
      </c>
      <c r="B1886" s="41" t="n">
        <v>46303.3208333333</v>
      </c>
      <c r="C1886" s="27" t="s">
        <v>200</v>
      </c>
      <c r="D1886" s="27" t="n">
        <v>43.8</v>
      </c>
      <c r="E1886" s="27" t="n">
        <v>17.7</v>
      </c>
      <c r="F1886" s="27" t="n">
        <v>26.3</v>
      </c>
      <c r="G1886" s="27" t="n">
        <v>33.4</v>
      </c>
      <c r="H1886" s="27" t="s">
        <v>199</v>
      </c>
      <c r="I1886" s="42" t="n">
        <f aca="false">(D1886-INDEX('Cohort Summary'!$D$5:$D$14,MATCH($A1886,'Cohort Summary'!$A$5:$A$14,0)))/INDEX('Cohort Summary'!$E$5:$E$14,MATCH($A1886,'Cohort Summary'!$A$5:$A$14,0))</f>
        <v>0.285714285714286</v>
      </c>
      <c r="J1886" s="42" t="n">
        <f aca="false">(E1886-INDEX('Cohort Summary'!$F$5:$F$14,MATCH($A1886,'Cohort Summary'!$A$5:$A$14,0)))/INDEX('Cohort Summary'!$G$5:$G$14,MATCH($A1886,'Cohort Summary'!$A$5:$A$14,0))</f>
        <v>-1.26341463414634</v>
      </c>
      <c r="K1886" s="42" t="n">
        <f aca="false">(F1886-INDEX('Cohort Summary'!$H$5:$H$14,MATCH($A1886,'Cohort Summary'!$A$5:$A$14,0)))/INDEX('Cohort Summary'!$I$5:$I$14,MATCH($A1886,'Cohort Summary'!$A$5:$A$14,0))</f>
        <v>-1.17434210526316</v>
      </c>
      <c r="L1886" s="42" t="n">
        <f aca="false">(G1886-INDEX('Cohort Summary'!$J$5:$J$14,MATCH($A1886,'Cohort Summary'!$A$5:$A$14,0)))/INDEX('Cohort Summary'!$K$5:$K$14,MATCH($A1886,'Cohort Summary'!$A$5:$A$14,0))</f>
        <v>0.711864406779664</v>
      </c>
      <c r="M1886" s="42" t="n">
        <f aca="false">MAX(I1886:K1886)</f>
        <v>0.285714285714286</v>
      </c>
      <c r="N1886" s="27" t="s">
        <v>197</v>
      </c>
      <c r="O1886" s="27"/>
      <c r="P1886" s="27" t="str">
        <f aca="false">A1886&amp;"|"&amp;N1886</f>
        <v>NURSE-10|normal</v>
      </c>
    </row>
    <row r="1887" customFormat="false" ht="15" hidden="false" customHeight="true" outlineLevel="0" collapsed="false">
      <c r="A1887" s="27" t="s">
        <v>104</v>
      </c>
      <c r="B1887" s="41" t="n">
        <v>46303.3211805556</v>
      </c>
      <c r="C1887" s="27" t="s">
        <v>200</v>
      </c>
      <c r="D1887" s="27" t="n">
        <v>38.2</v>
      </c>
      <c r="E1887" s="27" t="n">
        <v>18.1</v>
      </c>
      <c r="F1887" s="27" t="n">
        <v>29.5</v>
      </c>
      <c r="G1887" s="27" t="n">
        <v>33.4</v>
      </c>
      <c r="H1887" s="27" t="s">
        <v>198</v>
      </c>
      <c r="I1887" s="42" t="n">
        <f aca="false">(D1887-INDEX('Cohort Summary'!$D$5:$D$14,MATCH($A1887,'Cohort Summary'!$A$5:$A$14,0)))/INDEX('Cohort Summary'!$E$5:$E$14,MATCH($A1887,'Cohort Summary'!$A$5:$A$14,0))</f>
        <v>-1.66550522648083</v>
      </c>
      <c r="J1887" s="42" t="n">
        <f aca="false">(E1887-INDEX('Cohort Summary'!$F$5:$F$14,MATCH($A1887,'Cohort Summary'!$A$5:$A$14,0)))/INDEX('Cohort Summary'!$G$5:$G$14,MATCH($A1887,'Cohort Summary'!$A$5:$A$14,0))</f>
        <v>-1.06829268292683</v>
      </c>
      <c r="K1887" s="42" t="n">
        <f aca="false">(F1887-INDEX('Cohort Summary'!$H$5:$H$14,MATCH($A1887,'Cohort Summary'!$A$5:$A$14,0)))/INDEX('Cohort Summary'!$I$5:$I$14,MATCH($A1887,'Cohort Summary'!$A$5:$A$14,0))</f>
        <v>-0.12171052631579</v>
      </c>
      <c r="L1887" s="42" t="n">
        <f aca="false">(G1887-INDEX('Cohort Summary'!$J$5:$J$14,MATCH($A1887,'Cohort Summary'!$A$5:$A$14,0)))/INDEX('Cohort Summary'!$K$5:$K$14,MATCH($A1887,'Cohort Summary'!$A$5:$A$14,0))</f>
        <v>0.711864406779664</v>
      </c>
      <c r="M1887" s="42" t="n">
        <f aca="false">MAX(I1887:K1887)</f>
        <v>-0.12171052631579</v>
      </c>
      <c r="N1887" s="27" t="s">
        <v>197</v>
      </c>
      <c r="O1887" s="27"/>
      <c r="P1887" s="27" t="str">
        <f aca="false">A1887&amp;"|"&amp;N1887</f>
        <v>NURSE-10|normal</v>
      </c>
    </row>
    <row r="1888" customFormat="false" ht="15" hidden="false" customHeight="true" outlineLevel="0" collapsed="false">
      <c r="A1888" s="27" t="s">
        <v>104</v>
      </c>
      <c r="B1888" s="41" t="n">
        <v>46303.3215277778</v>
      </c>
      <c r="C1888" s="27" t="s">
        <v>200</v>
      </c>
      <c r="D1888" s="27" t="n">
        <v>41</v>
      </c>
      <c r="E1888" s="27" t="n">
        <v>20.3</v>
      </c>
      <c r="F1888" s="27" t="n">
        <v>34.5</v>
      </c>
      <c r="G1888" s="27" t="n">
        <v>33.7</v>
      </c>
      <c r="H1888" s="27" t="s">
        <v>198</v>
      </c>
      <c r="I1888" s="42" t="n">
        <f aca="false">(D1888-INDEX('Cohort Summary'!$D$5:$D$14,MATCH($A1888,'Cohort Summary'!$A$5:$A$14,0)))/INDEX('Cohort Summary'!$E$5:$E$14,MATCH($A1888,'Cohort Summary'!$A$5:$A$14,0))</f>
        <v>-0.689895470383274</v>
      </c>
      <c r="J1888" s="42" t="n">
        <f aca="false">(E1888-INDEX('Cohort Summary'!$F$5:$F$14,MATCH($A1888,'Cohort Summary'!$A$5:$A$14,0)))/INDEX('Cohort Summary'!$G$5:$G$14,MATCH($A1888,'Cohort Summary'!$A$5:$A$14,0))</f>
        <v>0.00487804878048857</v>
      </c>
      <c r="K1888" s="42" t="n">
        <f aca="false">(F1888-INDEX('Cohort Summary'!$H$5:$H$14,MATCH($A1888,'Cohort Summary'!$A$5:$A$14,0)))/INDEX('Cohort Summary'!$I$5:$I$14,MATCH($A1888,'Cohort Summary'!$A$5:$A$14,0))</f>
        <v>1.52302631578947</v>
      </c>
      <c r="L1888" s="42" t="n">
        <f aca="false">(G1888-INDEX('Cohort Summary'!$J$5:$J$14,MATCH($A1888,'Cohort Summary'!$A$5:$A$14,0)))/INDEX('Cohort Summary'!$K$5:$K$14,MATCH($A1888,'Cohort Summary'!$A$5:$A$14,0))</f>
        <v>1.22033898305086</v>
      </c>
      <c r="M1888" s="42" t="n">
        <f aca="false">MAX(I1888:K1888)</f>
        <v>1.52302631578947</v>
      </c>
      <c r="N1888" s="27" t="s">
        <v>197</v>
      </c>
      <c r="O1888" s="27"/>
      <c r="P1888" s="27" t="str">
        <f aca="false">A1888&amp;"|"&amp;N1888</f>
        <v>NURSE-10|normal</v>
      </c>
    </row>
    <row r="1889" customFormat="false" ht="15" hidden="false" customHeight="true" outlineLevel="0" collapsed="false">
      <c r="A1889" s="27" t="s">
        <v>104</v>
      </c>
      <c r="B1889" s="41" t="n">
        <v>46303.321875</v>
      </c>
      <c r="C1889" s="27" t="s">
        <v>200</v>
      </c>
      <c r="D1889" s="27" t="n">
        <v>43.3</v>
      </c>
      <c r="E1889" s="27" t="n">
        <v>19.2</v>
      </c>
      <c r="F1889" s="27" t="n">
        <v>31.7</v>
      </c>
      <c r="G1889" s="27" t="n">
        <v>33.9</v>
      </c>
      <c r="H1889" s="27" t="s">
        <v>198</v>
      </c>
      <c r="I1889" s="42" t="n">
        <f aca="false">(D1889-INDEX('Cohort Summary'!$D$5:$D$14,MATCH($A1889,'Cohort Summary'!$A$5:$A$14,0)))/INDEX('Cohort Summary'!$E$5:$E$14,MATCH($A1889,'Cohort Summary'!$A$5:$A$14,0))</f>
        <v>0.111498257839721</v>
      </c>
      <c r="J1889" s="42" t="n">
        <f aca="false">(E1889-INDEX('Cohort Summary'!$F$5:$F$14,MATCH($A1889,'Cohort Summary'!$A$5:$A$14,0)))/INDEX('Cohort Summary'!$G$5:$G$14,MATCH($A1889,'Cohort Summary'!$A$5:$A$14,0))</f>
        <v>-0.531707317073171</v>
      </c>
      <c r="K1889" s="42" t="n">
        <f aca="false">(F1889-INDEX('Cohort Summary'!$H$5:$H$14,MATCH($A1889,'Cohort Summary'!$A$5:$A$14,0)))/INDEX('Cohort Summary'!$I$5:$I$14,MATCH($A1889,'Cohort Summary'!$A$5:$A$14,0))</f>
        <v>0.601973684210526</v>
      </c>
      <c r="L1889" s="42" t="n">
        <f aca="false">(G1889-INDEX('Cohort Summary'!$J$5:$J$14,MATCH($A1889,'Cohort Summary'!$A$5:$A$14,0)))/INDEX('Cohort Summary'!$K$5:$K$14,MATCH($A1889,'Cohort Summary'!$A$5:$A$14,0))</f>
        <v>1.55932203389831</v>
      </c>
      <c r="M1889" s="42" t="n">
        <f aca="false">MAX(I1889:K1889)</f>
        <v>0.601973684210526</v>
      </c>
      <c r="N1889" s="27" t="s">
        <v>197</v>
      </c>
      <c r="O1889" s="27"/>
      <c r="P1889" s="27" t="str">
        <f aca="false">A1889&amp;"|"&amp;N1889</f>
        <v>NURSE-10|normal</v>
      </c>
    </row>
    <row r="1890" customFormat="false" ht="15" hidden="false" customHeight="true" outlineLevel="0" collapsed="false">
      <c r="A1890" s="27" t="s">
        <v>104</v>
      </c>
      <c r="B1890" s="41" t="n">
        <v>46303.3222222222</v>
      </c>
      <c r="C1890" s="27" t="s">
        <v>200</v>
      </c>
      <c r="D1890" s="27" t="n">
        <v>46.8</v>
      </c>
      <c r="E1890" s="27" t="n">
        <v>17.7</v>
      </c>
      <c r="F1890" s="27" t="n">
        <v>31.2</v>
      </c>
      <c r="G1890" s="27" t="n">
        <v>32.4</v>
      </c>
      <c r="H1890" s="27" t="s">
        <v>198</v>
      </c>
      <c r="I1890" s="42" t="n">
        <f aca="false">(D1890-INDEX('Cohort Summary'!$D$5:$D$14,MATCH($A1890,'Cohort Summary'!$A$5:$A$14,0)))/INDEX('Cohort Summary'!$E$5:$E$14,MATCH($A1890,'Cohort Summary'!$A$5:$A$14,0))</f>
        <v>1.33101045296167</v>
      </c>
      <c r="J1890" s="42" t="n">
        <f aca="false">(E1890-INDEX('Cohort Summary'!$F$5:$F$14,MATCH($A1890,'Cohort Summary'!$A$5:$A$14,0)))/INDEX('Cohort Summary'!$G$5:$G$14,MATCH($A1890,'Cohort Summary'!$A$5:$A$14,0))</f>
        <v>-1.26341463414634</v>
      </c>
      <c r="K1890" s="42" t="n">
        <f aca="false">(F1890-INDEX('Cohort Summary'!$H$5:$H$14,MATCH($A1890,'Cohort Summary'!$A$5:$A$14,0)))/INDEX('Cohort Summary'!$I$5:$I$14,MATCH($A1890,'Cohort Summary'!$A$5:$A$14,0))</f>
        <v>0.437499999999999</v>
      </c>
      <c r="L1890" s="42" t="n">
        <f aca="false">(G1890-INDEX('Cohort Summary'!$J$5:$J$14,MATCH($A1890,'Cohort Summary'!$A$5:$A$14,0)))/INDEX('Cohort Summary'!$K$5:$K$14,MATCH($A1890,'Cohort Summary'!$A$5:$A$14,0))</f>
        <v>-0.983050847457624</v>
      </c>
      <c r="M1890" s="42" t="n">
        <f aca="false">MAX(I1890:K1890)</f>
        <v>1.33101045296167</v>
      </c>
      <c r="N1890" s="27" t="s">
        <v>197</v>
      </c>
      <c r="O1890" s="27"/>
      <c r="P1890" s="27" t="str">
        <f aca="false">A1890&amp;"|"&amp;N1890</f>
        <v>NURSE-10|normal</v>
      </c>
    </row>
    <row r="1891" customFormat="false" ht="15" hidden="false" customHeight="true" outlineLevel="0" collapsed="false">
      <c r="A1891" s="27" t="s">
        <v>104</v>
      </c>
      <c r="B1891" s="41" t="n">
        <v>46303.3225694444</v>
      </c>
      <c r="C1891" s="27" t="s">
        <v>200</v>
      </c>
      <c r="D1891" s="27" t="n">
        <v>46.4</v>
      </c>
      <c r="E1891" s="27" t="n">
        <v>21.7</v>
      </c>
      <c r="F1891" s="27" t="n">
        <v>34.6</v>
      </c>
      <c r="G1891" s="27" t="n">
        <v>33.2</v>
      </c>
      <c r="H1891" s="27" t="s">
        <v>196</v>
      </c>
      <c r="I1891" s="42" t="n">
        <f aca="false">(D1891-INDEX('Cohort Summary'!$D$5:$D$14,MATCH($A1891,'Cohort Summary'!$A$5:$A$14,0)))/INDEX('Cohort Summary'!$E$5:$E$14,MATCH($A1891,'Cohort Summary'!$A$5:$A$14,0))</f>
        <v>1.19163763066202</v>
      </c>
      <c r="J1891" s="42" t="n">
        <f aca="false">(E1891-INDEX('Cohort Summary'!$F$5:$F$14,MATCH($A1891,'Cohort Summary'!$A$5:$A$14,0)))/INDEX('Cohort Summary'!$G$5:$G$14,MATCH($A1891,'Cohort Summary'!$A$5:$A$14,0))</f>
        <v>0.687804878048781</v>
      </c>
      <c r="K1891" s="42" t="n">
        <f aca="false">(F1891-INDEX('Cohort Summary'!$H$5:$H$14,MATCH($A1891,'Cohort Summary'!$A$5:$A$14,0)))/INDEX('Cohort Summary'!$I$5:$I$14,MATCH($A1891,'Cohort Summary'!$A$5:$A$14,0))</f>
        <v>1.55592105263158</v>
      </c>
      <c r="L1891" s="42" t="n">
        <f aca="false">(G1891-INDEX('Cohort Summary'!$J$5:$J$14,MATCH($A1891,'Cohort Summary'!$A$5:$A$14,0)))/INDEX('Cohort Summary'!$K$5:$K$14,MATCH($A1891,'Cohort Summary'!$A$5:$A$14,0))</f>
        <v>0.372881355932214</v>
      </c>
      <c r="M1891" s="42" t="n">
        <f aca="false">MAX(I1891:K1891)</f>
        <v>1.55592105263158</v>
      </c>
      <c r="N1891" s="27" t="s">
        <v>197</v>
      </c>
      <c r="O1891" s="27"/>
      <c r="P1891" s="27" t="str">
        <f aca="false">A1891&amp;"|"&amp;N1891</f>
        <v>NURSE-10|normal</v>
      </c>
    </row>
    <row r="1892" customFormat="false" ht="15" hidden="false" customHeight="true" outlineLevel="0" collapsed="false">
      <c r="A1892" s="27" t="s">
        <v>104</v>
      </c>
      <c r="B1892" s="41" t="n">
        <v>46303.3229166667</v>
      </c>
      <c r="C1892" s="27" t="s">
        <v>200</v>
      </c>
      <c r="D1892" s="27" t="n">
        <v>42.9</v>
      </c>
      <c r="E1892" s="27" t="n">
        <v>24</v>
      </c>
      <c r="F1892" s="27" t="n">
        <v>34.2</v>
      </c>
      <c r="G1892" s="27" t="n">
        <v>32.7</v>
      </c>
      <c r="H1892" s="27" t="s">
        <v>199</v>
      </c>
      <c r="I1892" s="42" t="n">
        <f aca="false">(D1892-INDEX('Cohort Summary'!$D$5:$D$14,MATCH($A1892,'Cohort Summary'!$A$5:$A$14,0)))/INDEX('Cohort Summary'!$E$5:$E$14,MATCH($A1892,'Cohort Summary'!$A$5:$A$14,0))</f>
        <v>-0.0278745644599297</v>
      </c>
      <c r="J1892" s="42" t="n">
        <f aca="false">(E1892-INDEX('Cohort Summary'!$F$5:$F$14,MATCH($A1892,'Cohort Summary'!$A$5:$A$14,0)))/INDEX('Cohort Summary'!$G$5:$G$14,MATCH($A1892,'Cohort Summary'!$A$5:$A$14,0))</f>
        <v>1.80975609756098</v>
      </c>
      <c r="K1892" s="42" t="n">
        <f aca="false">(F1892-INDEX('Cohort Summary'!$H$5:$H$14,MATCH($A1892,'Cohort Summary'!$A$5:$A$14,0)))/INDEX('Cohort Summary'!$I$5:$I$14,MATCH($A1892,'Cohort Summary'!$A$5:$A$14,0))</f>
        <v>1.42434210526316</v>
      </c>
      <c r="L1892" s="42" t="n">
        <f aca="false">(G1892-INDEX('Cohort Summary'!$J$5:$J$14,MATCH($A1892,'Cohort Summary'!$A$5:$A$14,0)))/INDEX('Cohort Summary'!$K$5:$K$14,MATCH($A1892,'Cohort Summary'!$A$5:$A$14,0))</f>
        <v>-0.474576271186431</v>
      </c>
      <c r="M1892" s="42" t="n">
        <f aca="false">MAX(I1892:K1892)</f>
        <v>1.80975609756098</v>
      </c>
      <c r="N1892" s="27" t="s">
        <v>197</v>
      </c>
      <c r="O1892" s="27"/>
      <c r="P1892" s="27" t="str">
        <f aca="false">A1892&amp;"|"&amp;N1892</f>
        <v>NURSE-10|normal</v>
      </c>
    </row>
    <row r="1893" customFormat="false" ht="15" hidden="false" customHeight="true" outlineLevel="0" collapsed="false">
      <c r="A1893" s="27" t="s">
        <v>104</v>
      </c>
      <c r="B1893" s="41" t="n">
        <v>46303.3232638889</v>
      </c>
      <c r="C1893" s="27" t="s">
        <v>200</v>
      </c>
      <c r="D1893" s="27" t="n">
        <v>47.2</v>
      </c>
      <c r="E1893" s="27" t="n">
        <v>17.4</v>
      </c>
      <c r="F1893" s="27" t="n">
        <v>34.2</v>
      </c>
      <c r="G1893" s="27" t="n">
        <v>33.9</v>
      </c>
      <c r="H1893" s="27" t="s">
        <v>196</v>
      </c>
      <c r="I1893" s="42" t="n">
        <f aca="false">(D1893-INDEX('Cohort Summary'!$D$5:$D$14,MATCH($A1893,'Cohort Summary'!$A$5:$A$14,0)))/INDEX('Cohort Summary'!$E$5:$E$14,MATCH($A1893,'Cohort Summary'!$A$5:$A$14,0))</f>
        <v>1.47038327526133</v>
      </c>
      <c r="J1893" s="42" t="n">
        <f aca="false">(E1893-INDEX('Cohort Summary'!$F$5:$F$14,MATCH($A1893,'Cohort Summary'!$A$5:$A$14,0)))/INDEX('Cohort Summary'!$G$5:$G$14,MATCH($A1893,'Cohort Summary'!$A$5:$A$14,0))</f>
        <v>-1.40975609756098</v>
      </c>
      <c r="K1893" s="42" t="n">
        <f aca="false">(F1893-INDEX('Cohort Summary'!$H$5:$H$14,MATCH($A1893,'Cohort Summary'!$A$5:$A$14,0)))/INDEX('Cohort Summary'!$I$5:$I$14,MATCH($A1893,'Cohort Summary'!$A$5:$A$14,0))</f>
        <v>1.42434210526316</v>
      </c>
      <c r="L1893" s="42" t="n">
        <f aca="false">(G1893-INDEX('Cohort Summary'!$J$5:$J$14,MATCH($A1893,'Cohort Summary'!$A$5:$A$14,0)))/INDEX('Cohort Summary'!$K$5:$K$14,MATCH($A1893,'Cohort Summary'!$A$5:$A$14,0))</f>
        <v>1.55932203389831</v>
      </c>
      <c r="M1893" s="42" t="n">
        <f aca="false">MAX(I1893:K1893)</f>
        <v>1.47038327526133</v>
      </c>
      <c r="N1893" s="27" t="s">
        <v>197</v>
      </c>
      <c r="O1893" s="27"/>
      <c r="P1893" s="27" t="str">
        <f aca="false">A1893&amp;"|"&amp;N1893</f>
        <v>NURSE-10|normal</v>
      </c>
    </row>
    <row r="1894" customFormat="false" ht="15" hidden="false" customHeight="true" outlineLevel="0" collapsed="false">
      <c r="A1894" s="27" t="s">
        <v>104</v>
      </c>
      <c r="B1894" s="41" t="n">
        <v>46303.3236111111</v>
      </c>
      <c r="C1894" s="27" t="s">
        <v>200</v>
      </c>
      <c r="D1894" s="27" t="n">
        <v>45.1</v>
      </c>
      <c r="E1894" s="27" t="n">
        <v>20.6</v>
      </c>
      <c r="F1894" s="27" t="n">
        <v>27.4</v>
      </c>
      <c r="G1894" s="27" t="n">
        <v>32.1</v>
      </c>
      <c r="H1894" s="27" t="s">
        <v>199</v>
      </c>
      <c r="I1894" s="42" t="n">
        <f aca="false">(D1894-INDEX('Cohort Summary'!$D$5:$D$14,MATCH($A1894,'Cohort Summary'!$A$5:$A$14,0)))/INDEX('Cohort Summary'!$E$5:$E$14,MATCH($A1894,'Cohort Summary'!$A$5:$A$14,0))</f>
        <v>0.738675958188155</v>
      </c>
      <c r="J1894" s="42" t="n">
        <f aca="false">(E1894-INDEX('Cohort Summary'!$F$5:$F$14,MATCH($A1894,'Cohort Summary'!$A$5:$A$14,0)))/INDEX('Cohort Summary'!$G$5:$G$14,MATCH($A1894,'Cohort Summary'!$A$5:$A$14,0))</f>
        <v>0.151219512195123</v>
      </c>
      <c r="K1894" s="42" t="n">
        <f aca="false">(F1894-INDEX('Cohort Summary'!$H$5:$H$14,MATCH($A1894,'Cohort Summary'!$A$5:$A$14,0)))/INDEX('Cohort Summary'!$I$5:$I$14,MATCH($A1894,'Cohort Summary'!$A$5:$A$14,0))</f>
        <v>-0.812500000000001</v>
      </c>
      <c r="L1894" s="42" t="n">
        <f aca="false">(G1894-INDEX('Cohort Summary'!$J$5:$J$14,MATCH($A1894,'Cohort Summary'!$A$5:$A$14,0)))/INDEX('Cohort Summary'!$K$5:$K$14,MATCH($A1894,'Cohort Summary'!$A$5:$A$14,0))</f>
        <v>-1.49152542372881</v>
      </c>
      <c r="M1894" s="42" t="n">
        <f aca="false">MAX(I1894:K1894)</f>
        <v>0.738675958188155</v>
      </c>
      <c r="N1894" s="27" t="s">
        <v>197</v>
      </c>
      <c r="O1894" s="27"/>
      <c r="P1894" s="27" t="str">
        <f aca="false">A1894&amp;"|"&amp;N1894</f>
        <v>NURSE-10|normal</v>
      </c>
    </row>
    <row r="1895" customFormat="false" ht="15" hidden="false" customHeight="true" outlineLevel="0" collapsed="false">
      <c r="A1895" s="27" t="s">
        <v>104</v>
      </c>
      <c r="B1895" s="41" t="n">
        <v>46303.3239583333</v>
      </c>
      <c r="C1895" s="27" t="s">
        <v>200</v>
      </c>
      <c r="D1895" s="27" t="n">
        <v>40.2</v>
      </c>
      <c r="E1895" s="27" t="n">
        <v>17.6</v>
      </c>
      <c r="F1895" s="27" t="n">
        <v>32.4</v>
      </c>
      <c r="G1895" s="27" t="n">
        <v>32.9</v>
      </c>
      <c r="H1895" s="27" t="s">
        <v>198</v>
      </c>
      <c r="I1895" s="42" t="n">
        <f aca="false">(D1895-INDEX('Cohort Summary'!$D$5:$D$14,MATCH($A1895,'Cohort Summary'!$A$5:$A$14,0)))/INDEX('Cohort Summary'!$E$5:$E$14,MATCH($A1895,'Cohort Summary'!$A$5:$A$14,0))</f>
        <v>-0.968641114982576</v>
      </c>
      <c r="J1895" s="42" t="n">
        <f aca="false">(E1895-INDEX('Cohort Summary'!$F$5:$F$14,MATCH($A1895,'Cohort Summary'!$A$5:$A$14,0)))/INDEX('Cohort Summary'!$G$5:$G$14,MATCH($A1895,'Cohort Summary'!$A$5:$A$14,0))</f>
        <v>-1.31219512195122</v>
      </c>
      <c r="K1895" s="42" t="n">
        <f aca="false">(F1895-INDEX('Cohort Summary'!$H$5:$H$14,MATCH($A1895,'Cohort Summary'!$A$5:$A$14,0)))/INDEX('Cohort Summary'!$I$5:$I$14,MATCH($A1895,'Cohort Summary'!$A$5:$A$14,0))</f>
        <v>0.832236842105262</v>
      </c>
      <c r="L1895" s="42" t="n">
        <f aca="false">(G1895-INDEX('Cohort Summary'!$J$5:$J$14,MATCH($A1895,'Cohort Summary'!$A$5:$A$14,0)))/INDEX('Cohort Summary'!$K$5:$K$14,MATCH($A1895,'Cohort Summary'!$A$5:$A$14,0))</f>
        <v>-0.13559322033898</v>
      </c>
      <c r="M1895" s="42" t="n">
        <f aca="false">MAX(I1895:K1895)</f>
        <v>0.832236842105262</v>
      </c>
      <c r="N1895" s="27" t="s">
        <v>197</v>
      </c>
      <c r="O1895" s="27"/>
      <c r="P1895" s="27" t="str">
        <f aca="false">A1895&amp;"|"&amp;N1895</f>
        <v>NURSE-10|normal</v>
      </c>
    </row>
    <row r="1896" customFormat="false" ht="15" hidden="false" customHeight="true" outlineLevel="0" collapsed="false">
      <c r="A1896" s="27" t="s">
        <v>104</v>
      </c>
      <c r="B1896" s="41" t="n">
        <v>46303.3243055556</v>
      </c>
      <c r="C1896" s="27" t="s">
        <v>200</v>
      </c>
      <c r="D1896" s="27" t="n">
        <v>38.1</v>
      </c>
      <c r="E1896" s="27" t="n">
        <v>17.8</v>
      </c>
      <c r="F1896" s="27" t="n">
        <v>29.5</v>
      </c>
      <c r="G1896" s="27" t="n">
        <v>32.7</v>
      </c>
      <c r="H1896" s="27" t="s">
        <v>199</v>
      </c>
      <c r="I1896" s="42" t="n">
        <f aca="false">(D1896-INDEX('Cohort Summary'!$D$5:$D$14,MATCH($A1896,'Cohort Summary'!$A$5:$A$14,0)))/INDEX('Cohort Summary'!$E$5:$E$14,MATCH($A1896,'Cohort Summary'!$A$5:$A$14,0))</f>
        <v>-1.70034843205575</v>
      </c>
      <c r="J1896" s="42" t="n">
        <f aca="false">(E1896-INDEX('Cohort Summary'!$F$5:$F$14,MATCH($A1896,'Cohort Summary'!$A$5:$A$14,0)))/INDEX('Cohort Summary'!$G$5:$G$14,MATCH($A1896,'Cohort Summary'!$A$5:$A$14,0))</f>
        <v>-1.21463414634146</v>
      </c>
      <c r="K1896" s="42" t="n">
        <f aca="false">(F1896-INDEX('Cohort Summary'!$H$5:$H$14,MATCH($A1896,'Cohort Summary'!$A$5:$A$14,0)))/INDEX('Cohort Summary'!$I$5:$I$14,MATCH($A1896,'Cohort Summary'!$A$5:$A$14,0))</f>
        <v>-0.12171052631579</v>
      </c>
      <c r="L1896" s="42" t="n">
        <f aca="false">(G1896-INDEX('Cohort Summary'!$J$5:$J$14,MATCH($A1896,'Cohort Summary'!$A$5:$A$14,0)))/INDEX('Cohort Summary'!$K$5:$K$14,MATCH($A1896,'Cohort Summary'!$A$5:$A$14,0))</f>
        <v>-0.474576271186431</v>
      </c>
      <c r="M1896" s="42" t="n">
        <f aca="false">MAX(I1896:K1896)</f>
        <v>-0.12171052631579</v>
      </c>
      <c r="N1896" s="27" t="s">
        <v>197</v>
      </c>
      <c r="O1896" s="27"/>
      <c r="P1896" s="27" t="str">
        <f aca="false">A1896&amp;"|"&amp;N1896</f>
        <v>NURSE-10|normal</v>
      </c>
    </row>
    <row r="1897" customFormat="false" ht="15" hidden="false" customHeight="true" outlineLevel="0" collapsed="false">
      <c r="A1897" s="27" t="s">
        <v>104</v>
      </c>
      <c r="B1897" s="41" t="n">
        <v>46303.3246527778</v>
      </c>
      <c r="C1897" s="27" t="s">
        <v>200</v>
      </c>
      <c r="D1897" s="27" t="n">
        <v>44.2</v>
      </c>
      <c r="E1897" s="27" t="n">
        <v>22.2</v>
      </c>
      <c r="F1897" s="27" t="n">
        <v>33.2</v>
      </c>
      <c r="G1897" s="27" t="n">
        <v>32.9</v>
      </c>
      <c r="H1897" s="27" t="s">
        <v>199</v>
      </c>
      <c r="I1897" s="42" t="n">
        <f aca="false">(D1897-INDEX('Cohort Summary'!$D$5:$D$14,MATCH($A1897,'Cohort Summary'!$A$5:$A$14,0)))/INDEX('Cohort Summary'!$E$5:$E$14,MATCH($A1897,'Cohort Summary'!$A$5:$A$14,0))</f>
        <v>0.425087108013939</v>
      </c>
      <c r="J1897" s="42" t="n">
        <f aca="false">(E1897-INDEX('Cohort Summary'!$F$5:$F$14,MATCH($A1897,'Cohort Summary'!$A$5:$A$14,0)))/INDEX('Cohort Summary'!$G$5:$G$14,MATCH($A1897,'Cohort Summary'!$A$5:$A$14,0))</f>
        <v>0.931707317073171</v>
      </c>
      <c r="K1897" s="42" t="n">
        <f aca="false">(F1897-INDEX('Cohort Summary'!$H$5:$H$14,MATCH($A1897,'Cohort Summary'!$A$5:$A$14,0)))/INDEX('Cohort Summary'!$I$5:$I$14,MATCH($A1897,'Cohort Summary'!$A$5:$A$14,0))</f>
        <v>1.09539473684211</v>
      </c>
      <c r="L1897" s="42" t="n">
        <f aca="false">(G1897-INDEX('Cohort Summary'!$J$5:$J$14,MATCH($A1897,'Cohort Summary'!$A$5:$A$14,0)))/INDEX('Cohort Summary'!$K$5:$K$14,MATCH($A1897,'Cohort Summary'!$A$5:$A$14,0))</f>
        <v>-0.13559322033898</v>
      </c>
      <c r="M1897" s="42" t="n">
        <f aca="false">MAX(I1897:K1897)</f>
        <v>1.09539473684211</v>
      </c>
      <c r="N1897" s="27" t="s">
        <v>197</v>
      </c>
      <c r="O1897" s="27"/>
      <c r="P1897" s="27" t="str">
        <f aca="false">A1897&amp;"|"&amp;N1897</f>
        <v>NURSE-10|normal</v>
      </c>
    </row>
    <row r="1898" customFormat="false" ht="15" hidden="false" customHeight="true" outlineLevel="0" collapsed="false">
      <c r="A1898" s="27" t="s">
        <v>104</v>
      </c>
      <c r="B1898" s="41" t="n">
        <v>46303.325</v>
      </c>
      <c r="C1898" s="27" t="s">
        <v>200</v>
      </c>
      <c r="D1898" s="27" t="n">
        <v>45.1</v>
      </c>
      <c r="E1898" s="27" t="n">
        <v>18.6</v>
      </c>
      <c r="F1898" s="27" t="n">
        <v>28.4</v>
      </c>
      <c r="G1898" s="27" t="n">
        <v>32.1</v>
      </c>
      <c r="H1898" s="27" t="s">
        <v>199</v>
      </c>
      <c r="I1898" s="42" t="n">
        <f aca="false">(D1898-INDEX('Cohort Summary'!$D$5:$D$14,MATCH($A1898,'Cohort Summary'!$A$5:$A$14,0)))/INDEX('Cohort Summary'!$E$5:$E$14,MATCH($A1898,'Cohort Summary'!$A$5:$A$14,0))</f>
        <v>0.738675958188155</v>
      </c>
      <c r="J1898" s="42" t="n">
        <f aca="false">(E1898-INDEX('Cohort Summary'!$F$5:$F$14,MATCH($A1898,'Cohort Summary'!$A$5:$A$14,0)))/INDEX('Cohort Summary'!$G$5:$G$14,MATCH($A1898,'Cohort Summary'!$A$5:$A$14,0))</f>
        <v>-0.824390243902438</v>
      </c>
      <c r="K1898" s="42" t="n">
        <f aca="false">(F1898-INDEX('Cohort Summary'!$H$5:$H$14,MATCH($A1898,'Cohort Summary'!$A$5:$A$14,0)))/INDEX('Cohort Summary'!$I$5:$I$14,MATCH($A1898,'Cohort Summary'!$A$5:$A$14,0))</f>
        <v>-0.483552631578948</v>
      </c>
      <c r="L1898" s="42" t="n">
        <f aca="false">(G1898-INDEX('Cohort Summary'!$J$5:$J$14,MATCH($A1898,'Cohort Summary'!$A$5:$A$14,0)))/INDEX('Cohort Summary'!$K$5:$K$14,MATCH($A1898,'Cohort Summary'!$A$5:$A$14,0))</f>
        <v>-1.49152542372881</v>
      </c>
      <c r="M1898" s="42" t="n">
        <f aca="false">MAX(I1898:K1898)</f>
        <v>0.738675958188155</v>
      </c>
      <c r="N1898" s="27" t="s">
        <v>197</v>
      </c>
      <c r="O1898" s="27"/>
      <c r="P1898" s="27" t="str">
        <f aca="false">A1898&amp;"|"&amp;N1898</f>
        <v>NURSE-10|normal</v>
      </c>
    </row>
    <row r="1899" customFormat="false" ht="15" hidden="false" customHeight="true" outlineLevel="0" collapsed="false">
      <c r="A1899" s="27" t="s">
        <v>104</v>
      </c>
      <c r="B1899" s="41" t="n">
        <v>46303.3253472222</v>
      </c>
      <c r="C1899" s="27" t="s">
        <v>200</v>
      </c>
      <c r="D1899" s="27" t="n">
        <v>41</v>
      </c>
      <c r="E1899" s="27" t="n">
        <v>22</v>
      </c>
      <c r="F1899" s="27" t="n">
        <v>27.2</v>
      </c>
      <c r="G1899" s="27" t="n">
        <v>32</v>
      </c>
      <c r="H1899" s="27" t="s">
        <v>196</v>
      </c>
      <c r="I1899" s="42" t="n">
        <f aca="false">(D1899-INDEX('Cohort Summary'!$D$5:$D$14,MATCH($A1899,'Cohort Summary'!$A$5:$A$14,0)))/INDEX('Cohort Summary'!$E$5:$E$14,MATCH($A1899,'Cohort Summary'!$A$5:$A$14,0))</f>
        <v>-0.689895470383274</v>
      </c>
      <c r="J1899" s="42" t="n">
        <f aca="false">(E1899-INDEX('Cohort Summary'!$F$5:$F$14,MATCH($A1899,'Cohort Summary'!$A$5:$A$14,0)))/INDEX('Cohort Summary'!$G$5:$G$14,MATCH($A1899,'Cohort Summary'!$A$5:$A$14,0))</f>
        <v>0.834146341463415</v>
      </c>
      <c r="K1899" s="42" t="n">
        <f aca="false">(F1899-INDEX('Cohort Summary'!$H$5:$H$14,MATCH($A1899,'Cohort Summary'!$A$5:$A$14,0)))/INDEX('Cohort Summary'!$I$5:$I$14,MATCH($A1899,'Cohort Summary'!$A$5:$A$14,0))</f>
        <v>-0.878289473684211</v>
      </c>
      <c r="L1899" s="42" t="n">
        <f aca="false">(G1899-INDEX('Cohort Summary'!$J$5:$J$14,MATCH($A1899,'Cohort Summary'!$A$5:$A$14,0)))/INDEX('Cohort Summary'!$K$5:$K$14,MATCH($A1899,'Cohort Summary'!$A$5:$A$14,0))</f>
        <v>-1.66101694915254</v>
      </c>
      <c r="M1899" s="42" t="n">
        <f aca="false">MAX(I1899:K1899)</f>
        <v>0.834146341463415</v>
      </c>
      <c r="N1899" s="27" t="s">
        <v>197</v>
      </c>
      <c r="O1899" s="27"/>
      <c r="P1899" s="27" t="str">
        <f aca="false">A1899&amp;"|"&amp;N1899</f>
        <v>NURSE-10|normal</v>
      </c>
    </row>
    <row r="1900" customFormat="false" ht="15" hidden="false" customHeight="true" outlineLevel="0" collapsed="false">
      <c r="A1900" s="27" t="s">
        <v>104</v>
      </c>
      <c r="B1900" s="41" t="n">
        <v>46303.3256944444</v>
      </c>
      <c r="C1900" s="27" t="s">
        <v>200</v>
      </c>
      <c r="D1900" s="27" t="n">
        <v>40.8</v>
      </c>
      <c r="E1900" s="27" t="n">
        <v>18.1</v>
      </c>
      <c r="F1900" s="27" t="n">
        <v>29.6</v>
      </c>
      <c r="G1900" s="27" t="n">
        <v>32.1</v>
      </c>
      <c r="H1900" s="27" t="s">
        <v>196</v>
      </c>
      <c r="I1900" s="42" t="n">
        <f aca="false">(D1900-INDEX('Cohort Summary'!$D$5:$D$14,MATCH($A1900,'Cohort Summary'!$A$5:$A$14,0)))/INDEX('Cohort Summary'!$E$5:$E$14,MATCH($A1900,'Cohort Summary'!$A$5:$A$14,0))</f>
        <v>-0.759581881533101</v>
      </c>
      <c r="J1900" s="42" t="n">
        <f aca="false">(E1900-INDEX('Cohort Summary'!$F$5:$F$14,MATCH($A1900,'Cohort Summary'!$A$5:$A$14,0)))/INDEX('Cohort Summary'!$G$5:$G$14,MATCH($A1900,'Cohort Summary'!$A$5:$A$14,0))</f>
        <v>-1.06829268292683</v>
      </c>
      <c r="K1900" s="42" t="n">
        <f aca="false">(F1900-INDEX('Cohort Summary'!$H$5:$H$14,MATCH($A1900,'Cohort Summary'!$A$5:$A$14,0)))/INDEX('Cohort Summary'!$I$5:$I$14,MATCH($A1900,'Cohort Summary'!$A$5:$A$14,0))</f>
        <v>-0.0888157894736841</v>
      </c>
      <c r="L1900" s="42" t="n">
        <f aca="false">(G1900-INDEX('Cohort Summary'!$J$5:$J$14,MATCH($A1900,'Cohort Summary'!$A$5:$A$14,0)))/INDEX('Cohort Summary'!$K$5:$K$14,MATCH($A1900,'Cohort Summary'!$A$5:$A$14,0))</f>
        <v>-1.49152542372881</v>
      </c>
      <c r="M1900" s="42" t="n">
        <f aca="false">MAX(I1900:K1900)</f>
        <v>-0.0888157894736841</v>
      </c>
      <c r="N1900" s="27" t="s">
        <v>197</v>
      </c>
      <c r="O1900" s="27"/>
      <c r="P1900" s="27" t="str">
        <f aca="false">A1900&amp;"|"&amp;N1900</f>
        <v>NURSE-10|normal</v>
      </c>
    </row>
    <row r="1901" customFormat="false" ht="15" hidden="false" customHeight="true" outlineLevel="0" collapsed="false">
      <c r="A1901" s="27" t="s">
        <v>104</v>
      </c>
      <c r="B1901" s="41" t="n">
        <v>46303.3260416667</v>
      </c>
      <c r="C1901" s="27" t="s">
        <v>200</v>
      </c>
      <c r="D1901" s="27" t="n">
        <v>41.2</v>
      </c>
      <c r="E1901" s="27" t="n">
        <v>22.3</v>
      </c>
      <c r="F1901" s="27" t="n">
        <v>33.4</v>
      </c>
      <c r="G1901" s="27" t="n">
        <v>32.3</v>
      </c>
      <c r="H1901" s="27" t="s">
        <v>198</v>
      </c>
      <c r="I1901" s="42" t="n">
        <f aca="false">(D1901-INDEX('Cohort Summary'!$D$5:$D$14,MATCH($A1901,'Cohort Summary'!$A$5:$A$14,0)))/INDEX('Cohort Summary'!$E$5:$E$14,MATCH($A1901,'Cohort Summary'!$A$5:$A$14,0))</f>
        <v>-0.620209059233447</v>
      </c>
      <c r="J1901" s="42" t="n">
        <f aca="false">(E1901-INDEX('Cohort Summary'!$F$5:$F$14,MATCH($A1901,'Cohort Summary'!$A$5:$A$14,0)))/INDEX('Cohort Summary'!$G$5:$G$14,MATCH($A1901,'Cohort Summary'!$A$5:$A$14,0))</f>
        <v>0.98048780487805</v>
      </c>
      <c r="K1901" s="42" t="n">
        <f aca="false">(F1901-INDEX('Cohort Summary'!$H$5:$H$14,MATCH($A1901,'Cohort Summary'!$A$5:$A$14,0)))/INDEX('Cohort Summary'!$I$5:$I$14,MATCH($A1901,'Cohort Summary'!$A$5:$A$14,0))</f>
        <v>1.16118421052632</v>
      </c>
      <c r="L1901" s="42" t="n">
        <f aca="false">(G1901-INDEX('Cohort Summary'!$J$5:$J$14,MATCH($A1901,'Cohort Summary'!$A$5:$A$14,0)))/INDEX('Cohort Summary'!$K$5:$K$14,MATCH($A1901,'Cohort Summary'!$A$5:$A$14,0))</f>
        <v>-1.15254237288136</v>
      </c>
      <c r="M1901" s="42" t="n">
        <f aca="false">MAX(I1901:K1901)</f>
        <v>1.16118421052632</v>
      </c>
      <c r="N1901" s="27" t="s">
        <v>197</v>
      </c>
      <c r="O1901" s="27"/>
      <c r="P1901" s="27" t="str">
        <f aca="false">A1901&amp;"|"&amp;N1901</f>
        <v>NURSE-10|normal</v>
      </c>
    </row>
    <row r="1902" customFormat="false" ht="15" hidden="false" customHeight="true" outlineLevel="0" collapsed="false">
      <c r="A1902" s="27" t="s">
        <v>104</v>
      </c>
      <c r="B1902" s="41" t="n">
        <v>46303.3263888889</v>
      </c>
      <c r="C1902" s="27" t="s">
        <v>200</v>
      </c>
      <c r="D1902" s="27" t="n">
        <v>42.3</v>
      </c>
      <c r="E1902" s="27" t="n">
        <v>18.9</v>
      </c>
      <c r="F1902" s="27" t="n">
        <v>28.8</v>
      </c>
      <c r="G1902" s="27" t="n">
        <v>33.1</v>
      </c>
      <c r="H1902" s="27" t="s">
        <v>196</v>
      </c>
      <c r="I1902" s="42" t="n">
        <f aca="false">(D1902-INDEX('Cohort Summary'!$D$5:$D$14,MATCH($A1902,'Cohort Summary'!$A$5:$A$14,0)))/INDEX('Cohort Summary'!$E$5:$E$14,MATCH($A1902,'Cohort Summary'!$A$5:$A$14,0))</f>
        <v>-0.236933797909408</v>
      </c>
      <c r="J1902" s="42" t="n">
        <f aca="false">(E1902-INDEX('Cohort Summary'!$F$5:$F$14,MATCH($A1902,'Cohort Summary'!$A$5:$A$14,0)))/INDEX('Cohort Summary'!$G$5:$G$14,MATCH($A1902,'Cohort Summary'!$A$5:$A$14,0))</f>
        <v>-0.678048780487805</v>
      </c>
      <c r="K1902" s="42" t="n">
        <f aca="false">(F1902-INDEX('Cohort Summary'!$H$5:$H$14,MATCH($A1902,'Cohort Summary'!$A$5:$A$14,0)))/INDEX('Cohort Summary'!$I$5:$I$14,MATCH($A1902,'Cohort Summary'!$A$5:$A$14,0))</f>
        <v>-0.351973684210526</v>
      </c>
      <c r="L1902" s="42" t="n">
        <f aca="false">(G1902-INDEX('Cohort Summary'!$J$5:$J$14,MATCH($A1902,'Cohort Summary'!$A$5:$A$14,0)))/INDEX('Cohort Summary'!$K$5:$K$14,MATCH($A1902,'Cohort Summary'!$A$5:$A$14,0))</f>
        <v>0.203389830508482</v>
      </c>
      <c r="M1902" s="42" t="n">
        <f aca="false">MAX(I1902:K1902)</f>
        <v>-0.236933797909408</v>
      </c>
      <c r="N1902" s="27" t="s">
        <v>197</v>
      </c>
      <c r="O1902" s="27"/>
      <c r="P1902" s="27" t="str">
        <f aca="false">A1902&amp;"|"&amp;N1902</f>
        <v>NURSE-10|normal</v>
      </c>
    </row>
    <row r="1903" customFormat="false" ht="15" hidden="false" customHeight="true" outlineLevel="0" collapsed="false">
      <c r="A1903" s="27" t="s">
        <v>104</v>
      </c>
      <c r="B1903" s="41" t="n">
        <v>46303.3267361111</v>
      </c>
      <c r="C1903" s="27" t="s">
        <v>200</v>
      </c>
      <c r="D1903" s="27" t="n">
        <v>43.2</v>
      </c>
      <c r="E1903" s="27" t="n">
        <v>17.7</v>
      </c>
      <c r="F1903" s="27" t="n">
        <v>32.6</v>
      </c>
      <c r="G1903" s="27" t="n">
        <v>33.1</v>
      </c>
      <c r="H1903" s="27" t="s">
        <v>196</v>
      </c>
      <c r="I1903" s="42" t="n">
        <f aca="false">(D1903-INDEX('Cohort Summary'!$D$5:$D$14,MATCH($A1903,'Cohort Summary'!$A$5:$A$14,0)))/INDEX('Cohort Summary'!$E$5:$E$14,MATCH($A1903,'Cohort Summary'!$A$5:$A$14,0))</f>
        <v>0.0766550522648104</v>
      </c>
      <c r="J1903" s="42" t="n">
        <f aca="false">(E1903-INDEX('Cohort Summary'!$F$5:$F$14,MATCH($A1903,'Cohort Summary'!$A$5:$A$14,0)))/INDEX('Cohort Summary'!$G$5:$G$14,MATCH($A1903,'Cohort Summary'!$A$5:$A$14,0))</f>
        <v>-1.26341463414634</v>
      </c>
      <c r="K1903" s="42" t="n">
        <f aca="false">(F1903-INDEX('Cohort Summary'!$H$5:$H$14,MATCH($A1903,'Cohort Summary'!$A$5:$A$14,0)))/INDEX('Cohort Summary'!$I$5:$I$14,MATCH($A1903,'Cohort Summary'!$A$5:$A$14,0))</f>
        <v>0.898026315789474</v>
      </c>
      <c r="L1903" s="42" t="n">
        <f aca="false">(G1903-INDEX('Cohort Summary'!$J$5:$J$14,MATCH($A1903,'Cohort Summary'!$A$5:$A$14,0)))/INDEX('Cohort Summary'!$K$5:$K$14,MATCH($A1903,'Cohort Summary'!$A$5:$A$14,0))</f>
        <v>0.203389830508482</v>
      </c>
      <c r="M1903" s="42" t="n">
        <f aca="false">MAX(I1903:K1903)</f>
        <v>0.898026315789474</v>
      </c>
      <c r="N1903" s="27" t="s">
        <v>197</v>
      </c>
      <c r="O1903" s="27"/>
      <c r="P1903" s="27" t="str">
        <f aca="false">A1903&amp;"|"&amp;N1903</f>
        <v>NURSE-10|normal</v>
      </c>
    </row>
    <row r="1904" customFormat="false" ht="15" hidden="false" customHeight="true" outlineLevel="0" collapsed="false">
      <c r="A1904" s="27" t="s">
        <v>104</v>
      </c>
      <c r="B1904" s="41" t="n">
        <v>46303.3270833333</v>
      </c>
      <c r="C1904" s="27" t="s">
        <v>200</v>
      </c>
      <c r="D1904" s="27" t="n">
        <v>38.9</v>
      </c>
      <c r="E1904" s="27" t="n">
        <v>23.2</v>
      </c>
      <c r="F1904" s="27" t="n">
        <v>29.5</v>
      </c>
      <c r="G1904" s="27" t="n">
        <v>32.3</v>
      </c>
      <c r="H1904" s="27" t="s">
        <v>198</v>
      </c>
      <c r="I1904" s="42" t="n">
        <f aca="false">(D1904-INDEX('Cohort Summary'!$D$5:$D$14,MATCH($A1904,'Cohort Summary'!$A$5:$A$14,0)))/INDEX('Cohort Summary'!$E$5:$E$14,MATCH($A1904,'Cohort Summary'!$A$5:$A$14,0))</f>
        <v>-1.42160278745645</v>
      </c>
      <c r="J1904" s="42" t="n">
        <f aca="false">(E1904-INDEX('Cohort Summary'!$F$5:$F$14,MATCH($A1904,'Cohort Summary'!$A$5:$A$14,0)))/INDEX('Cohort Summary'!$G$5:$G$14,MATCH($A1904,'Cohort Summary'!$A$5:$A$14,0))</f>
        <v>1.41951219512195</v>
      </c>
      <c r="K1904" s="42" t="n">
        <f aca="false">(F1904-INDEX('Cohort Summary'!$H$5:$H$14,MATCH($A1904,'Cohort Summary'!$A$5:$A$14,0)))/INDEX('Cohort Summary'!$I$5:$I$14,MATCH($A1904,'Cohort Summary'!$A$5:$A$14,0))</f>
        <v>-0.12171052631579</v>
      </c>
      <c r="L1904" s="42" t="n">
        <f aca="false">(G1904-INDEX('Cohort Summary'!$J$5:$J$14,MATCH($A1904,'Cohort Summary'!$A$5:$A$14,0)))/INDEX('Cohort Summary'!$K$5:$K$14,MATCH($A1904,'Cohort Summary'!$A$5:$A$14,0))</f>
        <v>-1.15254237288136</v>
      </c>
      <c r="M1904" s="42" t="n">
        <f aca="false">MAX(I1904:K1904)</f>
        <v>1.41951219512195</v>
      </c>
      <c r="N1904" s="27" t="s">
        <v>197</v>
      </c>
      <c r="O1904" s="27"/>
      <c r="P1904" s="27" t="str">
        <f aca="false">A1904&amp;"|"&amp;N1904</f>
        <v>NURSE-10|normal</v>
      </c>
    </row>
    <row r="1905" customFormat="false" ht="15" hidden="false" customHeight="true" outlineLevel="0" collapsed="false">
      <c r="A1905" s="27" t="s">
        <v>104</v>
      </c>
      <c r="B1905" s="41" t="n">
        <v>46303.3274305556</v>
      </c>
      <c r="C1905" s="27" t="s">
        <v>200</v>
      </c>
      <c r="D1905" s="27" t="n">
        <v>40.5</v>
      </c>
      <c r="E1905" s="27" t="n">
        <v>18.9</v>
      </c>
      <c r="F1905" s="27" t="n">
        <v>26.7</v>
      </c>
      <c r="G1905" s="27" t="n">
        <v>33.9</v>
      </c>
      <c r="H1905" s="27" t="s">
        <v>199</v>
      </c>
      <c r="I1905" s="42" t="n">
        <f aca="false">(D1905-INDEX('Cohort Summary'!$D$5:$D$14,MATCH($A1905,'Cohort Summary'!$A$5:$A$14,0)))/INDEX('Cohort Summary'!$E$5:$E$14,MATCH($A1905,'Cohort Summary'!$A$5:$A$14,0))</f>
        <v>-0.864111498257839</v>
      </c>
      <c r="J1905" s="42" t="n">
        <f aca="false">(E1905-INDEX('Cohort Summary'!$F$5:$F$14,MATCH($A1905,'Cohort Summary'!$A$5:$A$14,0)))/INDEX('Cohort Summary'!$G$5:$G$14,MATCH($A1905,'Cohort Summary'!$A$5:$A$14,0))</f>
        <v>-0.678048780487805</v>
      </c>
      <c r="K1905" s="42" t="n">
        <f aca="false">(F1905-INDEX('Cohort Summary'!$H$5:$H$14,MATCH($A1905,'Cohort Summary'!$A$5:$A$14,0)))/INDEX('Cohort Summary'!$I$5:$I$14,MATCH($A1905,'Cohort Summary'!$A$5:$A$14,0))</f>
        <v>-1.04276315789474</v>
      </c>
      <c r="L1905" s="42" t="n">
        <f aca="false">(G1905-INDEX('Cohort Summary'!$J$5:$J$14,MATCH($A1905,'Cohort Summary'!$A$5:$A$14,0)))/INDEX('Cohort Summary'!$K$5:$K$14,MATCH($A1905,'Cohort Summary'!$A$5:$A$14,0))</f>
        <v>1.55932203389831</v>
      </c>
      <c r="M1905" s="42" t="n">
        <f aca="false">MAX(I1905:K1905)</f>
        <v>-0.678048780487805</v>
      </c>
      <c r="N1905" s="27" t="s">
        <v>197</v>
      </c>
      <c r="O1905" s="27"/>
      <c r="P1905" s="27" t="str">
        <f aca="false">A1905&amp;"|"&amp;N1905</f>
        <v>NURSE-10|normal</v>
      </c>
    </row>
    <row r="1906" customFormat="false" ht="15" hidden="false" customHeight="true" outlineLevel="0" collapsed="false">
      <c r="A1906" s="27" t="s">
        <v>104</v>
      </c>
      <c r="B1906" s="41" t="n">
        <v>46303.3277777778</v>
      </c>
      <c r="C1906" s="27" t="s">
        <v>200</v>
      </c>
      <c r="D1906" s="27" t="n">
        <v>38</v>
      </c>
      <c r="E1906" s="27" t="n">
        <v>17.3</v>
      </c>
      <c r="F1906" s="27" t="n">
        <v>34.6</v>
      </c>
      <c r="G1906" s="27" t="n">
        <v>33.8</v>
      </c>
      <c r="H1906" s="27" t="s">
        <v>198</v>
      </c>
      <c r="I1906" s="42" t="n">
        <f aca="false">(D1906-INDEX('Cohort Summary'!$D$5:$D$14,MATCH($A1906,'Cohort Summary'!$A$5:$A$14,0)))/INDEX('Cohort Summary'!$E$5:$E$14,MATCH($A1906,'Cohort Summary'!$A$5:$A$14,0))</f>
        <v>-1.73519163763066</v>
      </c>
      <c r="J1906" s="42" t="n">
        <f aca="false">(E1906-INDEX('Cohort Summary'!$F$5:$F$14,MATCH($A1906,'Cohort Summary'!$A$5:$A$14,0)))/INDEX('Cohort Summary'!$G$5:$G$14,MATCH($A1906,'Cohort Summary'!$A$5:$A$14,0))</f>
        <v>-1.45853658536585</v>
      </c>
      <c r="K1906" s="42" t="n">
        <f aca="false">(F1906-INDEX('Cohort Summary'!$H$5:$H$14,MATCH($A1906,'Cohort Summary'!$A$5:$A$14,0)))/INDEX('Cohort Summary'!$I$5:$I$14,MATCH($A1906,'Cohort Summary'!$A$5:$A$14,0))</f>
        <v>1.55592105263158</v>
      </c>
      <c r="L1906" s="42" t="n">
        <f aca="false">(G1906-INDEX('Cohort Summary'!$J$5:$J$14,MATCH($A1906,'Cohort Summary'!$A$5:$A$14,0)))/INDEX('Cohort Summary'!$K$5:$K$14,MATCH($A1906,'Cohort Summary'!$A$5:$A$14,0))</f>
        <v>1.38983050847458</v>
      </c>
      <c r="M1906" s="42" t="n">
        <f aca="false">MAX(I1906:K1906)</f>
        <v>1.55592105263158</v>
      </c>
      <c r="N1906" s="27" t="s">
        <v>197</v>
      </c>
      <c r="O1906" s="27"/>
      <c r="P1906" s="27" t="str">
        <f aca="false">A1906&amp;"|"&amp;N1906</f>
        <v>NURSE-10|normal</v>
      </c>
    </row>
    <row r="1907" customFormat="false" ht="15" hidden="false" customHeight="true" outlineLevel="0" collapsed="false">
      <c r="A1907" s="27" t="s">
        <v>104</v>
      </c>
      <c r="B1907" s="41" t="n">
        <v>46303.328125</v>
      </c>
      <c r="C1907" s="27" t="s">
        <v>200</v>
      </c>
      <c r="D1907" s="27" t="n">
        <v>42</v>
      </c>
      <c r="E1907" s="27" t="n">
        <v>20.9</v>
      </c>
      <c r="F1907" s="27" t="n">
        <v>28.3</v>
      </c>
      <c r="G1907" s="27" t="n">
        <v>32.5</v>
      </c>
      <c r="H1907" s="27" t="s">
        <v>196</v>
      </c>
      <c r="I1907" s="42" t="n">
        <f aca="false">(D1907-INDEX('Cohort Summary'!$D$5:$D$14,MATCH($A1907,'Cohort Summary'!$A$5:$A$14,0)))/INDEX('Cohort Summary'!$E$5:$E$14,MATCH($A1907,'Cohort Summary'!$A$5:$A$14,0))</f>
        <v>-0.341463414634145</v>
      </c>
      <c r="J1907" s="42" t="n">
        <f aca="false">(E1907-INDEX('Cohort Summary'!$F$5:$F$14,MATCH($A1907,'Cohort Summary'!$A$5:$A$14,0)))/INDEX('Cohort Summary'!$G$5:$G$14,MATCH($A1907,'Cohort Summary'!$A$5:$A$14,0))</f>
        <v>0.297560975609756</v>
      </c>
      <c r="K1907" s="42" t="n">
        <f aca="false">(F1907-INDEX('Cohort Summary'!$H$5:$H$14,MATCH($A1907,'Cohort Summary'!$A$5:$A$14,0)))/INDEX('Cohort Summary'!$I$5:$I$14,MATCH($A1907,'Cohort Summary'!$A$5:$A$14,0))</f>
        <v>-0.516447368421053</v>
      </c>
      <c r="L1907" s="42" t="n">
        <f aca="false">(G1907-INDEX('Cohort Summary'!$J$5:$J$14,MATCH($A1907,'Cohort Summary'!$A$5:$A$14,0)))/INDEX('Cohort Summary'!$K$5:$K$14,MATCH($A1907,'Cohort Summary'!$A$5:$A$14,0))</f>
        <v>-0.813559322033893</v>
      </c>
      <c r="M1907" s="42" t="n">
        <f aca="false">MAX(I1907:K1907)</f>
        <v>0.297560975609756</v>
      </c>
      <c r="N1907" s="27" t="s">
        <v>197</v>
      </c>
      <c r="O1907" s="27"/>
      <c r="P1907" s="27" t="str">
        <f aca="false">A1907&amp;"|"&amp;N1907</f>
        <v>NURSE-10|normal</v>
      </c>
    </row>
    <row r="1908" customFormat="false" ht="15" hidden="false" customHeight="true" outlineLevel="0" collapsed="false">
      <c r="A1908" s="27" t="s">
        <v>104</v>
      </c>
      <c r="B1908" s="41" t="n">
        <v>46303.3284722222</v>
      </c>
      <c r="C1908" s="27" t="s">
        <v>200</v>
      </c>
      <c r="D1908" s="27" t="n">
        <v>45.9</v>
      </c>
      <c r="E1908" s="27" t="n">
        <v>18</v>
      </c>
      <c r="F1908" s="27" t="n">
        <v>32.9</v>
      </c>
      <c r="G1908" s="27" t="n">
        <v>32.9</v>
      </c>
      <c r="H1908" s="27" t="s">
        <v>198</v>
      </c>
      <c r="I1908" s="42" t="n">
        <f aca="false">(D1908-INDEX('Cohort Summary'!$D$5:$D$14,MATCH($A1908,'Cohort Summary'!$A$5:$A$14,0)))/INDEX('Cohort Summary'!$E$5:$E$14,MATCH($A1908,'Cohort Summary'!$A$5:$A$14,0))</f>
        <v>1.01742160278746</v>
      </c>
      <c r="J1908" s="42" t="n">
        <f aca="false">(E1908-INDEX('Cohort Summary'!$F$5:$F$14,MATCH($A1908,'Cohort Summary'!$A$5:$A$14,0)))/INDEX('Cohort Summary'!$G$5:$G$14,MATCH($A1908,'Cohort Summary'!$A$5:$A$14,0))</f>
        <v>-1.11707317073171</v>
      </c>
      <c r="K1908" s="42" t="n">
        <f aca="false">(F1908-INDEX('Cohort Summary'!$H$5:$H$14,MATCH($A1908,'Cohort Summary'!$A$5:$A$14,0)))/INDEX('Cohort Summary'!$I$5:$I$14,MATCH($A1908,'Cohort Summary'!$A$5:$A$14,0))</f>
        <v>0.996710526315789</v>
      </c>
      <c r="L1908" s="42" t="n">
        <f aca="false">(G1908-INDEX('Cohort Summary'!$J$5:$J$14,MATCH($A1908,'Cohort Summary'!$A$5:$A$14,0)))/INDEX('Cohort Summary'!$K$5:$K$14,MATCH($A1908,'Cohort Summary'!$A$5:$A$14,0))</f>
        <v>-0.13559322033898</v>
      </c>
      <c r="M1908" s="42" t="n">
        <f aca="false">MAX(I1908:K1908)</f>
        <v>1.01742160278746</v>
      </c>
      <c r="N1908" s="27" t="s">
        <v>197</v>
      </c>
      <c r="O1908" s="27"/>
      <c r="P1908" s="27" t="str">
        <f aca="false">A1908&amp;"|"&amp;N1908</f>
        <v>NURSE-10|normal</v>
      </c>
    </row>
    <row r="1909" customFormat="false" ht="15" hidden="false" customHeight="true" outlineLevel="0" collapsed="false">
      <c r="A1909" s="27" t="s">
        <v>104</v>
      </c>
      <c r="B1909" s="41" t="n">
        <v>46303.3288194445</v>
      </c>
      <c r="C1909" s="27" t="s">
        <v>200</v>
      </c>
      <c r="D1909" s="27" t="n">
        <v>46.2</v>
      </c>
      <c r="E1909" s="27" t="n">
        <v>19.2</v>
      </c>
      <c r="F1909" s="27" t="n">
        <v>34.2</v>
      </c>
      <c r="G1909" s="27" t="n">
        <v>33.6</v>
      </c>
      <c r="H1909" s="27" t="s">
        <v>196</v>
      </c>
      <c r="I1909" s="42" t="n">
        <f aca="false">(D1909-INDEX('Cohort Summary'!$D$5:$D$14,MATCH($A1909,'Cohort Summary'!$A$5:$A$14,0)))/INDEX('Cohort Summary'!$E$5:$E$14,MATCH($A1909,'Cohort Summary'!$A$5:$A$14,0))</f>
        <v>1.1219512195122</v>
      </c>
      <c r="J1909" s="42" t="n">
        <f aca="false">(E1909-INDEX('Cohort Summary'!$F$5:$F$14,MATCH($A1909,'Cohort Summary'!$A$5:$A$14,0)))/INDEX('Cohort Summary'!$G$5:$G$14,MATCH($A1909,'Cohort Summary'!$A$5:$A$14,0))</f>
        <v>-0.531707317073171</v>
      </c>
      <c r="K1909" s="42" t="n">
        <f aca="false">(F1909-INDEX('Cohort Summary'!$H$5:$H$14,MATCH($A1909,'Cohort Summary'!$A$5:$A$14,0)))/INDEX('Cohort Summary'!$I$5:$I$14,MATCH($A1909,'Cohort Summary'!$A$5:$A$14,0))</f>
        <v>1.42434210526316</v>
      </c>
      <c r="L1909" s="42" t="n">
        <f aca="false">(G1909-INDEX('Cohort Summary'!$J$5:$J$14,MATCH($A1909,'Cohort Summary'!$A$5:$A$14,0)))/INDEX('Cohort Summary'!$K$5:$K$14,MATCH($A1909,'Cohort Summary'!$A$5:$A$14,0))</f>
        <v>1.05084745762713</v>
      </c>
      <c r="M1909" s="42" t="n">
        <f aca="false">MAX(I1909:K1909)</f>
        <v>1.42434210526316</v>
      </c>
      <c r="N1909" s="27" t="s">
        <v>197</v>
      </c>
      <c r="O1909" s="27"/>
      <c r="P1909" s="27" t="str">
        <f aca="false">A1909&amp;"|"&amp;N1909</f>
        <v>NURSE-10|normal</v>
      </c>
    </row>
    <row r="1910" customFormat="false" ht="15" hidden="false" customHeight="true" outlineLevel="0" collapsed="false">
      <c r="A1910" s="27" t="s">
        <v>104</v>
      </c>
      <c r="B1910" s="41" t="n">
        <v>46303.3291666667</v>
      </c>
      <c r="C1910" s="27" t="s">
        <v>200</v>
      </c>
      <c r="D1910" s="27" t="n">
        <v>45.6</v>
      </c>
      <c r="E1910" s="27" t="n">
        <v>19.7</v>
      </c>
      <c r="F1910" s="27" t="n">
        <v>30.2</v>
      </c>
      <c r="G1910" s="27" t="n">
        <v>33.6</v>
      </c>
      <c r="H1910" s="27" t="s">
        <v>198</v>
      </c>
      <c r="I1910" s="42" t="n">
        <f aca="false">(D1910-INDEX('Cohort Summary'!$D$5:$D$14,MATCH($A1910,'Cohort Summary'!$A$5:$A$14,0)))/INDEX('Cohort Summary'!$E$5:$E$14,MATCH($A1910,'Cohort Summary'!$A$5:$A$14,0))</f>
        <v>0.912891986062719</v>
      </c>
      <c r="J1910" s="42" t="n">
        <f aca="false">(E1910-INDEX('Cohort Summary'!$F$5:$F$14,MATCH($A1910,'Cohort Summary'!$A$5:$A$14,0)))/INDEX('Cohort Summary'!$G$5:$G$14,MATCH($A1910,'Cohort Summary'!$A$5:$A$14,0))</f>
        <v>-0.28780487804878</v>
      </c>
      <c r="K1910" s="42" t="n">
        <f aca="false">(F1910-INDEX('Cohort Summary'!$H$5:$H$14,MATCH($A1910,'Cohort Summary'!$A$5:$A$14,0)))/INDEX('Cohort Summary'!$I$5:$I$14,MATCH($A1910,'Cohort Summary'!$A$5:$A$14,0))</f>
        <v>0.108552631578947</v>
      </c>
      <c r="L1910" s="42" t="n">
        <f aca="false">(G1910-INDEX('Cohort Summary'!$J$5:$J$14,MATCH($A1910,'Cohort Summary'!$A$5:$A$14,0)))/INDEX('Cohort Summary'!$K$5:$K$14,MATCH($A1910,'Cohort Summary'!$A$5:$A$14,0))</f>
        <v>1.05084745762713</v>
      </c>
      <c r="M1910" s="42" t="n">
        <f aca="false">MAX(I1910:K1910)</f>
        <v>0.912891986062719</v>
      </c>
      <c r="N1910" s="27" t="s">
        <v>197</v>
      </c>
      <c r="O1910" s="27"/>
      <c r="P1910" s="27" t="str">
        <f aca="false">A1910&amp;"|"&amp;N1910</f>
        <v>NURSE-10|normal</v>
      </c>
    </row>
    <row r="1911" customFormat="false" ht="15" hidden="false" customHeight="true" outlineLevel="0" collapsed="false">
      <c r="A1911" s="27" t="s">
        <v>104</v>
      </c>
      <c r="B1911" s="41" t="n">
        <v>46303.3295138889</v>
      </c>
      <c r="C1911" s="27" t="s">
        <v>200</v>
      </c>
      <c r="D1911" s="27" t="n">
        <v>41.2</v>
      </c>
      <c r="E1911" s="27" t="n">
        <v>22.1</v>
      </c>
      <c r="F1911" s="27" t="n">
        <v>25.3</v>
      </c>
      <c r="G1911" s="27" t="n">
        <v>33.7</v>
      </c>
      <c r="H1911" s="27" t="s">
        <v>196</v>
      </c>
      <c r="I1911" s="42" t="n">
        <f aca="false">(D1911-INDEX('Cohort Summary'!$D$5:$D$14,MATCH($A1911,'Cohort Summary'!$A$5:$A$14,0)))/INDEX('Cohort Summary'!$E$5:$E$14,MATCH($A1911,'Cohort Summary'!$A$5:$A$14,0))</f>
        <v>-0.620209059233447</v>
      </c>
      <c r="J1911" s="42" t="n">
        <f aca="false">(E1911-INDEX('Cohort Summary'!$F$5:$F$14,MATCH($A1911,'Cohort Summary'!$A$5:$A$14,0)))/INDEX('Cohort Summary'!$G$5:$G$14,MATCH($A1911,'Cohort Summary'!$A$5:$A$14,0))</f>
        <v>0.882926829268294</v>
      </c>
      <c r="K1911" s="42" t="n">
        <f aca="false">(F1911-INDEX('Cohort Summary'!$H$5:$H$14,MATCH($A1911,'Cohort Summary'!$A$5:$A$14,0)))/INDEX('Cohort Summary'!$I$5:$I$14,MATCH($A1911,'Cohort Summary'!$A$5:$A$14,0))</f>
        <v>-1.50328947368421</v>
      </c>
      <c r="L1911" s="42" t="n">
        <f aca="false">(G1911-INDEX('Cohort Summary'!$J$5:$J$14,MATCH($A1911,'Cohort Summary'!$A$5:$A$14,0)))/INDEX('Cohort Summary'!$K$5:$K$14,MATCH($A1911,'Cohort Summary'!$A$5:$A$14,0))</f>
        <v>1.22033898305086</v>
      </c>
      <c r="M1911" s="42" t="n">
        <f aca="false">MAX(I1911:K1911)</f>
        <v>0.882926829268294</v>
      </c>
      <c r="N1911" s="27" t="s">
        <v>197</v>
      </c>
      <c r="O1911" s="27"/>
      <c r="P1911" s="27" t="str">
        <f aca="false">A1911&amp;"|"&amp;N1911</f>
        <v>NURSE-10|normal</v>
      </c>
    </row>
    <row r="1912" customFormat="false" ht="15" hidden="false" customHeight="true" outlineLevel="0" collapsed="false">
      <c r="A1912" s="27" t="s">
        <v>104</v>
      </c>
      <c r="B1912" s="41" t="n">
        <v>46303.3298611111</v>
      </c>
      <c r="C1912" s="27" t="s">
        <v>200</v>
      </c>
      <c r="D1912" s="27" t="n">
        <v>44.1</v>
      </c>
      <c r="E1912" s="27" t="n">
        <v>22.2</v>
      </c>
      <c r="F1912" s="27" t="n">
        <v>28.8</v>
      </c>
      <c r="G1912" s="27" t="n">
        <v>33.4</v>
      </c>
      <c r="H1912" s="27" t="s">
        <v>198</v>
      </c>
      <c r="I1912" s="42" t="n">
        <f aca="false">(D1912-INDEX('Cohort Summary'!$D$5:$D$14,MATCH($A1912,'Cohort Summary'!$A$5:$A$14,0)))/INDEX('Cohort Summary'!$E$5:$E$14,MATCH($A1912,'Cohort Summary'!$A$5:$A$14,0))</f>
        <v>0.390243902439026</v>
      </c>
      <c r="J1912" s="42" t="n">
        <f aca="false">(E1912-INDEX('Cohort Summary'!$F$5:$F$14,MATCH($A1912,'Cohort Summary'!$A$5:$A$14,0)))/INDEX('Cohort Summary'!$G$5:$G$14,MATCH($A1912,'Cohort Summary'!$A$5:$A$14,0))</f>
        <v>0.931707317073171</v>
      </c>
      <c r="K1912" s="42" t="n">
        <f aca="false">(F1912-INDEX('Cohort Summary'!$H$5:$H$14,MATCH($A1912,'Cohort Summary'!$A$5:$A$14,0)))/INDEX('Cohort Summary'!$I$5:$I$14,MATCH($A1912,'Cohort Summary'!$A$5:$A$14,0))</f>
        <v>-0.351973684210526</v>
      </c>
      <c r="L1912" s="42" t="n">
        <f aca="false">(G1912-INDEX('Cohort Summary'!$J$5:$J$14,MATCH($A1912,'Cohort Summary'!$A$5:$A$14,0)))/INDEX('Cohort Summary'!$K$5:$K$14,MATCH($A1912,'Cohort Summary'!$A$5:$A$14,0))</f>
        <v>0.711864406779664</v>
      </c>
      <c r="M1912" s="42" t="n">
        <f aca="false">MAX(I1912:K1912)</f>
        <v>0.931707317073171</v>
      </c>
      <c r="N1912" s="27" t="s">
        <v>197</v>
      </c>
      <c r="O1912" s="27"/>
      <c r="P1912" s="27" t="str">
        <f aca="false">A1912&amp;"|"&amp;N1912</f>
        <v>NURSE-10|normal</v>
      </c>
    </row>
    <row r="1913" customFormat="false" ht="15" hidden="false" customHeight="true" outlineLevel="0" collapsed="false">
      <c r="A1913" s="27" t="s">
        <v>104</v>
      </c>
      <c r="B1913" s="41" t="n">
        <v>46303.3302083333</v>
      </c>
      <c r="C1913" s="27" t="s">
        <v>200</v>
      </c>
      <c r="D1913" s="27" t="n">
        <v>41.7</v>
      </c>
      <c r="E1913" s="27" t="n">
        <v>20.7</v>
      </c>
      <c r="F1913" s="27" t="n">
        <v>29.8</v>
      </c>
      <c r="G1913" s="27" t="n">
        <v>33.7</v>
      </c>
      <c r="H1913" s="27" t="s">
        <v>199</v>
      </c>
      <c r="I1913" s="42" t="n">
        <f aca="false">(D1913-INDEX('Cohort Summary'!$D$5:$D$14,MATCH($A1913,'Cohort Summary'!$A$5:$A$14,0)))/INDEX('Cohort Summary'!$E$5:$E$14,MATCH($A1913,'Cohort Summary'!$A$5:$A$14,0))</f>
        <v>-0.445993031358883</v>
      </c>
      <c r="J1913" s="42" t="n">
        <f aca="false">(E1913-INDEX('Cohort Summary'!$F$5:$F$14,MATCH($A1913,'Cohort Summary'!$A$5:$A$14,0)))/INDEX('Cohort Summary'!$G$5:$G$14,MATCH($A1913,'Cohort Summary'!$A$5:$A$14,0))</f>
        <v>0.2</v>
      </c>
      <c r="K1913" s="42" t="n">
        <f aca="false">(F1913-INDEX('Cohort Summary'!$H$5:$H$14,MATCH($A1913,'Cohort Summary'!$A$5:$A$14,0)))/INDEX('Cohort Summary'!$I$5:$I$14,MATCH($A1913,'Cohort Summary'!$A$5:$A$14,0))</f>
        <v>-0.0230263157894738</v>
      </c>
      <c r="L1913" s="42" t="n">
        <f aca="false">(G1913-INDEX('Cohort Summary'!$J$5:$J$14,MATCH($A1913,'Cohort Summary'!$A$5:$A$14,0)))/INDEX('Cohort Summary'!$K$5:$K$14,MATCH($A1913,'Cohort Summary'!$A$5:$A$14,0))</f>
        <v>1.22033898305086</v>
      </c>
      <c r="M1913" s="42" t="n">
        <f aca="false">MAX(I1913:K1913)</f>
        <v>0.2</v>
      </c>
      <c r="N1913" s="27" t="s">
        <v>197</v>
      </c>
      <c r="O1913" s="27"/>
      <c r="P1913" s="27" t="str">
        <f aca="false">A1913&amp;"|"&amp;N1913</f>
        <v>NURSE-10|normal</v>
      </c>
    </row>
    <row r="1914" customFormat="false" ht="15" hidden="false" customHeight="true" outlineLevel="0" collapsed="false">
      <c r="A1914" s="27" t="s">
        <v>104</v>
      </c>
      <c r="B1914" s="41" t="n">
        <v>46303.3305555556</v>
      </c>
      <c r="C1914" s="27" t="s">
        <v>200</v>
      </c>
      <c r="D1914" s="27" t="n">
        <v>45.5</v>
      </c>
      <c r="E1914" s="27" t="n">
        <v>19.8</v>
      </c>
      <c r="F1914" s="27" t="n">
        <v>31.2</v>
      </c>
      <c r="G1914" s="27" t="n">
        <v>32.9</v>
      </c>
      <c r="H1914" s="27" t="s">
        <v>199</v>
      </c>
      <c r="I1914" s="42" t="n">
        <f aca="false">(D1914-INDEX('Cohort Summary'!$D$5:$D$14,MATCH($A1914,'Cohort Summary'!$A$5:$A$14,0)))/INDEX('Cohort Summary'!$E$5:$E$14,MATCH($A1914,'Cohort Summary'!$A$5:$A$14,0))</f>
        <v>0.878048780487806</v>
      </c>
      <c r="J1914" s="42" t="n">
        <f aca="false">(E1914-INDEX('Cohort Summary'!$F$5:$F$14,MATCH($A1914,'Cohort Summary'!$A$5:$A$14,0)))/INDEX('Cohort Summary'!$G$5:$G$14,MATCH($A1914,'Cohort Summary'!$A$5:$A$14,0))</f>
        <v>-0.239024390243902</v>
      </c>
      <c r="K1914" s="42" t="n">
        <f aca="false">(F1914-INDEX('Cohort Summary'!$H$5:$H$14,MATCH($A1914,'Cohort Summary'!$A$5:$A$14,0)))/INDEX('Cohort Summary'!$I$5:$I$14,MATCH($A1914,'Cohort Summary'!$A$5:$A$14,0))</f>
        <v>0.437499999999999</v>
      </c>
      <c r="L1914" s="42" t="n">
        <f aca="false">(G1914-INDEX('Cohort Summary'!$J$5:$J$14,MATCH($A1914,'Cohort Summary'!$A$5:$A$14,0)))/INDEX('Cohort Summary'!$K$5:$K$14,MATCH($A1914,'Cohort Summary'!$A$5:$A$14,0))</f>
        <v>-0.13559322033898</v>
      </c>
      <c r="M1914" s="42" t="n">
        <f aca="false">MAX(I1914:K1914)</f>
        <v>0.878048780487806</v>
      </c>
      <c r="N1914" s="27" t="s">
        <v>197</v>
      </c>
      <c r="O1914" s="27"/>
      <c r="P1914" s="27" t="str">
        <f aca="false">A1914&amp;"|"&amp;N1914</f>
        <v>NURSE-10|normal</v>
      </c>
    </row>
    <row r="1915" customFormat="false" ht="15" hidden="false" customHeight="true" outlineLevel="0" collapsed="false">
      <c r="A1915" s="27" t="s">
        <v>104</v>
      </c>
      <c r="B1915" s="41" t="n">
        <v>46303.3309027778</v>
      </c>
      <c r="C1915" s="27" t="s">
        <v>200</v>
      </c>
      <c r="D1915" s="27" t="n">
        <v>47.8</v>
      </c>
      <c r="E1915" s="27" t="n">
        <v>20.5</v>
      </c>
      <c r="F1915" s="27" t="n">
        <v>32.3</v>
      </c>
      <c r="G1915" s="27" t="n">
        <v>32.8</v>
      </c>
      <c r="H1915" s="27" t="s">
        <v>198</v>
      </c>
      <c r="I1915" s="42" t="n">
        <f aca="false">(D1915-INDEX('Cohort Summary'!$D$5:$D$14,MATCH($A1915,'Cohort Summary'!$A$5:$A$14,0)))/INDEX('Cohort Summary'!$E$5:$E$14,MATCH($A1915,'Cohort Summary'!$A$5:$A$14,0))</f>
        <v>1.6794425087108</v>
      </c>
      <c r="J1915" s="42" t="n">
        <f aca="false">(E1915-INDEX('Cohort Summary'!$F$5:$F$14,MATCH($A1915,'Cohort Summary'!$A$5:$A$14,0)))/INDEX('Cohort Summary'!$G$5:$G$14,MATCH($A1915,'Cohort Summary'!$A$5:$A$14,0))</f>
        <v>0.102439024390244</v>
      </c>
      <c r="K1915" s="42" t="n">
        <f aca="false">(F1915-INDEX('Cohort Summary'!$H$5:$H$14,MATCH($A1915,'Cohort Summary'!$A$5:$A$14,0)))/INDEX('Cohort Summary'!$I$5:$I$14,MATCH($A1915,'Cohort Summary'!$A$5:$A$14,0))</f>
        <v>0.799342105263157</v>
      </c>
      <c r="L1915" s="42" t="n">
        <f aca="false">(G1915-INDEX('Cohort Summary'!$J$5:$J$14,MATCH($A1915,'Cohort Summary'!$A$5:$A$14,0)))/INDEX('Cohort Summary'!$K$5:$K$14,MATCH($A1915,'Cohort Summary'!$A$5:$A$14,0))</f>
        <v>-0.305084745762711</v>
      </c>
      <c r="M1915" s="42" t="n">
        <f aca="false">MAX(I1915:K1915)</f>
        <v>1.6794425087108</v>
      </c>
      <c r="N1915" s="27" t="s">
        <v>197</v>
      </c>
      <c r="O1915" s="27"/>
      <c r="P1915" s="27" t="str">
        <f aca="false">A1915&amp;"|"&amp;N1915</f>
        <v>NURSE-10|normal</v>
      </c>
    </row>
    <row r="1916" customFormat="false" ht="15" hidden="false" customHeight="true" outlineLevel="0" collapsed="false">
      <c r="A1916" s="27" t="s">
        <v>104</v>
      </c>
      <c r="B1916" s="41" t="n">
        <v>46303.33125</v>
      </c>
      <c r="C1916" s="27" t="s">
        <v>200</v>
      </c>
      <c r="D1916" s="27" t="n">
        <v>40.7</v>
      </c>
      <c r="E1916" s="27" t="n">
        <v>21.5</v>
      </c>
      <c r="F1916" s="27" t="n">
        <v>33.2</v>
      </c>
      <c r="G1916" s="27" t="n">
        <v>32.6</v>
      </c>
      <c r="H1916" s="27" t="s">
        <v>198</v>
      </c>
      <c r="I1916" s="42" t="n">
        <f aca="false">(D1916-INDEX('Cohort Summary'!$D$5:$D$14,MATCH($A1916,'Cohort Summary'!$A$5:$A$14,0)))/INDEX('Cohort Summary'!$E$5:$E$14,MATCH($A1916,'Cohort Summary'!$A$5:$A$14,0))</f>
        <v>-0.794425087108012</v>
      </c>
      <c r="J1916" s="42" t="n">
        <f aca="false">(E1916-INDEX('Cohort Summary'!$F$5:$F$14,MATCH($A1916,'Cohort Summary'!$A$5:$A$14,0)))/INDEX('Cohort Summary'!$G$5:$G$14,MATCH($A1916,'Cohort Summary'!$A$5:$A$14,0))</f>
        <v>0.590243902439025</v>
      </c>
      <c r="K1916" s="42" t="n">
        <f aca="false">(F1916-INDEX('Cohort Summary'!$H$5:$H$14,MATCH($A1916,'Cohort Summary'!$A$5:$A$14,0)))/INDEX('Cohort Summary'!$I$5:$I$14,MATCH($A1916,'Cohort Summary'!$A$5:$A$14,0))</f>
        <v>1.09539473684211</v>
      </c>
      <c r="L1916" s="42" t="n">
        <f aca="false">(G1916-INDEX('Cohort Summary'!$J$5:$J$14,MATCH($A1916,'Cohort Summary'!$A$5:$A$14,0)))/INDEX('Cohort Summary'!$K$5:$K$14,MATCH($A1916,'Cohort Summary'!$A$5:$A$14,0))</f>
        <v>-0.644067796610162</v>
      </c>
      <c r="M1916" s="42" t="n">
        <f aca="false">MAX(I1916:K1916)</f>
        <v>1.09539473684211</v>
      </c>
      <c r="N1916" s="27" t="s">
        <v>197</v>
      </c>
      <c r="O1916" s="27"/>
      <c r="P1916" s="27" t="str">
        <f aca="false">A1916&amp;"|"&amp;N1916</f>
        <v>NURSE-10|normal</v>
      </c>
    </row>
    <row r="1917" customFormat="false" ht="15" hidden="false" customHeight="true" outlineLevel="0" collapsed="false">
      <c r="A1917" s="27" t="s">
        <v>104</v>
      </c>
      <c r="B1917" s="41" t="n">
        <v>46303.3315972222</v>
      </c>
      <c r="C1917" s="27" t="s">
        <v>200</v>
      </c>
      <c r="D1917" s="27" t="n">
        <v>43.9</v>
      </c>
      <c r="E1917" s="27" t="n">
        <v>20.2</v>
      </c>
      <c r="F1917" s="27" t="n">
        <v>25.3</v>
      </c>
      <c r="G1917" s="27" t="n">
        <v>32.5</v>
      </c>
      <c r="H1917" s="27" t="s">
        <v>199</v>
      </c>
      <c r="I1917" s="42" t="n">
        <f aca="false">(D1917-INDEX('Cohort Summary'!$D$5:$D$14,MATCH($A1917,'Cohort Summary'!$A$5:$A$14,0)))/INDEX('Cohort Summary'!$E$5:$E$14,MATCH($A1917,'Cohort Summary'!$A$5:$A$14,0))</f>
        <v>0.320557491289199</v>
      </c>
      <c r="J1917" s="42" t="n">
        <f aca="false">(E1917-INDEX('Cohort Summary'!$F$5:$F$14,MATCH($A1917,'Cohort Summary'!$A$5:$A$14,0)))/INDEX('Cohort Summary'!$G$5:$G$14,MATCH($A1917,'Cohort Summary'!$A$5:$A$14,0))</f>
        <v>-0.0439024390243902</v>
      </c>
      <c r="K1917" s="42" t="n">
        <f aca="false">(F1917-INDEX('Cohort Summary'!$H$5:$H$14,MATCH($A1917,'Cohort Summary'!$A$5:$A$14,0)))/INDEX('Cohort Summary'!$I$5:$I$14,MATCH($A1917,'Cohort Summary'!$A$5:$A$14,0))</f>
        <v>-1.50328947368421</v>
      </c>
      <c r="L1917" s="42" t="n">
        <f aca="false">(G1917-INDEX('Cohort Summary'!$J$5:$J$14,MATCH($A1917,'Cohort Summary'!$A$5:$A$14,0)))/INDEX('Cohort Summary'!$K$5:$K$14,MATCH($A1917,'Cohort Summary'!$A$5:$A$14,0))</f>
        <v>-0.813559322033893</v>
      </c>
      <c r="M1917" s="42" t="n">
        <f aca="false">MAX(I1917:K1917)</f>
        <v>0.320557491289199</v>
      </c>
      <c r="N1917" s="27" t="s">
        <v>197</v>
      </c>
      <c r="O1917" s="27"/>
      <c r="P1917" s="27" t="str">
        <f aca="false">A1917&amp;"|"&amp;N1917</f>
        <v>NURSE-10|normal</v>
      </c>
    </row>
    <row r="1918" customFormat="false" ht="15" hidden="false" customHeight="true" outlineLevel="0" collapsed="false">
      <c r="A1918" s="27" t="s">
        <v>104</v>
      </c>
      <c r="B1918" s="41" t="n">
        <v>46303.3319444444</v>
      </c>
      <c r="C1918" s="27" t="s">
        <v>200</v>
      </c>
      <c r="D1918" s="27" t="n">
        <v>47.4</v>
      </c>
      <c r="E1918" s="27" t="n">
        <v>18</v>
      </c>
      <c r="F1918" s="27" t="n">
        <v>27.3</v>
      </c>
      <c r="G1918" s="27" t="n">
        <v>32.3</v>
      </c>
      <c r="H1918" s="27" t="s">
        <v>196</v>
      </c>
      <c r="I1918" s="42" t="n">
        <f aca="false">(D1918-INDEX('Cohort Summary'!$D$5:$D$14,MATCH($A1918,'Cohort Summary'!$A$5:$A$14,0)))/INDEX('Cohort Summary'!$E$5:$E$14,MATCH($A1918,'Cohort Summary'!$A$5:$A$14,0))</f>
        <v>1.54006968641115</v>
      </c>
      <c r="J1918" s="42" t="n">
        <f aca="false">(E1918-INDEX('Cohort Summary'!$F$5:$F$14,MATCH($A1918,'Cohort Summary'!$A$5:$A$14,0)))/INDEX('Cohort Summary'!$G$5:$G$14,MATCH($A1918,'Cohort Summary'!$A$5:$A$14,0))</f>
        <v>-1.11707317073171</v>
      </c>
      <c r="K1918" s="42" t="n">
        <f aca="false">(F1918-INDEX('Cohort Summary'!$H$5:$H$14,MATCH($A1918,'Cohort Summary'!$A$5:$A$14,0)))/INDEX('Cohort Summary'!$I$5:$I$14,MATCH($A1918,'Cohort Summary'!$A$5:$A$14,0))</f>
        <v>-0.845394736842105</v>
      </c>
      <c r="L1918" s="42" t="n">
        <f aca="false">(G1918-INDEX('Cohort Summary'!$J$5:$J$14,MATCH($A1918,'Cohort Summary'!$A$5:$A$14,0)))/INDEX('Cohort Summary'!$K$5:$K$14,MATCH($A1918,'Cohort Summary'!$A$5:$A$14,0))</f>
        <v>-1.15254237288136</v>
      </c>
      <c r="M1918" s="42" t="n">
        <f aca="false">MAX(I1918:K1918)</f>
        <v>1.54006968641115</v>
      </c>
      <c r="N1918" s="27" t="s">
        <v>197</v>
      </c>
      <c r="O1918" s="27"/>
      <c r="P1918" s="27" t="str">
        <f aca="false">A1918&amp;"|"&amp;N1918</f>
        <v>NURSE-10|normal</v>
      </c>
    </row>
    <row r="1919" customFormat="false" ht="15" hidden="false" customHeight="true" outlineLevel="0" collapsed="false">
      <c r="A1919" s="27" t="s">
        <v>104</v>
      </c>
      <c r="B1919" s="41" t="n">
        <v>46303.3322916667</v>
      </c>
      <c r="C1919" s="27" t="s">
        <v>200</v>
      </c>
      <c r="D1919" s="27" t="n">
        <v>41.2</v>
      </c>
      <c r="E1919" s="27" t="n">
        <v>19.2</v>
      </c>
      <c r="F1919" s="27" t="n">
        <v>26.4</v>
      </c>
      <c r="G1919" s="27" t="n">
        <v>32.6</v>
      </c>
      <c r="H1919" s="27" t="s">
        <v>196</v>
      </c>
      <c r="I1919" s="42" t="n">
        <f aca="false">(D1919-INDEX('Cohort Summary'!$D$5:$D$14,MATCH($A1919,'Cohort Summary'!$A$5:$A$14,0)))/INDEX('Cohort Summary'!$E$5:$E$14,MATCH($A1919,'Cohort Summary'!$A$5:$A$14,0))</f>
        <v>-0.620209059233447</v>
      </c>
      <c r="J1919" s="42" t="n">
        <f aca="false">(E1919-INDEX('Cohort Summary'!$F$5:$F$14,MATCH($A1919,'Cohort Summary'!$A$5:$A$14,0)))/INDEX('Cohort Summary'!$G$5:$G$14,MATCH($A1919,'Cohort Summary'!$A$5:$A$14,0))</f>
        <v>-0.531707317073171</v>
      </c>
      <c r="K1919" s="42" t="n">
        <f aca="false">(F1919-INDEX('Cohort Summary'!$H$5:$H$14,MATCH($A1919,'Cohort Summary'!$A$5:$A$14,0)))/INDEX('Cohort Summary'!$I$5:$I$14,MATCH($A1919,'Cohort Summary'!$A$5:$A$14,0))</f>
        <v>-1.14144736842105</v>
      </c>
      <c r="L1919" s="42" t="n">
        <f aca="false">(G1919-INDEX('Cohort Summary'!$J$5:$J$14,MATCH($A1919,'Cohort Summary'!$A$5:$A$14,0)))/INDEX('Cohort Summary'!$K$5:$K$14,MATCH($A1919,'Cohort Summary'!$A$5:$A$14,0))</f>
        <v>-0.644067796610162</v>
      </c>
      <c r="M1919" s="42" t="n">
        <f aca="false">MAX(I1919:K1919)</f>
        <v>-0.531707317073171</v>
      </c>
      <c r="N1919" s="27" t="s">
        <v>197</v>
      </c>
      <c r="O1919" s="27"/>
      <c r="P1919" s="27" t="str">
        <f aca="false">A1919&amp;"|"&amp;N1919</f>
        <v>NURSE-10|normal</v>
      </c>
    </row>
    <row r="1920" customFormat="false" ht="15" hidden="false" customHeight="true" outlineLevel="0" collapsed="false">
      <c r="A1920" s="27" t="s">
        <v>104</v>
      </c>
      <c r="B1920" s="41" t="n">
        <v>46303.3326388889</v>
      </c>
      <c r="C1920" s="27" t="s">
        <v>200</v>
      </c>
      <c r="D1920" s="27" t="n">
        <v>38.8</v>
      </c>
      <c r="E1920" s="27" t="n">
        <v>21.6</v>
      </c>
      <c r="F1920" s="27" t="n">
        <v>29.8</v>
      </c>
      <c r="G1920" s="27" t="n">
        <v>33.5</v>
      </c>
      <c r="H1920" s="27" t="s">
        <v>199</v>
      </c>
      <c r="I1920" s="42" t="n">
        <f aca="false">(D1920-INDEX('Cohort Summary'!$D$5:$D$14,MATCH($A1920,'Cohort Summary'!$A$5:$A$14,0)))/INDEX('Cohort Summary'!$E$5:$E$14,MATCH($A1920,'Cohort Summary'!$A$5:$A$14,0))</f>
        <v>-1.45644599303136</v>
      </c>
      <c r="J1920" s="42" t="n">
        <f aca="false">(E1920-INDEX('Cohort Summary'!$F$5:$F$14,MATCH($A1920,'Cohort Summary'!$A$5:$A$14,0)))/INDEX('Cohort Summary'!$G$5:$G$14,MATCH($A1920,'Cohort Summary'!$A$5:$A$14,0))</f>
        <v>0.639024390243904</v>
      </c>
      <c r="K1920" s="42" t="n">
        <f aca="false">(F1920-INDEX('Cohort Summary'!$H$5:$H$14,MATCH($A1920,'Cohort Summary'!$A$5:$A$14,0)))/INDEX('Cohort Summary'!$I$5:$I$14,MATCH($A1920,'Cohort Summary'!$A$5:$A$14,0))</f>
        <v>-0.0230263157894738</v>
      </c>
      <c r="L1920" s="42" t="n">
        <f aca="false">(G1920-INDEX('Cohort Summary'!$J$5:$J$14,MATCH($A1920,'Cohort Summary'!$A$5:$A$14,0)))/INDEX('Cohort Summary'!$K$5:$K$14,MATCH($A1920,'Cohort Summary'!$A$5:$A$14,0))</f>
        <v>0.881355932203395</v>
      </c>
      <c r="M1920" s="42" t="n">
        <f aca="false">MAX(I1920:K1920)</f>
        <v>0.639024390243904</v>
      </c>
      <c r="N1920" s="27" t="s">
        <v>197</v>
      </c>
      <c r="O1920" s="27"/>
      <c r="P1920" s="27" t="str">
        <f aca="false">A1920&amp;"|"&amp;N1920</f>
        <v>NURSE-10|normal</v>
      </c>
    </row>
    <row r="1921" customFormat="false" ht="15" hidden="false" customHeight="true" outlineLevel="0" collapsed="false">
      <c r="A1921" s="27" t="s">
        <v>104</v>
      </c>
      <c r="B1921" s="41" t="n">
        <v>46303.3329861111</v>
      </c>
      <c r="C1921" s="27" t="s">
        <v>200</v>
      </c>
      <c r="D1921" s="27" t="n">
        <v>41.5</v>
      </c>
      <c r="E1921" s="27" t="n">
        <v>23</v>
      </c>
      <c r="F1921" s="27" t="n">
        <v>27.3</v>
      </c>
      <c r="G1921" s="27" t="n">
        <v>33.3</v>
      </c>
      <c r="H1921" s="27" t="s">
        <v>198</v>
      </c>
      <c r="I1921" s="42" t="n">
        <f aca="false">(D1921-INDEX('Cohort Summary'!$D$5:$D$14,MATCH($A1921,'Cohort Summary'!$A$5:$A$14,0)))/INDEX('Cohort Summary'!$E$5:$E$14,MATCH($A1921,'Cohort Summary'!$A$5:$A$14,0))</f>
        <v>-0.51567944250871</v>
      </c>
      <c r="J1921" s="42" t="n">
        <f aca="false">(E1921-INDEX('Cohort Summary'!$F$5:$F$14,MATCH($A1921,'Cohort Summary'!$A$5:$A$14,0)))/INDEX('Cohort Summary'!$G$5:$G$14,MATCH($A1921,'Cohort Summary'!$A$5:$A$14,0))</f>
        <v>1.3219512195122</v>
      </c>
      <c r="K1921" s="42" t="n">
        <f aca="false">(F1921-INDEX('Cohort Summary'!$H$5:$H$14,MATCH($A1921,'Cohort Summary'!$A$5:$A$14,0)))/INDEX('Cohort Summary'!$I$5:$I$14,MATCH($A1921,'Cohort Summary'!$A$5:$A$14,0))</f>
        <v>-0.845394736842105</v>
      </c>
      <c r="L1921" s="42" t="n">
        <f aca="false">(G1921-INDEX('Cohort Summary'!$J$5:$J$14,MATCH($A1921,'Cohort Summary'!$A$5:$A$14,0)))/INDEX('Cohort Summary'!$K$5:$K$14,MATCH($A1921,'Cohort Summary'!$A$5:$A$14,0))</f>
        <v>0.542372881355933</v>
      </c>
      <c r="M1921" s="42" t="n">
        <f aca="false">MAX(I1921:K1921)</f>
        <v>1.3219512195122</v>
      </c>
      <c r="N1921" s="27" t="s">
        <v>197</v>
      </c>
      <c r="O1921" s="27"/>
      <c r="P1921" s="27" t="str">
        <f aca="false">A1921&amp;"|"&amp;N1921</f>
        <v>NURSE-10|normal</v>
      </c>
    </row>
    <row r="1922" customFormat="false" ht="15" hidden="false" customHeight="true" outlineLevel="0" collapsed="false">
      <c r="A1922" s="27" t="s">
        <v>104</v>
      </c>
      <c r="B1922" s="41" t="n">
        <v>46303.3333333333</v>
      </c>
      <c r="C1922" s="27" t="s">
        <v>200</v>
      </c>
      <c r="D1922" s="27" t="n">
        <v>43</v>
      </c>
      <c r="E1922" s="27" t="n">
        <v>18.2</v>
      </c>
      <c r="F1922" s="27" t="n">
        <v>30.9</v>
      </c>
      <c r="G1922" s="27" t="n">
        <v>33.4</v>
      </c>
      <c r="H1922" s="27" t="s">
        <v>199</v>
      </c>
      <c r="I1922" s="42" t="n">
        <f aca="false">(D1922-INDEX('Cohort Summary'!$D$5:$D$14,MATCH($A1922,'Cohort Summary'!$A$5:$A$14,0)))/INDEX('Cohort Summary'!$E$5:$E$14,MATCH($A1922,'Cohort Summary'!$A$5:$A$14,0))</f>
        <v>0.00696864111498367</v>
      </c>
      <c r="J1922" s="42" t="n">
        <f aca="false">(E1922-INDEX('Cohort Summary'!$F$5:$F$14,MATCH($A1922,'Cohort Summary'!$A$5:$A$14,0)))/INDEX('Cohort Summary'!$G$5:$G$14,MATCH($A1922,'Cohort Summary'!$A$5:$A$14,0))</f>
        <v>-1.01951219512195</v>
      </c>
      <c r="K1922" s="42" t="n">
        <f aca="false">(F1922-INDEX('Cohort Summary'!$H$5:$H$14,MATCH($A1922,'Cohort Summary'!$A$5:$A$14,0)))/INDEX('Cohort Summary'!$I$5:$I$14,MATCH($A1922,'Cohort Summary'!$A$5:$A$14,0))</f>
        <v>0.338815789473683</v>
      </c>
      <c r="L1922" s="42" t="n">
        <f aca="false">(G1922-INDEX('Cohort Summary'!$J$5:$J$14,MATCH($A1922,'Cohort Summary'!$A$5:$A$14,0)))/INDEX('Cohort Summary'!$K$5:$K$14,MATCH($A1922,'Cohort Summary'!$A$5:$A$14,0))</f>
        <v>0.711864406779664</v>
      </c>
      <c r="M1922" s="42" t="n">
        <f aca="false">MAX(I1922:K1922)</f>
        <v>0.338815789473683</v>
      </c>
      <c r="N1922" s="27" t="s">
        <v>197</v>
      </c>
      <c r="O1922" s="27"/>
      <c r="P1922" s="27" t="str">
        <f aca="false">A1922&amp;"|"&amp;N1922</f>
        <v>NURSE-10|normal</v>
      </c>
    </row>
    <row r="1923" customFormat="false" ht="15" hidden="false" customHeight="true" outlineLevel="0" collapsed="false">
      <c r="A1923" s="27" t="s">
        <v>104</v>
      </c>
      <c r="B1923" s="41" t="n">
        <v>46303.3336805556</v>
      </c>
      <c r="C1923" s="27" t="s">
        <v>200</v>
      </c>
      <c r="D1923" s="27" t="n">
        <v>39.1</v>
      </c>
      <c r="E1923" s="27" t="n">
        <v>20.2</v>
      </c>
      <c r="F1923" s="27" t="n">
        <v>27.1</v>
      </c>
      <c r="G1923" s="27" t="n">
        <v>32.7</v>
      </c>
      <c r="H1923" s="27" t="s">
        <v>199</v>
      </c>
      <c r="I1923" s="42" t="n">
        <f aca="false">(D1923-INDEX('Cohort Summary'!$D$5:$D$14,MATCH($A1923,'Cohort Summary'!$A$5:$A$14,0)))/INDEX('Cohort Summary'!$E$5:$E$14,MATCH($A1923,'Cohort Summary'!$A$5:$A$14,0))</f>
        <v>-1.35191637630662</v>
      </c>
      <c r="J1923" s="42" t="n">
        <f aca="false">(E1923-INDEX('Cohort Summary'!$F$5:$F$14,MATCH($A1923,'Cohort Summary'!$A$5:$A$14,0)))/INDEX('Cohort Summary'!$G$5:$G$14,MATCH($A1923,'Cohort Summary'!$A$5:$A$14,0))</f>
        <v>-0.0439024390243902</v>
      </c>
      <c r="K1923" s="42" t="n">
        <f aca="false">(F1923-INDEX('Cohort Summary'!$H$5:$H$14,MATCH($A1923,'Cohort Summary'!$A$5:$A$14,0)))/INDEX('Cohort Summary'!$I$5:$I$14,MATCH($A1923,'Cohort Summary'!$A$5:$A$14,0))</f>
        <v>-0.911184210526316</v>
      </c>
      <c r="L1923" s="42" t="n">
        <f aca="false">(G1923-INDEX('Cohort Summary'!$J$5:$J$14,MATCH($A1923,'Cohort Summary'!$A$5:$A$14,0)))/INDEX('Cohort Summary'!$K$5:$K$14,MATCH($A1923,'Cohort Summary'!$A$5:$A$14,0))</f>
        <v>-0.474576271186431</v>
      </c>
      <c r="M1923" s="42" t="n">
        <f aca="false">MAX(I1923:K1923)</f>
        <v>-0.0439024390243902</v>
      </c>
      <c r="N1923" s="27" t="s">
        <v>197</v>
      </c>
      <c r="O1923" s="27"/>
      <c r="P1923" s="27" t="str">
        <f aca="false">A1923&amp;"|"&amp;N1923</f>
        <v>NURSE-10|normal</v>
      </c>
    </row>
    <row r="1924" customFormat="false" ht="15" hidden="false" customHeight="true" outlineLevel="0" collapsed="false">
      <c r="A1924" s="27" t="s">
        <v>104</v>
      </c>
      <c r="B1924" s="41" t="n">
        <v>46303.3340277778</v>
      </c>
      <c r="C1924" s="27" t="s">
        <v>200</v>
      </c>
      <c r="D1924" s="27" t="n">
        <v>40.7</v>
      </c>
      <c r="E1924" s="27" t="n">
        <v>23.5</v>
      </c>
      <c r="F1924" s="27" t="n">
        <v>27.8</v>
      </c>
      <c r="G1924" s="27" t="n">
        <v>32.6</v>
      </c>
      <c r="H1924" s="27" t="s">
        <v>196</v>
      </c>
      <c r="I1924" s="42" t="n">
        <f aca="false">(D1924-INDEX('Cohort Summary'!$D$5:$D$14,MATCH($A1924,'Cohort Summary'!$A$5:$A$14,0)))/INDEX('Cohort Summary'!$E$5:$E$14,MATCH($A1924,'Cohort Summary'!$A$5:$A$14,0))</f>
        <v>-0.794425087108012</v>
      </c>
      <c r="J1924" s="42" t="n">
        <f aca="false">(E1924-INDEX('Cohort Summary'!$F$5:$F$14,MATCH($A1924,'Cohort Summary'!$A$5:$A$14,0)))/INDEX('Cohort Summary'!$G$5:$G$14,MATCH($A1924,'Cohort Summary'!$A$5:$A$14,0))</f>
        <v>1.56585365853659</v>
      </c>
      <c r="K1924" s="42" t="n">
        <f aca="false">(F1924-INDEX('Cohort Summary'!$H$5:$H$14,MATCH($A1924,'Cohort Summary'!$A$5:$A$14,0)))/INDEX('Cohort Summary'!$I$5:$I$14,MATCH($A1924,'Cohort Summary'!$A$5:$A$14,0))</f>
        <v>-0.680921052631579</v>
      </c>
      <c r="L1924" s="42" t="n">
        <f aca="false">(G1924-INDEX('Cohort Summary'!$J$5:$J$14,MATCH($A1924,'Cohort Summary'!$A$5:$A$14,0)))/INDEX('Cohort Summary'!$K$5:$K$14,MATCH($A1924,'Cohort Summary'!$A$5:$A$14,0))</f>
        <v>-0.644067796610162</v>
      </c>
      <c r="M1924" s="42" t="n">
        <f aca="false">MAX(I1924:K1924)</f>
        <v>1.56585365853659</v>
      </c>
      <c r="N1924" s="27" t="s">
        <v>197</v>
      </c>
      <c r="O1924" s="27"/>
      <c r="P1924" s="27" t="str">
        <f aca="false">A1924&amp;"|"&amp;N1924</f>
        <v>NURSE-10|normal</v>
      </c>
    </row>
    <row r="1925" customFormat="false" ht="15" hidden="false" customHeight="true" outlineLevel="0" collapsed="false">
      <c r="A1925" s="27" t="s">
        <v>104</v>
      </c>
      <c r="B1925" s="41" t="n">
        <v>46303.334375</v>
      </c>
      <c r="C1925" s="27" t="s">
        <v>200</v>
      </c>
      <c r="D1925" s="27" t="n">
        <v>38.5</v>
      </c>
      <c r="E1925" s="27" t="n">
        <v>21.1</v>
      </c>
      <c r="F1925" s="27" t="n">
        <v>26.6</v>
      </c>
      <c r="G1925" s="27" t="n">
        <v>32.8</v>
      </c>
      <c r="H1925" s="27" t="s">
        <v>199</v>
      </c>
      <c r="I1925" s="42" t="n">
        <f aca="false">(D1925-INDEX('Cohort Summary'!$D$5:$D$14,MATCH($A1925,'Cohort Summary'!$A$5:$A$14,0)))/INDEX('Cohort Summary'!$E$5:$E$14,MATCH($A1925,'Cohort Summary'!$A$5:$A$14,0))</f>
        <v>-1.5609756097561</v>
      </c>
      <c r="J1925" s="42" t="n">
        <f aca="false">(E1925-INDEX('Cohort Summary'!$F$5:$F$14,MATCH($A1925,'Cohort Summary'!$A$5:$A$14,0)))/INDEX('Cohort Summary'!$G$5:$G$14,MATCH($A1925,'Cohort Summary'!$A$5:$A$14,0))</f>
        <v>0.395121951219513</v>
      </c>
      <c r="K1925" s="42" t="n">
        <f aca="false">(F1925-INDEX('Cohort Summary'!$H$5:$H$14,MATCH($A1925,'Cohort Summary'!$A$5:$A$14,0)))/INDEX('Cohort Summary'!$I$5:$I$14,MATCH($A1925,'Cohort Summary'!$A$5:$A$14,0))</f>
        <v>-1.07565789473684</v>
      </c>
      <c r="L1925" s="42" t="n">
        <f aca="false">(G1925-INDEX('Cohort Summary'!$J$5:$J$14,MATCH($A1925,'Cohort Summary'!$A$5:$A$14,0)))/INDEX('Cohort Summary'!$K$5:$K$14,MATCH($A1925,'Cohort Summary'!$A$5:$A$14,0))</f>
        <v>-0.305084745762711</v>
      </c>
      <c r="M1925" s="42" t="n">
        <f aca="false">MAX(I1925:K1925)</f>
        <v>0.395121951219513</v>
      </c>
      <c r="N1925" s="27" t="s">
        <v>197</v>
      </c>
      <c r="O1925" s="27"/>
      <c r="P1925" s="27" t="str">
        <f aca="false">A1925&amp;"|"&amp;N1925</f>
        <v>NURSE-10|normal</v>
      </c>
    </row>
    <row r="1926" customFormat="false" ht="15" hidden="false" customHeight="true" outlineLevel="0" collapsed="false">
      <c r="A1926" s="27" t="s">
        <v>104</v>
      </c>
      <c r="B1926" s="41" t="n">
        <v>46303.3347222222</v>
      </c>
      <c r="C1926" s="27" t="s">
        <v>200</v>
      </c>
      <c r="D1926" s="27" t="n">
        <v>40.2</v>
      </c>
      <c r="E1926" s="27" t="n">
        <v>18.2</v>
      </c>
      <c r="F1926" s="27" t="n">
        <v>29.4</v>
      </c>
      <c r="G1926" s="27" t="n">
        <v>32.6</v>
      </c>
      <c r="H1926" s="27" t="s">
        <v>196</v>
      </c>
      <c r="I1926" s="42" t="n">
        <f aca="false">(D1926-INDEX('Cohort Summary'!$D$5:$D$14,MATCH($A1926,'Cohort Summary'!$A$5:$A$14,0)))/INDEX('Cohort Summary'!$E$5:$E$14,MATCH($A1926,'Cohort Summary'!$A$5:$A$14,0))</f>
        <v>-0.968641114982576</v>
      </c>
      <c r="J1926" s="42" t="n">
        <f aca="false">(E1926-INDEX('Cohort Summary'!$F$5:$F$14,MATCH($A1926,'Cohort Summary'!$A$5:$A$14,0)))/INDEX('Cohort Summary'!$G$5:$G$14,MATCH($A1926,'Cohort Summary'!$A$5:$A$14,0))</f>
        <v>-1.01951219512195</v>
      </c>
      <c r="K1926" s="42" t="n">
        <f aca="false">(F1926-INDEX('Cohort Summary'!$H$5:$H$14,MATCH($A1926,'Cohort Summary'!$A$5:$A$14,0)))/INDEX('Cohort Summary'!$I$5:$I$14,MATCH($A1926,'Cohort Summary'!$A$5:$A$14,0))</f>
        <v>-0.154605263157896</v>
      </c>
      <c r="L1926" s="42" t="n">
        <f aca="false">(G1926-INDEX('Cohort Summary'!$J$5:$J$14,MATCH($A1926,'Cohort Summary'!$A$5:$A$14,0)))/INDEX('Cohort Summary'!$K$5:$K$14,MATCH($A1926,'Cohort Summary'!$A$5:$A$14,0))</f>
        <v>-0.644067796610162</v>
      </c>
      <c r="M1926" s="42" t="n">
        <f aca="false">MAX(I1926:K1926)</f>
        <v>-0.154605263157896</v>
      </c>
      <c r="N1926" s="27" t="s">
        <v>197</v>
      </c>
      <c r="O1926" s="27"/>
      <c r="P1926" s="27" t="str">
        <f aca="false">A1926&amp;"|"&amp;N1926</f>
        <v>NURSE-10|normal</v>
      </c>
    </row>
    <row r="1927" customFormat="false" ht="15" hidden="false" customHeight="true" outlineLevel="0" collapsed="false">
      <c r="A1927" s="27" t="s">
        <v>104</v>
      </c>
      <c r="B1927" s="41" t="n">
        <v>46303.3350694445</v>
      </c>
      <c r="C1927" s="27" t="s">
        <v>200</v>
      </c>
      <c r="D1927" s="27" t="n">
        <v>43.3</v>
      </c>
      <c r="E1927" s="27" t="n">
        <v>24</v>
      </c>
      <c r="F1927" s="27" t="n">
        <v>31.8</v>
      </c>
      <c r="G1927" s="27" t="n">
        <v>32</v>
      </c>
      <c r="H1927" s="27" t="s">
        <v>199</v>
      </c>
      <c r="I1927" s="42" t="n">
        <f aca="false">(D1927-INDEX('Cohort Summary'!$D$5:$D$14,MATCH($A1927,'Cohort Summary'!$A$5:$A$14,0)))/INDEX('Cohort Summary'!$E$5:$E$14,MATCH($A1927,'Cohort Summary'!$A$5:$A$14,0))</f>
        <v>0.111498257839721</v>
      </c>
      <c r="J1927" s="42" t="n">
        <f aca="false">(E1927-INDEX('Cohort Summary'!$F$5:$F$14,MATCH($A1927,'Cohort Summary'!$A$5:$A$14,0)))/INDEX('Cohort Summary'!$G$5:$G$14,MATCH($A1927,'Cohort Summary'!$A$5:$A$14,0))</f>
        <v>1.80975609756098</v>
      </c>
      <c r="K1927" s="42" t="n">
        <f aca="false">(F1927-INDEX('Cohort Summary'!$H$5:$H$14,MATCH($A1927,'Cohort Summary'!$A$5:$A$14,0)))/INDEX('Cohort Summary'!$I$5:$I$14,MATCH($A1927,'Cohort Summary'!$A$5:$A$14,0))</f>
        <v>0.634868421052632</v>
      </c>
      <c r="L1927" s="42" t="n">
        <f aca="false">(G1927-INDEX('Cohort Summary'!$J$5:$J$14,MATCH($A1927,'Cohort Summary'!$A$5:$A$14,0)))/INDEX('Cohort Summary'!$K$5:$K$14,MATCH($A1927,'Cohort Summary'!$A$5:$A$14,0))</f>
        <v>-1.66101694915254</v>
      </c>
      <c r="M1927" s="42" t="n">
        <f aca="false">MAX(I1927:K1927)</f>
        <v>1.80975609756098</v>
      </c>
      <c r="N1927" s="27" t="s">
        <v>197</v>
      </c>
      <c r="O1927" s="27"/>
      <c r="P1927" s="27" t="str">
        <f aca="false">A1927&amp;"|"&amp;N1927</f>
        <v>NURSE-10|normal</v>
      </c>
    </row>
    <row r="1928" customFormat="false" ht="15" hidden="false" customHeight="true" outlineLevel="0" collapsed="false">
      <c r="A1928" s="27" t="s">
        <v>104</v>
      </c>
      <c r="B1928" s="41" t="n">
        <v>46303.3354166667</v>
      </c>
      <c r="C1928" s="27" t="s">
        <v>200</v>
      </c>
      <c r="D1928" s="27" t="n">
        <v>41.1</v>
      </c>
      <c r="E1928" s="27" t="n">
        <v>17.9</v>
      </c>
      <c r="F1928" s="27" t="n">
        <v>29.3</v>
      </c>
      <c r="G1928" s="27" t="n">
        <v>32.7</v>
      </c>
      <c r="H1928" s="27" t="s">
        <v>196</v>
      </c>
      <c r="I1928" s="42" t="n">
        <f aca="false">(D1928-INDEX('Cohort Summary'!$D$5:$D$14,MATCH($A1928,'Cohort Summary'!$A$5:$A$14,0)))/INDEX('Cohort Summary'!$E$5:$E$14,MATCH($A1928,'Cohort Summary'!$A$5:$A$14,0))</f>
        <v>-0.655052264808361</v>
      </c>
      <c r="J1928" s="42" t="n">
        <f aca="false">(E1928-INDEX('Cohort Summary'!$F$5:$F$14,MATCH($A1928,'Cohort Summary'!$A$5:$A$14,0)))/INDEX('Cohort Summary'!$G$5:$G$14,MATCH($A1928,'Cohort Summary'!$A$5:$A$14,0))</f>
        <v>-1.16585365853659</v>
      </c>
      <c r="K1928" s="42" t="n">
        <f aca="false">(F1928-INDEX('Cohort Summary'!$H$5:$H$14,MATCH($A1928,'Cohort Summary'!$A$5:$A$14,0)))/INDEX('Cohort Summary'!$I$5:$I$14,MATCH($A1928,'Cohort Summary'!$A$5:$A$14,0))</f>
        <v>-0.1875</v>
      </c>
      <c r="L1928" s="42" t="n">
        <f aca="false">(G1928-INDEX('Cohort Summary'!$J$5:$J$14,MATCH($A1928,'Cohort Summary'!$A$5:$A$14,0)))/INDEX('Cohort Summary'!$K$5:$K$14,MATCH($A1928,'Cohort Summary'!$A$5:$A$14,0))</f>
        <v>-0.474576271186431</v>
      </c>
      <c r="M1928" s="42" t="n">
        <f aca="false">MAX(I1928:K1928)</f>
        <v>-0.1875</v>
      </c>
      <c r="N1928" s="27" t="s">
        <v>197</v>
      </c>
      <c r="O1928" s="27"/>
      <c r="P1928" s="27" t="str">
        <f aca="false">A1928&amp;"|"&amp;N1928</f>
        <v>NURSE-10|normal</v>
      </c>
    </row>
    <row r="1929" customFormat="false" ht="15" hidden="false" customHeight="true" outlineLevel="0" collapsed="false">
      <c r="A1929" s="27" t="s">
        <v>104</v>
      </c>
      <c r="B1929" s="41" t="n">
        <v>46303.3357638889</v>
      </c>
      <c r="C1929" s="27" t="s">
        <v>200</v>
      </c>
      <c r="D1929" s="27" t="n">
        <v>45.1</v>
      </c>
      <c r="E1929" s="27" t="n">
        <v>21.8</v>
      </c>
      <c r="F1929" s="27" t="n">
        <v>25.7</v>
      </c>
      <c r="G1929" s="27" t="n">
        <v>33.4</v>
      </c>
      <c r="H1929" s="27" t="s">
        <v>198</v>
      </c>
      <c r="I1929" s="42" t="n">
        <f aca="false">(D1929-INDEX('Cohort Summary'!$D$5:$D$14,MATCH($A1929,'Cohort Summary'!$A$5:$A$14,0)))/INDEX('Cohort Summary'!$E$5:$E$14,MATCH($A1929,'Cohort Summary'!$A$5:$A$14,0))</f>
        <v>0.738675958188155</v>
      </c>
      <c r="J1929" s="42" t="n">
        <f aca="false">(E1929-INDEX('Cohort Summary'!$F$5:$F$14,MATCH($A1929,'Cohort Summary'!$A$5:$A$14,0)))/INDEX('Cohort Summary'!$G$5:$G$14,MATCH($A1929,'Cohort Summary'!$A$5:$A$14,0))</f>
        <v>0.736585365853659</v>
      </c>
      <c r="K1929" s="42" t="n">
        <f aca="false">(F1929-INDEX('Cohort Summary'!$H$5:$H$14,MATCH($A1929,'Cohort Summary'!$A$5:$A$14,0)))/INDEX('Cohort Summary'!$I$5:$I$14,MATCH($A1929,'Cohort Summary'!$A$5:$A$14,0))</f>
        <v>-1.37171052631579</v>
      </c>
      <c r="L1929" s="42" t="n">
        <f aca="false">(G1929-INDEX('Cohort Summary'!$J$5:$J$14,MATCH($A1929,'Cohort Summary'!$A$5:$A$14,0)))/INDEX('Cohort Summary'!$K$5:$K$14,MATCH($A1929,'Cohort Summary'!$A$5:$A$14,0))</f>
        <v>0.711864406779664</v>
      </c>
      <c r="M1929" s="42" t="n">
        <f aca="false">MAX(I1929:K1929)</f>
        <v>0.738675958188155</v>
      </c>
      <c r="N1929" s="27" t="s">
        <v>197</v>
      </c>
      <c r="O1929" s="27"/>
      <c r="P1929" s="27" t="str">
        <f aca="false">A1929&amp;"|"&amp;N1929</f>
        <v>NURSE-10|normal</v>
      </c>
    </row>
    <row r="1930" customFormat="false" ht="15" hidden="false" customHeight="true" outlineLevel="0" collapsed="false">
      <c r="A1930" s="27" t="s">
        <v>104</v>
      </c>
      <c r="B1930" s="41" t="n">
        <v>46303.3361111111</v>
      </c>
      <c r="C1930" s="27" t="s">
        <v>200</v>
      </c>
      <c r="D1930" s="27" t="n">
        <v>42.7</v>
      </c>
      <c r="E1930" s="27" t="n">
        <v>18.1</v>
      </c>
      <c r="F1930" s="27" t="n">
        <v>25.2</v>
      </c>
      <c r="G1930" s="27" t="n">
        <v>32.6</v>
      </c>
      <c r="H1930" s="27" t="s">
        <v>198</v>
      </c>
      <c r="I1930" s="42" t="n">
        <f aca="false">(D1930-INDEX('Cohort Summary'!$D$5:$D$14,MATCH($A1930,'Cohort Summary'!$A$5:$A$14,0)))/INDEX('Cohort Summary'!$E$5:$E$14,MATCH($A1930,'Cohort Summary'!$A$5:$A$14,0))</f>
        <v>-0.097560975609754</v>
      </c>
      <c r="J1930" s="42" t="n">
        <f aca="false">(E1930-INDEX('Cohort Summary'!$F$5:$F$14,MATCH($A1930,'Cohort Summary'!$A$5:$A$14,0)))/INDEX('Cohort Summary'!$G$5:$G$14,MATCH($A1930,'Cohort Summary'!$A$5:$A$14,0))</f>
        <v>-1.06829268292683</v>
      </c>
      <c r="K1930" s="42" t="n">
        <f aca="false">(F1930-INDEX('Cohort Summary'!$H$5:$H$14,MATCH($A1930,'Cohort Summary'!$A$5:$A$14,0)))/INDEX('Cohort Summary'!$I$5:$I$14,MATCH($A1930,'Cohort Summary'!$A$5:$A$14,0))</f>
        <v>-1.53618421052632</v>
      </c>
      <c r="L1930" s="42" t="n">
        <f aca="false">(G1930-INDEX('Cohort Summary'!$J$5:$J$14,MATCH($A1930,'Cohort Summary'!$A$5:$A$14,0)))/INDEX('Cohort Summary'!$K$5:$K$14,MATCH($A1930,'Cohort Summary'!$A$5:$A$14,0))</f>
        <v>-0.644067796610162</v>
      </c>
      <c r="M1930" s="42" t="n">
        <f aca="false">MAX(I1930:K1930)</f>
        <v>-0.097560975609754</v>
      </c>
      <c r="N1930" s="27" t="s">
        <v>197</v>
      </c>
      <c r="O1930" s="27"/>
      <c r="P1930" s="27" t="str">
        <f aca="false">A1930&amp;"|"&amp;N1930</f>
        <v>NURSE-10|normal</v>
      </c>
    </row>
    <row r="1931" customFormat="false" ht="15" hidden="false" customHeight="true" outlineLevel="0" collapsed="false">
      <c r="A1931" s="27" t="s">
        <v>104</v>
      </c>
      <c r="B1931" s="41" t="n">
        <v>46303.3364583333</v>
      </c>
      <c r="C1931" s="27" t="s">
        <v>200</v>
      </c>
      <c r="D1931" s="27" t="n">
        <v>39.5</v>
      </c>
      <c r="E1931" s="27" t="n">
        <v>24</v>
      </c>
      <c r="F1931" s="27" t="n">
        <v>25.4</v>
      </c>
      <c r="G1931" s="27" t="n">
        <v>33.7</v>
      </c>
      <c r="H1931" s="27" t="s">
        <v>196</v>
      </c>
      <c r="I1931" s="42" t="n">
        <f aca="false">(D1931-INDEX('Cohort Summary'!$D$5:$D$14,MATCH($A1931,'Cohort Summary'!$A$5:$A$14,0)))/INDEX('Cohort Summary'!$E$5:$E$14,MATCH($A1931,'Cohort Summary'!$A$5:$A$14,0))</f>
        <v>-1.21254355400697</v>
      </c>
      <c r="J1931" s="42" t="n">
        <f aca="false">(E1931-INDEX('Cohort Summary'!$F$5:$F$14,MATCH($A1931,'Cohort Summary'!$A$5:$A$14,0)))/INDEX('Cohort Summary'!$G$5:$G$14,MATCH($A1931,'Cohort Summary'!$A$5:$A$14,0))</f>
        <v>1.80975609756098</v>
      </c>
      <c r="K1931" s="42" t="n">
        <f aca="false">(F1931-INDEX('Cohort Summary'!$H$5:$H$14,MATCH($A1931,'Cohort Summary'!$A$5:$A$14,0)))/INDEX('Cohort Summary'!$I$5:$I$14,MATCH($A1931,'Cohort Summary'!$A$5:$A$14,0))</f>
        <v>-1.47039473684211</v>
      </c>
      <c r="L1931" s="42" t="n">
        <f aca="false">(G1931-INDEX('Cohort Summary'!$J$5:$J$14,MATCH($A1931,'Cohort Summary'!$A$5:$A$14,0)))/INDEX('Cohort Summary'!$K$5:$K$14,MATCH($A1931,'Cohort Summary'!$A$5:$A$14,0))</f>
        <v>1.22033898305086</v>
      </c>
      <c r="M1931" s="42" t="n">
        <f aca="false">MAX(I1931:K1931)</f>
        <v>1.80975609756098</v>
      </c>
      <c r="N1931" s="27" t="s">
        <v>197</v>
      </c>
      <c r="O1931" s="27"/>
      <c r="P1931" s="27" t="str">
        <f aca="false">A1931&amp;"|"&amp;N1931</f>
        <v>NURSE-10|normal</v>
      </c>
    </row>
    <row r="1932" customFormat="false" ht="15" hidden="false" customHeight="true" outlineLevel="0" collapsed="false">
      <c r="A1932" s="27" t="s">
        <v>104</v>
      </c>
      <c r="B1932" s="41" t="n">
        <v>46303.3368055556</v>
      </c>
      <c r="C1932" s="27" t="s">
        <v>200</v>
      </c>
      <c r="D1932" s="27" t="n">
        <v>44.2</v>
      </c>
      <c r="E1932" s="27" t="n">
        <v>17.2</v>
      </c>
      <c r="F1932" s="27" t="n">
        <v>32.4</v>
      </c>
      <c r="G1932" s="27" t="n">
        <v>33.6</v>
      </c>
      <c r="H1932" s="27" t="s">
        <v>199</v>
      </c>
      <c r="I1932" s="42" t="n">
        <f aca="false">(D1932-INDEX('Cohort Summary'!$D$5:$D$14,MATCH($A1932,'Cohort Summary'!$A$5:$A$14,0)))/INDEX('Cohort Summary'!$E$5:$E$14,MATCH($A1932,'Cohort Summary'!$A$5:$A$14,0))</f>
        <v>0.425087108013939</v>
      </c>
      <c r="J1932" s="42" t="n">
        <f aca="false">(E1932-INDEX('Cohort Summary'!$F$5:$F$14,MATCH($A1932,'Cohort Summary'!$A$5:$A$14,0)))/INDEX('Cohort Summary'!$G$5:$G$14,MATCH($A1932,'Cohort Summary'!$A$5:$A$14,0))</f>
        <v>-1.50731707317073</v>
      </c>
      <c r="K1932" s="42" t="n">
        <f aca="false">(F1932-INDEX('Cohort Summary'!$H$5:$H$14,MATCH($A1932,'Cohort Summary'!$A$5:$A$14,0)))/INDEX('Cohort Summary'!$I$5:$I$14,MATCH($A1932,'Cohort Summary'!$A$5:$A$14,0))</f>
        <v>0.832236842105262</v>
      </c>
      <c r="L1932" s="42" t="n">
        <f aca="false">(G1932-INDEX('Cohort Summary'!$J$5:$J$14,MATCH($A1932,'Cohort Summary'!$A$5:$A$14,0)))/INDEX('Cohort Summary'!$K$5:$K$14,MATCH($A1932,'Cohort Summary'!$A$5:$A$14,0))</f>
        <v>1.05084745762713</v>
      </c>
      <c r="M1932" s="42" t="n">
        <f aca="false">MAX(I1932:K1932)</f>
        <v>0.832236842105262</v>
      </c>
      <c r="N1932" s="27" t="s">
        <v>197</v>
      </c>
      <c r="O1932" s="27"/>
      <c r="P1932" s="27" t="str">
        <f aca="false">A1932&amp;"|"&amp;N1932</f>
        <v>NURSE-10|normal</v>
      </c>
    </row>
    <row r="1933" customFormat="false" ht="15" hidden="false" customHeight="true" outlineLevel="0" collapsed="false">
      <c r="A1933" s="27" t="s">
        <v>104</v>
      </c>
      <c r="B1933" s="41" t="n">
        <v>46303.3371527778</v>
      </c>
      <c r="C1933" s="27" t="s">
        <v>200</v>
      </c>
      <c r="D1933" s="27" t="n">
        <v>41.2</v>
      </c>
      <c r="E1933" s="27" t="n">
        <v>19</v>
      </c>
      <c r="F1933" s="27" t="n">
        <v>25.9</v>
      </c>
      <c r="G1933" s="27" t="n">
        <v>33.4</v>
      </c>
      <c r="H1933" s="27" t="s">
        <v>199</v>
      </c>
      <c r="I1933" s="42" t="n">
        <f aca="false">(D1933-INDEX('Cohort Summary'!$D$5:$D$14,MATCH($A1933,'Cohort Summary'!$A$5:$A$14,0)))/INDEX('Cohort Summary'!$E$5:$E$14,MATCH($A1933,'Cohort Summary'!$A$5:$A$14,0))</f>
        <v>-0.620209059233447</v>
      </c>
      <c r="J1933" s="42" t="n">
        <f aca="false">(E1933-INDEX('Cohort Summary'!$F$5:$F$14,MATCH($A1933,'Cohort Summary'!$A$5:$A$14,0)))/INDEX('Cohort Summary'!$G$5:$G$14,MATCH($A1933,'Cohort Summary'!$A$5:$A$14,0))</f>
        <v>-0.629268292682927</v>
      </c>
      <c r="K1933" s="42" t="n">
        <f aca="false">(F1933-INDEX('Cohort Summary'!$H$5:$H$14,MATCH($A1933,'Cohort Summary'!$A$5:$A$14,0)))/INDEX('Cohort Summary'!$I$5:$I$14,MATCH($A1933,'Cohort Summary'!$A$5:$A$14,0))</f>
        <v>-1.30592105263158</v>
      </c>
      <c r="L1933" s="42" t="n">
        <f aca="false">(G1933-INDEX('Cohort Summary'!$J$5:$J$14,MATCH($A1933,'Cohort Summary'!$A$5:$A$14,0)))/INDEX('Cohort Summary'!$K$5:$K$14,MATCH($A1933,'Cohort Summary'!$A$5:$A$14,0))</f>
        <v>0.711864406779664</v>
      </c>
      <c r="M1933" s="42" t="n">
        <f aca="false">MAX(I1933:K1933)</f>
        <v>-0.620209059233447</v>
      </c>
      <c r="N1933" s="27" t="s">
        <v>197</v>
      </c>
      <c r="O1933" s="27"/>
      <c r="P1933" s="27" t="str">
        <f aca="false">A1933&amp;"|"&amp;N1933</f>
        <v>NURSE-10|normal</v>
      </c>
    </row>
    <row r="1934" customFormat="false" ht="15" hidden="false" customHeight="true" outlineLevel="0" collapsed="false">
      <c r="A1934" s="27" t="s">
        <v>104</v>
      </c>
      <c r="B1934" s="41" t="n">
        <v>46303.3375</v>
      </c>
      <c r="C1934" s="27" t="s">
        <v>200</v>
      </c>
      <c r="D1934" s="27" t="n">
        <v>41.7</v>
      </c>
      <c r="E1934" s="27" t="n">
        <v>19.3</v>
      </c>
      <c r="F1934" s="27" t="n">
        <v>33.1</v>
      </c>
      <c r="G1934" s="27" t="n">
        <v>33.9</v>
      </c>
      <c r="H1934" s="27" t="s">
        <v>199</v>
      </c>
      <c r="I1934" s="42" t="n">
        <f aca="false">(D1934-INDEX('Cohort Summary'!$D$5:$D$14,MATCH($A1934,'Cohort Summary'!$A$5:$A$14,0)))/INDEX('Cohort Summary'!$E$5:$E$14,MATCH($A1934,'Cohort Summary'!$A$5:$A$14,0))</f>
        <v>-0.445993031358883</v>
      </c>
      <c r="J1934" s="42" t="n">
        <f aca="false">(E1934-INDEX('Cohort Summary'!$F$5:$F$14,MATCH($A1934,'Cohort Summary'!$A$5:$A$14,0)))/INDEX('Cohort Summary'!$G$5:$G$14,MATCH($A1934,'Cohort Summary'!$A$5:$A$14,0))</f>
        <v>-0.482926829268292</v>
      </c>
      <c r="K1934" s="42" t="n">
        <f aca="false">(F1934-INDEX('Cohort Summary'!$H$5:$H$14,MATCH($A1934,'Cohort Summary'!$A$5:$A$14,0)))/INDEX('Cohort Summary'!$I$5:$I$14,MATCH($A1934,'Cohort Summary'!$A$5:$A$14,0))</f>
        <v>1.0625</v>
      </c>
      <c r="L1934" s="42" t="n">
        <f aca="false">(G1934-INDEX('Cohort Summary'!$J$5:$J$14,MATCH($A1934,'Cohort Summary'!$A$5:$A$14,0)))/INDEX('Cohort Summary'!$K$5:$K$14,MATCH($A1934,'Cohort Summary'!$A$5:$A$14,0))</f>
        <v>1.55932203389831</v>
      </c>
      <c r="M1934" s="42" t="n">
        <f aca="false">MAX(I1934:K1934)</f>
        <v>1.0625</v>
      </c>
      <c r="N1934" s="27" t="s">
        <v>197</v>
      </c>
      <c r="O1934" s="27"/>
      <c r="P1934" s="27" t="str">
        <f aca="false">A1934&amp;"|"&amp;N1934</f>
        <v>NURSE-10|normal</v>
      </c>
    </row>
    <row r="1935" customFormat="false" ht="15" hidden="false" customHeight="true" outlineLevel="0" collapsed="false">
      <c r="A1935" s="27" t="s">
        <v>104</v>
      </c>
      <c r="B1935" s="41" t="n">
        <v>46303.3378472222</v>
      </c>
      <c r="C1935" s="27" t="s">
        <v>200</v>
      </c>
      <c r="D1935" s="27" t="n">
        <v>45.9</v>
      </c>
      <c r="E1935" s="27" t="n">
        <v>18.4</v>
      </c>
      <c r="F1935" s="27" t="n">
        <v>32.2</v>
      </c>
      <c r="G1935" s="27" t="n">
        <v>33.2</v>
      </c>
      <c r="H1935" s="27" t="s">
        <v>199</v>
      </c>
      <c r="I1935" s="42" t="n">
        <f aca="false">(D1935-INDEX('Cohort Summary'!$D$5:$D$14,MATCH($A1935,'Cohort Summary'!$A$5:$A$14,0)))/INDEX('Cohort Summary'!$E$5:$E$14,MATCH($A1935,'Cohort Summary'!$A$5:$A$14,0))</f>
        <v>1.01742160278746</v>
      </c>
      <c r="J1935" s="42" t="n">
        <f aca="false">(E1935-INDEX('Cohort Summary'!$F$5:$F$14,MATCH($A1935,'Cohort Summary'!$A$5:$A$14,0)))/INDEX('Cohort Summary'!$G$5:$G$14,MATCH($A1935,'Cohort Summary'!$A$5:$A$14,0))</f>
        <v>-0.921951219512196</v>
      </c>
      <c r="K1935" s="42" t="n">
        <f aca="false">(F1935-INDEX('Cohort Summary'!$H$5:$H$14,MATCH($A1935,'Cohort Summary'!$A$5:$A$14,0)))/INDEX('Cohort Summary'!$I$5:$I$14,MATCH($A1935,'Cohort Summary'!$A$5:$A$14,0))</f>
        <v>0.766447368421053</v>
      </c>
      <c r="L1935" s="42" t="n">
        <f aca="false">(G1935-INDEX('Cohort Summary'!$J$5:$J$14,MATCH($A1935,'Cohort Summary'!$A$5:$A$14,0)))/INDEX('Cohort Summary'!$K$5:$K$14,MATCH($A1935,'Cohort Summary'!$A$5:$A$14,0))</f>
        <v>0.372881355932214</v>
      </c>
      <c r="M1935" s="42" t="n">
        <f aca="false">MAX(I1935:K1935)</f>
        <v>1.01742160278746</v>
      </c>
      <c r="N1935" s="27" t="s">
        <v>197</v>
      </c>
      <c r="O1935" s="27"/>
      <c r="P1935" s="27" t="str">
        <f aca="false">A1935&amp;"|"&amp;N1935</f>
        <v>NURSE-10|normal</v>
      </c>
    </row>
    <row r="1936" customFormat="false" ht="15" hidden="false" customHeight="true" outlineLevel="0" collapsed="false">
      <c r="A1936" s="27" t="s">
        <v>104</v>
      </c>
      <c r="B1936" s="41" t="n">
        <v>46303.3381944444</v>
      </c>
      <c r="C1936" s="27" t="s">
        <v>200</v>
      </c>
      <c r="D1936" s="27" t="n">
        <v>41.1</v>
      </c>
      <c r="E1936" s="27" t="n">
        <v>22.1</v>
      </c>
      <c r="F1936" s="27" t="n">
        <v>34.8</v>
      </c>
      <c r="G1936" s="27" t="n">
        <v>32.9</v>
      </c>
      <c r="H1936" s="27" t="s">
        <v>198</v>
      </c>
      <c r="I1936" s="42" t="n">
        <f aca="false">(D1936-INDEX('Cohort Summary'!$D$5:$D$14,MATCH($A1936,'Cohort Summary'!$A$5:$A$14,0)))/INDEX('Cohort Summary'!$E$5:$E$14,MATCH($A1936,'Cohort Summary'!$A$5:$A$14,0))</f>
        <v>-0.655052264808361</v>
      </c>
      <c r="J1936" s="42" t="n">
        <f aca="false">(E1936-INDEX('Cohort Summary'!$F$5:$F$14,MATCH($A1936,'Cohort Summary'!$A$5:$A$14,0)))/INDEX('Cohort Summary'!$G$5:$G$14,MATCH($A1936,'Cohort Summary'!$A$5:$A$14,0))</f>
        <v>0.882926829268294</v>
      </c>
      <c r="K1936" s="42" t="n">
        <f aca="false">(F1936-INDEX('Cohort Summary'!$H$5:$H$14,MATCH($A1936,'Cohort Summary'!$A$5:$A$14,0)))/INDEX('Cohort Summary'!$I$5:$I$14,MATCH($A1936,'Cohort Summary'!$A$5:$A$14,0))</f>
        <v>1.62171052631579</v>
      </c>
      <c r="L1936" s="42" t="n">
        <f aca="false">(G1936-INDEX('Cohort Summary'!$J$5:$J$14,MATCH($A1936,'Cohort Summary'!$A$5:$A$14,0)))/INDEX('Cohort Summary'!$K$5:$K$14,MATCH($A1936,'Cohort Summary'!$A$5:$A$14,0))</f>
        <v>-0.13559322033898</v>
      </c>
      <c r="M1936" s="42" t="n">
        <f aca="false">MAX(I1936:K1936)</f>
        <v>1.62171052631579</v>
      </c>
      <c r="N1936" s="27" t="s">
        <v>197</v>
      </c>
      <c r="O1936" s="27"/>
      <c r="P1936" s="27" t="str">
        <f aca="false">A1936&amp;"|"&amp;N1936</f>
        <v>NURSE-10|normal</v>
      </c>
    </row>
    <row r="1937" customFormat="false" ht="15" hidden="false" customHeight="true" outlineLevel="0" collapsed="false">
      <c r="A1937" s="27" t="s">
        <v>104</v>
      </c>
      <c r="B1937" s="41" t="n">
        <v>46303.3385416667</v>
      </c>
      <c r="C1937" s="27" t="s">
        <v>200</v>
      </c>
      <c r="D1937" s="27" t="n">
        <v>42</v>
      </c>
      <c r="E1937" s="27" t="n">
        <v>20</v>
      </c>
      <c r="F1937" s="27" t="n">
        <v>33</v>
      </c>
      <c r="G1937" s="27" t="n">
        <v>33.9</v>
      </c>
      <c r="H1937" s="27" t="s">
        <v>199</v>
      </c>
      <c r="I1937" s="42" t="n">
        <f aca="false">(D1937-INDEX('Cohort Summary'!$D$5:$D$14,MATCH($A1937,'Cohort Summary'!$A$5:$A$14,0)))/INDEX('Cohort Summary'!$E$5:$E$14,MATCH($A1937,'Cohort Summary'!$A$5:$A$14,0))</f>
        <v>-0.341463414634145</v>
      </c>
      <c r="J1937" s="42" t="n">
        <f aca="false">(E1937-INDEX('Cohort Summary'!$F$5:$F$14,MATCH($A1937,'Cohort Summary'!$A$5:$A$14,0)))/INDEX('Cohort Summary'!$G$5:$G$14,MATCH($A1937,'Cohort Summary'!$A$5:$A$14,0))</f>
        <v>-0.141463414634146</v>
      </c>
      <c r="K1937" s="42" t="n">
        <f aca="false">(F1937-INDEX('Cohort Summary'!$H$5:$H$14,MATCH($A1937,'Cohort Summary'!$A$5:$A$14,0)))/INDEX('Cohort Summary'!$I$5:$I$14,MATCH($A1937,'Cohort Summary'!$A$5:$A$14,0))</f>
        <v>1.02960526315789</v>
      </c>
      <c r="L1937" s="42" t="n">
        <f aca="false">(G1937-INDEX('Cohort Summary'!$J$5:$J$14,MATCH($A1937,'Cohort Summary'!$A$5:$A$14,0)))/INDEX('Cohort Summary'!$K$5:$K$14,MATCH($A1937,'Cohort Summary'!$A$5:$A$14,0))</f>
        <v>1.55932203389831</v>
      </c>
      <c r="M1937" s="42" t="n">
        <f aca="false">MAX(I1937:K1937)</f>
        <v>1.02960526315789</v>
      </c>
      <c r="N1937" s="27" t="s">
        <v>197</v>
      </c>
      <c r="O1937" s="27"/>
      <c r="P1937" s="27" t="str">
        <f aca="false">A1937&amp;"|"&amp;N1937</f>
        <v>NURSE-10|normal</v>
      </c>
    </row>
    <row r="1938" customFormat="false" ht="15" hidden="false" customHeight="true" outlineLevel="0" collapsed="false">
      <c r="A1938" s="27" t="s">
        <v>104</v>
      </c>
      <c r="B1938" s="41" t="n">
        <v>46303.3388888889</v>
      </c>
      <c r="C1938" s="27" t="s">
        <v>200</v>
      </c>
      <c r="D1938" s="27" t="n">
        <v>45</v>
      </c>
      <c r="E1938" s="27" t="n">
        <v>22.8</v>
      </c>
      <c r="F1938" s="27" t="n">
        <v>34.2</v>
      </c>
      <c r="G1938" s="27" t="n">
        <v>33.9</v>
      </c>
      <c r="H1938" s="27" t="s">
        <v>196</v>
      </c>
      <c r="I1938" s="42" t="n">
        <f aca="false">(D1938-INDEX('Cohort Summary'!$D$5:$D$14,MATCH($A1938,'Cohort Summary'!$A$5:$A$14,0)))/INDEX('Cohort Summary'!$E$5:$E$14,MATCH($A1938,'Cohort Summary'!$A$5:$A$14,0))</f>
        <v>0.703832752613242</v>
      </c>
      <c r="J1938" s="42" t="n">
        <f aca="false">(E1938-INDEX('Cohort Summary'!$F$5:$F$14,MATCH($A1938,'Cohort Summary'!$A$5:$A$14,0)))/INDEX('Cohort Summary'!$G$5:$G$14,MATCH($A1938,'Cohort Summary'!$A$5:$A$14,0))</f>
        <v>1.22439024390244</v>
      </c>
      <c r="K1938" s="42" t="n">
        <f aca="false">(F1938-INDEX('Cohort Summary'!$H$5:$H$14,MATCH($A1938,'Cohort Summary'!$A$5:$A$14,0)))/INDEX('Cohort Summary'!$I$5:$I$14,MATCH($A1938,'Cohort Summary'!$A$5:$A$14,0))</f>
        <v>1.42434210526316</v>
      </c>
      <c r="L1938" s="42" t="n">
        <f aca="false">(G1938-INDEX('Cohort Summary'!$J$5:$J$14,MATCH($A1938,'Cohort Summary'!$A$5:$A$14,0)))/INDEX('Cohort Summary'!$K$5:$K$14,MATCH($A1938,'Cohort Summary'!$A$5:$A$14,0))</f>
        <v>1.55932203389831</v>
      </c>
      <c r="M1938" s="42" t="n">
        <f aca="false">MAX(I1938:K1938)</f>
        <v>1.42434210526316</v>
      </c>
      <c r="N1938" s="27" t="s">
        <v>197</v>
      </c>
      <c r="O1938" s="27"/>
      <c r="P1938" s="27" t="str">
        <f aca="false">A1938&amp;"|"&amp;N1938</f>
        <v>NURSE-10|normal</v>
      </c>
    </row>
    <row r="1939" customFormat="false" ht="15" hidden="false" customHeight="true" outlineLevel="0" collapsed="false">
      <c r="A1939" s="27" t="s">
        <v>104</v>
      </c>
      <c r="B1939" s="41" t="n">
        <v>46303.3392361111</v>
      </c>
      <c r="C1939" s="27" t="s">
        <v>200</v>
      </c>
      <c r="D1939" s="27" t="n">
        <v>47.6</v>
      </c>
      <c r="E1939" s="27" t="n">
        <v>18.3</v>
      </c>
      <c r="F1939" s="27" t="n">
        <v>28.4</v>
      </c>
      <c r="G1939" s="27" t="n">
        <v>32.6</v>
      </c>
      <c r="H1939" s="27" t="s">
        <v>198</v>
      </c>
      <c r="I1939" s="42" t="n">
        <f aca="false">(D1939-INDEX('Cohort Summary'!$D$5:$D$14,MATCH($A1939,'Cohort Summary'!$A$5:$A$14,0)))/INDEX('Cohort Summary'!$E$5:$E$14,MATCH($A1939,'Cohort Summary'!$A$5:$A$14,0))</f>
        <v>1.60975609756098</v>
      </c>
      <c r="J1939" s="42" t="n">
        <f aca="false">(E1939-INDEX('Cohort Summary'!$F$5:$F$14,MATCH($A1939,'Cohort Summary'!$A$5:$A$14,0)))/INDEX('Cohort Summary'!$G$5:$G$14,MATCH($A1939,'Cohort Summary'!$A$5:$A$14,0))</f>
        <v>-0.970731707317073</v>
      </c>
      <c r="K1939" s="42" t="n">
        <f aca="false">(F1939-INDEX('Cohort Summary'!$H$5:$H$14,MATCH($A1939,'Cohort Summary'!$A$5:$A$14,0)))/INDEX('Cohort Summary'!$I$5:$I$14,MATCH($A1939,'Cohort Summary'!$A$5:$A$14,0))</f>
        <v>-0.483552631578948</v>
      </c>
      <c r="L1939" s="42" t="n">
        <f aca="false">(G1939-INDEX('Cohort Summary'!$J$5:$J$14,MATCH($A1939,'Cohort Summary'!$A$5:$A$14,0)))/INDEX('Cohort Summary'!$K$5:$K$14,MATCH($A1939,'Cohort Summary'!$A$5:$A$14,0))</f>
        <v>-0.644067796610162</v>
      </c>
      <c r="M1939" s="42" t="n">
        <f aca="false">MAX(I1939:K1939)</f>
        <v>1.60975609756098</v>
      </c>
      <c r="N1939" s="27" t="s">
        <v>197</v>
      </c>
      <c r="O1939" s="27"/>
      <c r="P1939" s="27" t="str">
        <f aca="false">A1939&amp;"|"&amp;N1939</f>
        <v>NURSE-10|normal</v>
      </c>
    </row>
    <row r="1940" customFormat="false" ht="15" hidden="false" customHeight="true" outlineLevel="0" collapsed="false">
      <c r="A1940" s="27" t="s">
        <v>104</v>
      </c>
      <c r="B1940" s="41" t="n">
        <v>46303.3395833333</v>
      </c>
      <c r="C1940" s="27" t="s">
        <v>200</v>
      </c>
      <c r="D1940" s="27" t="n">
        <v>39.6</v>
      </c>
      <c r="E1940" s="27" t="n">
        <v>17.3</v>
      </c>
      <c r="F1940" s="27" t="n">
        <v>29.6</v>
      </c>
      <c r="G1940" s="27" t="n">
        <v>32.6</v>
      </c>
      <c r="H1940" s="27" t="s">
        <v>196</v>
      </c>
      <c r="I1940" s="42" t="n">
        <f aca="false">(D1940-INDEX('Cohort Summary'!$D$5:$D$14,MATCH($A1940,'Cohort Summary'!$A$5:$A$14,0)))/INDEX('Cohort Summary'!$E$5:$E$14,MATCH($A1940,'Cohort Summary'!$A$5:$A$14,0))</f>
        <v>-1.17770034843205</v>
      </c>
      <c r="J1940" s="42" t="n">
        <f aca="false">(E1940-INDEX('Cohort Summary'!$F$5:$F$14,MATCH($A1940,'Cohort Summary'!$A$5:$A$14,0)))/INDEX('Cohort Summary'!$G$5:$G$14,MATCH($A1940,'Cohort Summary'!$A$5:$A$14,0))</f>
        <v>-1.45853658536585</v>
      </c>
      <c r="K1940" s="42" t="n">
        <f aca="false">(F1940-INDEX('Cohort Summary'!$H$5:$H$14,MATCH($A1940,'Cohort Summary'!$A$5:$A$14,0)))/INDEX('Cohort Summary'!$I$5:$I$14,MATCH($A1940,'Cohort Summary'!$A$5:$A$14,0))</f>
        <v>-0.0888157894736841</v>
      </c>
      <c r="L1940" s="42" t="n">
        <f aca="false">(G1940-INDEX('Cohort Summary'!$J$5:$J$14,MATCH($A1940,'Cohort Summary'!$A$5:$A$14,0)))/INDEX('Cohort Summary'!$K$5:$K$14,MATCH($A1940,'Cohort Summary'!$A$5:$A$14,0))</f>
        <v>-0.644067796610162</v>
      </c>
      <c r="M1940" s="42" t="n">
        <f aca="false">MAX(I1940:K1940)</f>
        <v>-0.0888157894736841</v>
      </c>
      <c r="N1940" s="27" t="s">
        <v>197</v>
      </c>
      <c r="O1940" s="27"/>
      <c r="P1940" s="27" t="str">
        <f aca="false">A1940&amp;"|"&amp;N1940</f>
        <v>NURSE-10|normal</v>
      </c>
    </row>
    <row r="1941" customFormat="false" ht="15" hidden="false" customHeight="true" outlineLevel="0" collapsed="false">
      <c r="A1941" s="27" t="s">
        <v>104</v>
      </c>
      <c r="B1941" s="41" t="n">
        <v>46303.3399305556</v>
      </c>
      <c r="C1941" s="27" t="s">
        <v>200</v>
      </c>
      <c r="D1941" s="27" t="n">
        <v>41.6</v>
      </c>
      <c r="E1941" s="27" t="n">
        <v>22.5</v>
      </c>
      <c r="F1941" s="27" t="n">
        <v>31.7</v>
      </c>
      <c r="G1941" s="27" t="n">
        <v>33.3</v>
      </c>
      <c r="H1941" s="27" t="s">
        <v>199</v>
      </c>
      <c r="I1941" s="42" t="n">
        <f aca="false">(D1941-INDEX('Cohort Summary'!$D$5:$D$14,MATCH($A1941,'Cohort Summary'!$A$5:$A$14,0)))/INDEX('Cohort Summary'!$E$5:$E$14,MATCH($A1941,'Cohort Summary'!$A$5:$A$14,0))</f>
        <v>-0.480836236933796</v>
      </c>
      <c r="J1941" s="42" t="n">
        <f aca="false">(E1941-INDEX('Cohort Summary'!$F$5:$F$14,MATCH($A1941,'Cohort Summary'!$A$5:$A$14,0)))/INDEX('Cohort Summary'!$G$5:$G$14,MATCH($A1941,'Cohort Summary'!$A$5:$A$14,0))</f>
        <v>1.07804878048781</v>
      </c>
      <c r="K1941" s="42" t="n">
        <f aca="false">(F1941-INDEX('Cohort Summary'!$H$5:$H$14,MATCH($A1941,'Cohort Summary'!$A$5:$A$14,0)))/INDEX('Cohort Summary'!$I$5:$I$14,MATCH($A1941,'Cohort Summary'!$A$5:$A$14,0))</f>
        <v>0.601973684210526</v>
      </c>
      <c r="L1941" s="42" t="n">
        <f aca="false">(G1941-INDEX('Cohort Summary'!$J$5:$J$14,MATCH($A1941,'Cohort Summary'!$A$5:$A$14,0)))/INDEX('Cohort Summary'!$K$5:$K$14,MATCH($A1941,'Cohort Summary'!$A$5:$A$14,0))</f>
        <v>0.542372881355933</v>
      </c>
      <c r="M1941" s="42" t="n">
        <f aca="false">MAX(I1941:K1941)</f>
        <v>1.07804878048781</v>
      </c>
      <c r="N1941" s="27" t="s">
        <v>197</v>
      </c>
      <c r="O1941" s="27"/>
      <c r="P1941" s="27" t="str">
        <f aca="false">A1941&amp;"|"&amp;N1941</f>
        <v>NURSE-10|normal</v>
      </c>
    </row>
    <row r="1942" customFormat="false" ht="15" hidden="false" customHeight="true" outlineLevel="0" collapsed="false">
      <c r="A1942" s="27" t="s">
        <v>104</v>
      </c>
      <c r="B1942" s="41" t="n">
        <v>46303.3402777778</v>
      </c>
      <c r="C1942" s="27" t="s">
        <v>200</v>
      </c>
      <c r="D1942" s="27" t="n">
        <v>53</v>
      </c>
      <c r="E1942" s="27" t="n">
        <v>18.1</v>
      </c>
      <c r="F1942" s="27" t="n">
        <v>36.7</v>
      </c>
      <c r="G1942" s="27" t="n">
        <v>34.9</v>
      </c>
      <c r="H1942" s="27" t="s">
        <v>196</v>
      </c>
      <c r="I1942" s="42" t="n">
        <f aca="false">(D1942-INDEX('Cohort Summary'!$D$5:$D$14,MATCH($A1942,'Cohort Summary'!$A$5:$A$14,0)))/INDEX('Cohort Summary'!$E$5:$E$14,MATCH($A1942,'Cohort Summary'!$A$5:$A$14,0))</f>
        <v>3.49128919860627</v>
      </c>
      <c r="J1942" s="42" t="n">
        <f aca="false">(E1942-INDEX('Cohort Summary'!$F$5:$F$14,MATCH($A1942,'Cohort Summary'!$A$5:$A$14,0)))/INDEX('Cohort Summary'!$G$5:$G$14,MATCH($A1942,'Cohort Summary'!$A$5:$A$14,0))</f>
        <v>-1.06829268292683</v>
      </c>
      <c r="K1942" s="42" t="n">
        <f aca="false">(F1942-INDEX('Cohort Summary'!$H$5:$H$14,MATCH($A1942,'Cohort Summary'!$A$5:$A$14,0)))/INDEX('Cohort Summary'!$I$5:$I$14,MATCH($A1942,'Cohort Summary'!$A$5:$A$14,0))</f>
        <v>2.24671052631579</v>
      </c>
      <c r="L1942" s="42" t="n">
        <f aca="false">(G1942-INDEX('Cohort Summary'!$J$5:$J$14,MATCH($A1942,'Cohort Summary'!$A$5:$A$14,0)))/INDEX('Cohort Summary'!$K$5:$K$14,MATCH($A1942,'Cohort Summary'!$A$5:$A$14,0))</f>
        <v>3.2542372881356</v>
      </c>
      <c r="M1942" s="42" t="n">
        <f aca="false">MAX(I1942:K1942)</f>
        <v>3.49128919860627</v>
      </c>
      <c r="N1942" s="27" t="s">
        <v>212</v>
      </c>
      <c r="O1942" s="27" t="s">
        <v>338</v>
      </c>
      <c r="P1942" s="27" t="str">
        <f aca="false">A1942&amp;"|"&amp;N1942</f>
        <v>NURSE-10|alert</v>
      </c>
    </row>
    <row r="1943" customFormat="false" ht="15" hidden="false" customHeight="true" outlineLevel="0" collapsed="false">
      <c r="A1943" s="27" t="s">
        <v>104</v>
      </c>
      <c r="B1943" s="41" t="n">
        <v>46303.340625</v>
      </c>
      <c r="C1943" s="27" t="s">
        <v>200</v>
      </c>
      <c r="D1943" s="27" t="n">
        <v>46.6</v>
      </c>
      <c r="E1943" s="27" t="n">
        <v>20</v>
      </c>
      <c r="F1943" s="27" t="n">
        <v>34.1</v>
      </c>
      <c r="G1943" s="27" t="n">
        <v>34.6</v>
      </c>
      <c r="H1943" s="27" t="s">
        <v>196</v>
      </c>
      <c r="I1943" s="42" t="n">
        <f aca="false">(D1943-INDEX('Cohort Summary'!$D$5:$D$14,MATCH($A1943,'Cohort Summary'!$A$5:$A$14,0)))/INDEX('Cohort Summary'!$E$5:$E$14,MATCH($A1943,'Cohort Summary'!$A$5:$A$14,0))</f>
        <v>1.26132404181185</v>
      </c>
      <c r="J1943" s="42" t="n">
        <f aca="false">(E1943-INDEX('Cohort Summary'!$F$5:$F$14,MATCH($A1943,'Cohort Summary'!$A$5:$A$14,0)))/INDEX('Cohort Summary'!$G$5:$G$14,MATCH($A1943,'Cohort Summary'!$A$5:$A$14,0))</f>
        <v>-0.141463414634146</v>
      </c>
      <c r="K1943" s="42" t="n">
        <f aca="false">(F1943-INDEX('Cohort Summary'!$H$5:$H$14,MATCH($A1943,'Cohort Summary'!$A$5:$A$14,0)))/INDEX('Cohort Summary'!$I$5:$I$14,MATCH($A1943,'Cohort Summary'!$A$5:$A$14,0))</f>
        <v>1.39144736842105</v>
      </c>
      <c r="L1943" s="42" t="n">
        <f aca="false">(G1943-INDEX('Cohort Summary'!$J$5:$J$14,MATCH($A1943,'Cohort Summary'!$A$5:$A$14,0)))/INDEX('Cohort Summary'!$K$5:$K$14,MATCH($A1943,'Cohort Summary'!$A$5:$A$14,0))</f>
        <v>2.74576271186441</v>
      </c>
      <c r="M1943" s="42" t="n">
        <f aca="false">MAX(I1943:K1943)</f>
        <v>1.39144736842105</v>
      </c>
      <c r="N1943" s="27" t="s">
        <v>201</v>
      </c>
      <c r="O1943" s="27" t="s">
        <v>220</v>
      </c>
      <c r="P1943" s="27" t="str">
        <f aca="false">A1943&amp;"|"&amp;N1943</f>
        <v>NURSE-10|caution</v>
      </c>
    </row>
    <row r="1944" customFormat="false" ht="15" hidden="false" customHeight="true" outlineLevel="0" collapsed="false">
      <c r="A1944" s="27" t="s">
        <v>104</v>
      </c>
      <c r="B1944" s="41" t="n">
        <v>46303.3409722222</v>
      </c>
      <c r="C1944" s="27" t="s">
        <v>200</v>
      </c>
      <c r="D1944" s="27" t="n">
        <v>52.4</v>
      </c>
      <c r="E1944" s="27" t="n">
        <v>22.1</v>
      </c>
      <c r="F1944" s="27" t="n">
        <v>34.3</v>
      </c>
      <c r="G1944" s="27" t="n">
        <v>35.1</v>
      </c>
      <c r="H1944" s="27" t="s">
        <v>199</v>
      </c>
      <c r="I1944" s="42" t="n">
        <f aca="false">(D1944-INDEX('Cohort Summary'!$D$5:$D$14,MATCH($A1944,'Cohort Summary'!$A$5:$A$14,0)))/INDEX('Cohort Summary'!$E$5:$E$14,MATCH($A1944,'Cohort Summary'!$A$5:$A$14,0))</f>
        <v>3.2822299651568</v>
      </c>
      <c r="J1944" s="42" t="n">
        <f aca="false">(E1944-INDEX('Cohort Summary'!$F$5:$F$14,MATCH($A1944,'Cohort Summary'!$A$5:$A$14,0)))/INDEX('Cohort Summary'!$G$5:$G$14,MATCH($A1944,'Cohort Summary'!$A$5:$A$14,0))</f>
        <v>0.882926829268294</v>
      </c>
      <c r="K1944" s="42" t="n">
        <f aca="false">(F1944-INDEX('Cohort Summary'!$H$5:$H$14,MATCH($A1944,'Cohort Summary'!$A$5:$A$14,0)))/INDEX('Cohort Summary'!$I$5:$I$14,MATCH($A1944,'Cohort Summary'!$A$5:$A$14,0))</f>
        <v>1.45723684210526</v>
      </c>
      <c r="L1944" s="42" t="n">
        <f aca="false">(G1944-INDEX('Cohort Summary'!$J$5:$J$14,MATCH($A1944,'Cohort Summary'!$A$5:$A$14,0)))/INDEX('Cohort Summary'!$K$5:$K$14,MATCH($A1944,'Cohort Summary'!$A$5:$A$14,0))</f>
        <v>3.59322033898306</v>
      </c>
      <c r="M1944" s="42" t="n">
        <f aca="false">MAX(I1944:K1944)</f>
        <v>3.2822299651568</v>
      </c>
      <c r="N1944" s="27" t="s">
        <v>212</v>
      </c>
      <c r="O1944" s="27" t="s">
        <v>339</v>
      </c>
      <c r="P1944" s="27" t="str">
        <f aca="false">A1944&amp;"|"&amp;N1944</f>
        <v>NURSE-10|alert</v>
      </c>
    </row>
    <row r="1945" customFormat="false" ht="15" hidden="false" customHeight="true" outlineLevel="0" collapsed="false">
      <c r="A1945" s="27" t="s">
        <v>104</v>
      </c>
      <c r="B1945" s="41" t="n">
        <v>46303.3413194444</v>
      </c>
      <c r="C1945" s="27" t="s">
        <v>200</v>
      </c>
      <c r="D1945" s="27" t="n">
        <v>51.8</v>
      </c>
      <c r="E1945" s="27" t="n">
        <v>22.8</v>
      </c>
      <c r="F1945" s="27" t="n">
        <v>31.1</v>
      </c>
      <c r="G1945" s="27" t="n">
        <v>34.9</v>
      </c>
      <c r="H1945" s="27" t="s">
        <v>196</v>
      </c>
      <c r="I1945" s="42" t="n">
        <f aca="false">(D1945-INDEX('Cohort Summary'!$D$5:$D$14,MATCH($A1945,'Cohort Summary'!$A$5:$A$14,0)))/INDEX('Cohort Summary'!$E$5:$E$14,MATCH($A1945,'Cohort Summary'!$A$5:$A$14,0))</f>
        <v>3.07317073170732</v>
      </c>
      <c r="J1945" s="42" t="n">
        <f aca="false">(E1945-INDEX('Cohort Summary'!$F$5:$F$14,MATCH($A1945,'Cohort Summary'!$A$5:$A$14,0)))/INDEX('Cohort Summary'!$G$5:$G$14,MATCH($A1945,'Cohort Summary'!$A$5:$A$14,0))</f>
        <v>1.22439024390244</v>
      </c>
      <c r="K1945" s="42" t="n">
        <f aca="false">(F1945-INDEX('Cohort Summary'!$H$5:$H$14,MATCH($A1945,'Cohort Summary'!$A$5:$A$14,0)))/INDEX('Cohort Summary'!$I$5:$I$14,MATCH($A1945,'Cohort Summary'!$A$5:$A$14,0))</f>
        <v>0.404605263157895</v>
      </c>
      <c r="L1945" s="42" t="n">
        <f aca="false">(G1945-INDEX('Cohort Summary'!$J$5:$J$14,MATCH($A1945,'Cohort Summary'!$A$5:$A$14,0)))/INDEX('Cohort Summary'!$K$5:$K$14,MATCH($A1945,'Cohort Summary'!$A$5:$A$14,0))</f>
        <v>3.2542372881356</v>
      </c>
      <c r="M1945" s="42" t="n">
        <f aca="false">MAX(I1945:K1945)</f>
        <v>3.07317073170732</v>
      </c>
      <c r="N1945" s="27" t="s">
        <v>212</v>
      </c>
      <c r="O1945" s="27" t="s">
        <v>340</v>
      </c>
      <c r="P1945" s="27" t="str">
        <f aca="false">A1945&amp;"|"&amp;N1945</f>
        <v>NURSE-10|alert</v>
      </c>
    </row>
    <row r="1946" customFormat="false" ht="15" hidden="false" customHeight="true" outlineLevel="0" collapsed="false">
      <c r="A1946" s="27" t="s">
        <v>104</v>
      </c>
      <c r="B1946" s="41" t="n">
        <v>46303.3416666667</v>
      </c>
      <c r="C1946" s="27" t="s">
        <v>200</v>
      </c>
      <c r="D1946" s="27" t="n">
        <v>52.8</v>
      </c>
      <c r="E1946" s="27" t="n">
        <v>19.7</v>
      </c>
      <c r="F1946" s="27" t="n">
        <v>34.5</v>
      </c>
      <c r="G1946" s="27" t="n">
        <v>34.4</v>
      </c>
      <c r="H1946" s="27" t="s">
        <v>196</v>
      </c>
      <c r="I1946" s="42" t="n">
        <f aca="false">(D1946-INDEX('Cohort Summary'!$D$5:$D$14,MATCH($A1946,'Cohort Summary'!$A$5:$A$14,0)))/INDEX('Cohort Summary'!$E$5:$E$14,MATCH($A1946,'Cohort Summary'!$A$5:$A$14,0))</f>
        <v>3.42160278745645</v>
      </c>
      <c r="J1946" s="42" t="n">
        <f aca="false">(E1946-INDEX('Cohort Summary'!$F$5:$F$14,MATCH($A1946,'Cohort Summary'!$A$5:$A$14,0)))/INDEX('Cohort Summary'!$G$5:$G$14,MATCH($A1946,'Cohort Summary'!$A$5:$A$14,0))</f>
        <v>-0.28780487804878</v>
      </c>
      <c r="K1946" s="42" t="n">
        <f aca="false">(F1946-INDEX('Cohort Summary'!$H$5:$H$14,MATCH($A1946,'Cohort Summary'!$A$5:$A$14,0)))/INDEX('Cohort Summary'!$I$5:$I$14,MATCH($A1946,'Cohort Summary'!$A$5:$A$14,0))</f>
        <v>1.52302631578947</v>
      </c>
      <c r="L1946" s="42" t="n">
        <f aca="false">(G1946-INDEX('Cohort Summary'!$J$5:$J$14,MATCH($A1946,'Cohort Summary'!$A$5:$A$14,0)))/INDEX('Cohort Summary'!$K$5:$K$14,MATCH($A1946,'Cohort Summary'!$A$5:$A$14,0))</f>
        <v>2.40677966101695</v>
      </c>
      <c r="M1946" s="42" t="n">
        <f aca="false">MAX(I1946:K1946)</f>
        <v>3.42160278745645</v>
      </c>
      <c r="N1946" s="27" t="s">
        <v>212</v>
      </c>
      <c r="O1946" s="27" t="s">
        <v>341</v>
      </c>
      <c r="P1946" s="27" t="str">
        <f aca="false">A1946&amp;"|"&amp;N1946</f>
        <v>NURSE-10|alert</v>
      </c>
    </row>
    <row r="1947" customFormat="false" ht="15" hidden="false" customHeight="true" outlineLevel="0" collapsed="false">
      <c r="A1947" s="27" t="s">
        <v>104</v>
      </c>
      <c r="B1947" s="41" t="n">
        <v>46303.3420138889</v>
      </c>
      <c r="C1947" s="27" t="s">
        <v>200</v>
      </c>
      <c r="D1947" s="27" t="n">
        <v>50.7</v>
      </c>
      <c r="E1947" s="27" t="n">
        <v>22.3</v>
      </c>
      <c r="F1947" s="27" t="n">
        <v>33.8</v>
      </c>
      <c r="G1947" s="27" t="n">
        <v>34.5</v>
      </c>
      <c r="H1947" s="27" t="s">
        <v>196</v>
      </c>
      <c r="I1947" s="42" t="n">
        <f aca="false">(D1947-INDEX('Cohort Summary'!$D$5:$D$14,MATCH($A1947,'Cohort Summary'!$A$5:$A$14,0)))/INDEX('Cohort Summary'!$E$5:$E$14,MATCH($A1947,'Cohort Summary'!$A$5:$A$14,0))</f>
        <v>2.68989547038328</v>
      </c>
      <c r="J1947" s="42" t="n">
        <f aca="false">(E1947-INDEX('Cohort Summary'!$F$5:$F$14,MATCH($A1947,'Cohort Summary'!$A$5:$A$14,0)))/INDEX('Cohort Summary'!$G$5:$G$14,MATCH($A1947,'Cohort Summary'!$A$5:$A$14,0))</f>
        <v>0.98048780487805</v>
      </c>
      <c r="K1947" s="42" t="n">
        <f aca="false">(F1947-INDEX('Cohort Summary'!$H$5:$H$14,MATCH($A1947,'Cohort Summary'!$A$5:$A$14,0)))/INDEX('Cohort Summary'!$I$5:$I$14,MATCH($A1947,'Cohort Summary'!$A$5:$A$14,0))</f>
        <v>1.29276315789474</v>
      </c>
      <c r="L1947" s="42" t="n">
        <f aca="false">(G1947-INDEX('Cohort Summary'!$J$5:$J$14,MATCH($A1947,'Cohort Summary'!$A$5:$A$14,0)))/INDEX('Cohort Summary'!$K$5:$K$14,MATCH($A1947,'Cohort Summary'!$A$5:$A$14,0))</f>
        <v>2.57627118644068</v>
      </c>
      <c r="M1947" s="42" t="n">
        <f aca="false">MAX(I1947:K1947)</f>
        <v>2.68989547038328</v>
      </c>
      <c r="N1947" s="27" t="s">
        <v>201</v>
      </c>
      <c r="O1947" s="27" t="s">
        <v>342</v>
      </c>
      <c r="P1947" s="27" t="str">
        <f aca="false">A1947&amp;"|"&amp;N1947</f>
        <v>NURSE-10|caution</v>
      </c>
    </row>
    <row r="1948" customFormat="false" ht="15" hidden="false" customHeight="true" outlineLevel="0" collapsed="false">
      <c r="A1948" s="27" t="s">
        <v>104</v>
      </c>
      <c r="B1948" s="41" t="n">
        <v>46303.3423611111</v>
      </c>
      <c r="C1948" s="27" t="s">
        <v>200</v>
      </c>
      <c r="D1948" s="27" t="n">
        <v>47.1</v>
      </c>
      <c r="E1948" s="27" t="n">
        <v>19.5</v>
      </c>
      <c r="F1948" s="27" t="n">
        <v>35</v>
      </c>
      <c r="G1948" s="27" t="n">
        <v>33.6</v>
      </c>
      <c r="H1948" s="27" t="s">
        <v>199</v>
      </c>
      <c r="I1948" s="42" t="n">
        <f aca="false">(D1948-INDEX('Cohort Summary'!$D$5:$D$14,MATCH($A1948,'Cohort Summary'!$A$5:$A$14,0)))/INDEX('Cohort Summary'!$E$5:$E$14,MATCH($A1948,'Cohort Summary'!$A$5:$A$14,0))</f>
        <v>1.43554006968641</v>
      </c>
      <c r="J1948" s="42" t="n">
        <f aca="false">(E1948-INDEX('Cohort Summary'!$F$5:$F$14,MATCH($A1948,'Cohort Summary'!$A$5:$A$14,0)))/INDEX('Cohort Summary'!$G$5:$G$14,MATCH($A1948,'Cohort Summary'!$A$5:$A$14,0))</f>
        <v>-0.385365853658536</v>
      </c>
      <c r="K1948" s="42" t="n">
        <f aca="false">(F1948-INDEX('Cohort Summary'!$H$5:$H$14,MATCH($A1948,'Cohort Summary'!$A$5:$A$14,0)))/INDEX('Cohort Summary'!$I$5:$I$14,MATCH($A1948,'Cohort Summary'!$A$5:$A$14,0))</f>
        <v>1.6875</v>
      </c>
      <c r="L1948" s="42" t="n">
        <f aca="false">(G1948-INDEX('Cohort Summary'!$J$5:$J$14,MATCH($A1948,'Cohort Summary'!$A$5:$A$14,0)))/INDEX('Cohort Summary'!$K$5:$K$14,MATCH($A1948,'Cohort Summary'!$A$5:$A$14,0))</f>
        <v>1.05084745762713</v>
      </c>
      <c r="M1948" s="42" t="n">
        <f aca="false">MAX(I1948:K1948)</f>
        <v>1.6875</v>
      </c>
      <c r="N1948" s="27" t="s">
        <v>197</v>
      </c>
      <c r="O1948" s="27"/>
      <c r="P1948" s="27" t="str">
        <f aca="false">A1948&amp;"|"&amp;N1948</f>
        <v>NURSE-10|normal</v>
      </c>
    </row>
    <row r="1949" customFormat="false" ht="15" hidden="false" customHeight="true" outlineLevel="0" collapsed="false">
      <c r="A1949" s="27" t="s">
        <v>104</v>
      </c>
      <c r="B1949" s="41" t="n">
        <v>46303.3427083333</v>
      </c>
      <c r="C1949" s="27" t="s">
        <v>200</v>
      </c>
      <c r="D1949" s="27" t="n">
        <v>49.2</v>
      </c>
      <c r="E1949" s="27" t="n">
        <v>17.8</v>
      </c>
      <c r="F1949" s="27" t="n">
        <v>39.5</v>
      </c>
      <c r="G1949" s="27" t="n">
        <v>35.3</v>
      </c>
      <c r="H1949" s="27" t="s">
        <v>196</v>
      </c>
      <c r="I1949" s="42" t="n">
        <f aca="false">(D1949-INDEX('Cohort Summary'!$D$5:$D$14,MATCH($A1949,'Cohort Summary'!$A$5:$A$14,0)))/INDEX('Cohort Summary'!$E$5:$E$14,MATCH($A1949,'Cohort Summary'!$A$5:$A$14,0))</f>
        <v>2.16724738675958</v>
      </c>
      <c r="J1949" s="42" t="n">
        <f aca="false">(E1949-INDEX('Cohort Summary'!$F$5:$F$14,MATCH($A1949,'Cohort Summary'!$A$5:$A$14,0)))/INDEX('Cohort Summary'!$G$5:$G$14,MATCH($A1949,'Cohort Summary'!$A$5:$A$14,0))</f>
        <v>-1.21463414634146</v>
      </c>
      <c r="K1949" s="42" t="n">
        <f aca="false">(F1949-INDEX('Cohort Summary'!$H$5:$H$14,MATCH($A1949,'Cohort Summary'!$A$5:$A$14,0)))/INDEX('Cohort Summary'!$I$5:$I$14,MATCH($A1949,'Cohort Summary'!$A$5:$A$14,0))</f>
        <v>3.16776315789474</v>
      </c>
      <c r="L1949" s="42" t="n">
        <f aca="false">(G1949-INDEX('Cohort Summary'!$J$5:$J$14,MATCH($A1949,'Cohort Summary'!$A$5:$A$14,0)))/INDEX('Cohort Summary'!$K$5:$K$14,MATCH($A1949,'Cohort Summary'!$A$5:$A$14,0))</f>
        <v>3.93220338983051</v>
      </c>
      <c r="M1949" s="42" t="n">
        <f aca="false">MAX(I1949:K1949)</f>
        <v>3.16776315789474</v>
      </c>
      <c r="N1949" s="27" t="s">
        <v>212</v>
      </c>
      <c r="O1949" s="27" t="s">
        <v>343</v>
      </c>
      <c r="P1949" s="27" t="str">
        <f aca="false">A1949&amp;"|"&amp;N1949</f>
        <v>NURSE-10|alert</v>
      </c>
    </row>
    <row r="1950" customFormat="false" ht="15" hidden="false" customHeight="true" outlineLevel="0" collapsed="false">
      <c r="A1950" s="27" t="s">
        <v>104</v>
      </c>
      <c r="B1950" s="41" t="n">
        <v>46303.3430555556</v>
      </c>
      <c r="C1950" s="27" t="s">
        <v>200</v>
      </c>
      <c r="D1950" s="27" t="n">
        <v>46.7</v>
      </c>
      <c r="E1950" s="27" t="n">
        <v>21.2</v>
      </c>
      <c r="F1950" s="27" t="n">
        <v>29.6</v>
      </c>
      <c r="G1950" s="27" t="n">
        <v>33.9</v>
      </c>
      <c r="H1950" s="27" t="s">
        <v>199</v>
      </c>
      <c r="I1950" s="42" t="n">
        <f aca="false">(D1950-INDEX('Cohort Summary'!$D$5:$D$14,MATCH($A1950,'Cohort Summary'!$A$5:$A$14,0)))/INDEX('Cohort Summary'!$E$5:$E$14,MATCH($A1950,'Cohort Summary'!$A$5:$A$14,0))</f>
        <v>1.29616724738676</v>
      </c>
      <c r="J1950" s="42" t="n">
        <f aca="false">(E1950-INDEX('Cohort Summary'!$F$5:$F$14,MATCH($A1950,'Cohort Summary'!$A$5:$A$14,0)))/INDEX('Cohort Summary'!$G$5:$G$14,MATCH($A1950,'Cohort Summary'!$A$5:$A$14,0))</f>
        <v>0.44390243902439</v>
      </c>
      <c r="K1950" s="42" t="n">
        <f aca="false">(F1950-INDEX('Cohort Summary'!$H$5:$H$14,MATCH($A1950,'Cohort Summary'!$A$5:$A$14,0)))/INDEX('Cohort Summary'!$I$5:$I$14,MATCH($A1950,'Cohort Summary'!$A$5:$A$14,0))</f>
        <v>-0.0888157894736841</v>
      </c>
      <c r="L1950" s="42" t="n">
        <f aca="false">(G1950-INDEX('Cohort Summary'!$J$5:$J$14,MATCH($A1950,'Cohort Summary'!$A$5:$A$14,0)))/INDEX('Cohort Summary'!$K$5:$K$14,MATCH($A1950,'Cohort Summary'!$A$5:$A$14,0))</f>
        <v>1.55932203389831</v>
      </c>
      <c r="M1950" s="42" t="n">
        <f aca="false">MAX(I1950:K1950)</f>
        <v>1.29616724738676</v>
      </c>
      <c r="N1950" s="27" t="s">
        <v>197</v>
      </c>
      <c r="O1950" s="27"/>
      <c r="P1950" s="27" t="str">
        <f aca="false">A1950&amp;"|"&amp;N1950</f>
        <v>NURSE-10|normal</v>
      </c>
    </row>
    <row r="1951" customFormat="false" ht="15" hidden="false" customHeight="true" outlineLevel="0" collapsed="false">
      <c r="A1951" s="27" t="s">
        <v>104</v>
      </c>
      <c r="B1951" s="41" t="n">
        <v>46303.3434027778</v>
      </c>
      <c r="C1951" s="27" t="s">
        <v>200</v>
      </c>
      <c r="D1951" s="27" t="n">
        <v>46</v>
      </c>
      <c r="E1951" s="27" t="n">
        <v>20</v>
      </c>
      <c r="F1951" s="27" t="n">
        <v>29.9</v>
      </c>
      <c r="G1951" s="27" t="n">
        <v>32.5</v>
      </c>
      <c r="H1951" s="27" t="s">
        <v>196</v>
      </c>
      <c r="I1951" s="42" t="n">
        <f aca="false">(D1951-INDEX('Cohort Summary'!$D$5:$D$14,MATCH($A1951,'Cohort Summary'!$A$5:$A$14,0)))/INDEX('Cohort Summary'!$E$5:$E$14,MATCH($A1951,'Cohort Summary'!$A$5:$A$14,0))</f>
        <v>1.05226480836237</v>
      </c>
      <c r="J1951" s="42" t="n">
        <f aca="false">(E1951-INDEX('Cohort Summary'!$F$5:$F$14,MATCH($A1951,'Cohort Summary'!$A$5:$A$14,0)))/INDEX('Cohort Summary'!$G$5:$G$14,MATCH($A1951,'Cohort Summary'!$A$5:$A$14,0))</f>
        <v>-0.141463414634146</v>
      </c>
      <c r="K1951" s="42" t="n">
        <f aca="false">(F1951-INDEX('Cohort Summary'!$H$5:$H$14,MATCH($A1951,'Cohort Summary'!$A$5:$A$14,0)))/INDEX('Cohort Summary'!$I$5:$I$14,MATCH($A1951,'Cohort Summary'!$A$5:$A$14,0))</f>
        <v>0.00986842105263078</v>
      </c>
      <c r="L1951" s="42" t="n">
        <f aca="false">(G1951-INDEX('Cohort Summary'!$J$5:$J$14,MATCH($A1951,'Cohort Summary'!$A$5:$A$14,0)))/INDEX('Cohort Summary'!$K$5:$K$14,MATCH($A1951,'Cohort Summary'!$A$5:$A$14,0))</f>
        <v>-0.813559322033893</v>
      </c>
      <c r="M1951" s="42" t="n">
        <f aca="false">MAX(I1951:K1951)</f>
        <v>1.05226480836237</v>
      </c>
      <c r="N1951" s="27" t="s">
        <v>197</v>
      </c>
      <c r="O1951" s="27"/>
      <c r="P1951" s="27" t="str">
        <f aca="false">A1951&amp;"|"&amp;N1951</f>
        <v>NURSE-10|normal</v>
      </c>
    </row>
    <row r="1952" customFormat="false" ht="15" hidden="false" customHeight="true" outlineLevel="0" collapsed="false">
      <c r="A1952" s="27" t="s">
        <v>104</v>
      </c>
      <c r="B1952" s="41" t="n">
        <v>46303.34375</v>
      </c>
      <c r="C1952" s="27" t="s">
        <v>200</v>
      </c>
      <c r="D1952" s="27" t="n">
        <v>47.1</v>
      </c>
      <c r="E1952" s="27" t="n">
        <v>18.2</v>
      </c>
      <c r="F1952" s="27" t="n">
        <v>32.7</v>
      </c>
      <c r="G1952" s="27" t="n">
        <v>32.8</v>
      </c>
      <c r="H1952" s="27" t="s">
        <v>196</v>
      </c>
      <c r="I1952" s="42" t="n">
        <f aca="false">(D1952-INDEX('Cohort Summary'!$D$5:$D$14,MATCH($A1952,'Cohort Summary'!$A$5:$A$14,0)))/INDEX('Cohort Summary'!$E$5:$E$14,MATCH($A1952,'Cohort Summary'!$A$5:$A$14,0))</f>
        <v>1.43554006968641</v>
      </c>
      <c r="J1952" s="42" t="n">
        <f aca="false">(E1952-INDEX('Cohort Summary'!$F$5:$F$14,MATCH($A1952,'Cohort Summary'!$A$5:$A$14,0)))/INDEX('Cohort Summary'!$G$5:$G$14,MATCH($A1952,'Cohort Summary'!$A$5:$A$14,0))</f>
        <v>-1.01951219512195</v>
      </c>
      <c r="K1952" s="42" t="n">
        <f aca="false">(F1952-INDEX('Cohort Summary'!$H$5:$H$14,MATCH($A1952,'Cohort Summary'!$A$5:$A$14,0)))/INDEX('Cohort Summary'!$I$5:$I$14,MATCH($A1952,'Cohort Summary'!$A$5:$A$14,0))</f>
        <v>0.93092105263158</v>
      </c>
      <c r="L1952" s="42" t="n">
        <f aca="false">(G1952-INDEX('Cohort Summary'!$J$5:$J$14,MATCH($A1952,'Cohort Summary'!$A$5:$A$14,0)))/INDEX('Cohort Summary'!$K$5:$K$14,MATCH($A1952,'Cohort Summary'!$A$5:$A$14,0))</f>
        <v>-0.305084745762711</v>
      </c>
      <c r="M1952" s="42" t="n">
        <f aca="false">MAX(I1952:K1952)</f>
        <v>1.43554006968641</v>
      </c>
      <c r="N1952" s="27" t="s">
        <v>197</v>
      </c>
      <c r="O1952" s="27"/>
      <c r="P1952" s="27" t="str">
        <f aca="false">A1952&amp;"|"&amp;N1952</f>
        <v>NURSE-10|normal</v>
      </c>
    </row>
    <row r="1953" customFormat="false" ht="15" hidden="false" customHeight="true" outlineLevel="0" collapsed="false">
      <c r="A1953" s="27" t="s">
        <v>104</v>
      </c>
      <c r="B1953" s="41" t="n">
        <v>46303.3440972222</v>
      </c>
      <c r="C1953" s="27" t="s">
        <v>200</v>
      </c>
      <c r="D1953" s="27" t="n">
        <v>45.6</v>
      </c>
      <c r="E1953" s="27" t="n">
        <v>21.6</v>
      </c>
      <c r="F1953" s="27" t="n">
        <v>28.3</v>
      </c>
      <c r="G1953" s="27" t="n">
        <v>33.2</v>
      </c>
      <c r="H1953" s="27" t="s">
        <v>198</v>
      </c>
      <c r="I1953" s="42" t="n">
        <f aca="false">(D1953-INDEX('Cohort Summary'!$D$5:$D$14,MATCH($A1953,'Cohort Summary'!$A$5:$A$14,0)))/INDEX('Cohort Summary'!$E$5:$E$14,MATCH($A1953,'Cohort Summary'!$A$5:$A$14,0))</f>
        <v>0.912891986062719</v>
      </c>
      <c r="J1953" s="42" t="n">
        <f aca="false">(E1953-INDEX('Cohort Summary'!$F$5:$F$14,MATCH($A1953,'Cohort Summary'!$A$5:$A$14,0)))/INDEX('Cohort Summary'!$G$5:$G$14,MATCH($A1953,'Cohort Summary'!$A$5:$A$14,0))</f>
        <v>0.639024390243904</v>
      </c>
      <c r="K1953" s="42" t="n">
        <f aca="false">(F1953-INDEX('Cohort Summary'!$H$5:$H$14,MATCH($A1953,'Cohort Summary'!$A$5:$A$14,0)))/INDEX('Cohort Summary'!$I$5:$I$14,MATCH($A1953,'Cohort Summary'!$A$5:$A$14,0))</f>
        <v>-0.516447368421053</v>
      </c>
      <c r="L1953" s="42" t="n">
        <f aca="false">(G1953-INDEX('Cohort Summary'!$J$5:$J$14,MATCH($A1953,'Cohort Summary'!$A$5:$A$14,0)))/INDEX('Cohort Summary'!$K$5:$K$14,MATCH($A1953,'Cohort Summary'!$A$5:$A$14,0))</f>
        <v>0.372881355932214</v>
      </c>
      <c r="M1953" s="42" t="n">
        <f aca="false">MAX(I1953:K1953)</f>
        <v>0.912891986062719</v>
      </c>
      <c r="N1953" s="27" t="s">
        <v>197</v>
      </c>
      <c r="O1953" s="27"/>
      <c r="P1953" s="27" t="str">
        <f aca="false">A1953&amp;"|"&amp;N1953</f>
        <v>NURSE-10|normal</v>
      </c>
    </row>
    <row r="1954" customFormat="false" ht="15" hidden="false" customHeight="true" outlineLevel="0" collapsed="false">
      <c r="A1954" s="27" t="s">
        <v>104</v>
      </c>
      <c r="B1954" s="41" t="n">
        <v>46303.3444444445</v>
      </c>
      <c r="C1954" s="27" t="s">
        <v>200</v>
      </c>
      <c r="D1954" s="27" t="n">
        <v>41.7</v>
      </c>
      <c r="E1954" s="27" t="n">
        <v>22.5</v>
      </c>
      <c r="F1954" s="27" t="n">
        <v>29.9</v>
      </c>
      <c r="G1954" s="27" t="n">
        <v>33.3</v>
      </c>
      <c r="H1954" s="27" t="s">
        <v>198</v>
      </c>
      <c r="I1954" s="42" t="n">
        <f aca="false">(D1954-INDEX('Cohort Summary'!$D$5:$D$14,MATCH($A1954,'Cohort Summary'!$A$5:$A$14,0)))/INDEX('Cohort Summary'!$E$5:$E$14,MATCH($A1954,'Cohort Summary'!$A$5:$A$14,0))</f>
        <v>-0.445993031358883</v>
      </c>
      <c r="J1954" s="42" t="n">
        <f aca="false">(E1954-INDEX('Cohort Summary'!$F$5:$F$14,MATCH($A1954,'Cohort Summary'!$A$5:$A$14,0)))/INDEX('Cohort Summary'!$G$5:$G$14,MATCH($A1954,'Cohort Summary'!$A$5:$A$14,0))</f>
        <v>1.07804878048781</v>
      </c>
      <c r="K1954" s="42" t="n">
        <f aca="false">(F1954-INDEX('Cohort Summary'!$H$5:$H$14,MATCH($A1954,'Cohort Summary'!$A$5:$A$14,0)))/INDEX('Cohort Summary'!$I$5:$I$14,MATCH($A1954,'Cohort Summary'!$A$5:$A$14,0))</f>
        <v>0.00986842105263078</v>
      </c>
      <c r="L1954" s="42" t="n">
        <f aca="false">(G1954-INDEX('Cohort Summary'!$J$5:$J$14,MATCH($A1954,'Cohort Summary'!$A$5:$A$14,0)))/INDEX('Cohort Summary'!$K$5:$K$14,MATCH($A1954,'Cohort Summary'!$A$5:$A$14,0))</f>
        <v>0.542372881355933</v>
      </c>
      <c r="M1954" s="42" t="n">
        <f aca="false">MAX(I1954:K1954)</f>
        <v>1.07804878048781</v>
      </c>
      <c r="N1954" s="27" t="s">
        <v>197</v>
      </c>
      <c r="O1954" s="27"/>
      <c r="P1954" s="27" t="str">
        <f aca="false">A1954&amp;"|"&amp;N1954</f>
        <v>NURSE-10|normal</v>
      </c>
    </row>
    <row r="1955" customFormat="false" ht="15" hidden="false" customHeight="true" outlineLevel="0" collapsed="false">
      <c r="A1955" s="27" t="s">
        <v>104</v>
      </c>
      <c r="B1955" s="41" t="n">
        <v>46303.3447916667</v>
      </c>
      <c r="C1955" s="27" t="s">
        <v>200</v>
      </c>
      <c r="D1955" s="27" t="n">
        <v>40.8</v>
      </c>
      <c r="E1955" s="27" t="n">
        <v>17</v>
      </c>
      <c r="F1955" s="27" t="n">
        <v>34</v>
      </c>
      <c r="G1955" s="27" t="n">
        <v>33</v>
      </c>
      <c r="H1955" s="27" t="s">
        <v>196</v>
      </c>
      <c r="I1955" s="42" t="n">
        <f aca="false">(D1955-INDEX('Cohort Summary'!$D$5:$D$14,MATCH($A1955,'Cohort Summary'!$A$5:$A$14,0)))/INDEX('Cohort Summary'!$E$5:$E$14,MATCH($A1955,'Cohort Summary'!$A$5:$A$14,0))</f>
        <v>-0.759581881533101</v>
      </c>
      <c r="J1955" s="42" t="n">
        <f aca="false">(E1955-INDEX('Cohort Summary'!$F$5:$F$14,MATCH($A1955,'Cohort Summary'!$A$5:$A$14,0)))/INDEX('Cohort Summary'!$G$5:$G$14,MATCH($A1955,'Cohort Summary'!$A$5:$A$14,0))</f>
        <v>-1.60487804878049</v>
      </c>
      <c r="K1955" s="42" t="n">
        <f aca="false">(F1955-INDEX('Cohort Summary'!$H$5:$H$14,MATCH($A1955,'Cohort Summary'!$A$5:$A$14,0)))/INDEX('Cohort Summary'!$I$5:$I$14,MATCH($A1955,'Cohort Summary'!$A$5:$A$14,0))</f>
        <v>1.35855263157895</v>
      </c>
      <c r="L1955" s="42" t="n">
        <f aca="false">(G1955-INDEX('Cohort Summary'!$J$5:$J$14,MATCH($A1955,'Cohort Summary'!$A$5:$A$14,0)))/INDEX('Cohort Summary'!$K$5:$K$14,MATCH($A1955,'Cohort Summary'!$A$5:$A$14,0))</f>
        <v>0.0338983050847511</v>
      </c>
      <c r="M1955" s="42" t="n">
        <f aca="false">MAX(I1955:K1955)</f>
        <v>1.35855263157895</v>
      </c>
      <c r="N1955" s="27" t="s">
        <v>197</v>
      </c>
      <c r="O1955" s="27"/>
      <c r="P1955" s="27" t="str">
        <f aca="false">A1955&amp;"|"&amp;N1955</f>
        <v>NURSE-10|normal</v>
      </c>
    </row>
    <row r="1956" customFormat="false" ht="15" hidden="false" customHeight="true" outlineLevel="0" collapsed="false">
      <c r="A1956" s="27" t="s">
        <v>104</v>
      </c>
      <c r="B1956" s="41" t="n">
        <v>46303.3451388889</v>
      </c>
      <c r="C1956" s="27" t="s">
        <v>200</v>
      </c>
      <c r="D1956" s="27" t="n">
        <v>40.2</v>
      </c>
      <c r="E1956" s="27" t="n">
        <v>22.4</v>
      </c>
      <c r="F1956" s="27" t="n">
        <v>31.6</v>
      </c>
      <c r="G1956" s="27" t="n">
        <v>33</v>
      </c>
      <c r="H1956" s="27" t="s">
        <v>199</v>
      </c>
      <c r="I1956" s="42" t="n">
        <f aca="false">(D1956-INDEX('Cohort Summary'!$D$5:$D$14,MATCH($A1956,'Cohort Summary'!$A$5:$A$14,0)))/INDEX('Cohort Summary'!$E$5:$E$14,MATCH($A1956,'Cohort Summary'!$A$5:$A$14,0))</f>
        <v>-0.968641114982576</v>
      </c>
      <c r="J1956" s="42" t="n">
        <f aca="false">(E1956-INDEX('Cohort Summary'!$F$5:$F$14,MATCH($A1956,'Cohort Summary'!$A$5:$A$14,0)))/INDEX('Cohort Summary'!$G$5:$G$14,MATCH($A1956,'Cohort Summary'!$A$5:$A$14,0))</f>
        <v>1.02926829268293</v>
      </c>
      <c r="K1956" s="42" t="n">
        <f aca="false">(F1956-INDEX('Cohort Summary'!$H$5:$H$14,MATCH($A1956,'Cohort Summary'!$A$5:$A$14,0)))/INDEX('Cohort Summary'!$I$5:$I$14,MATCH($A1956,'Cohort Summary'!$A$5:$A$14,0))</f>
        <v>0.569078947368421</v>
      </c>
      <c r="L1956" s="42" t="n">
        <f aca="false">(G1956-INDEX('Cohort Summary'!$J$5:$J$14,MATCH($A1956,'Cohort Summary'!$A$5:$A$14,0)))/INDEX('Cohort Summary'!$K$5:$K$14,MATCH($A1956,'Cohort Summary'!$A$5:$A$14,0))</f>
        <v>0.0338983050847511</v>
      </c>
      <c r="M1956" s="42" t="n">
        <f aca="false">MAX(I1956:K1956)</f>
        <v>1.02926829268293</v>
      </c>
      <c r="N1956" s="27" t="s">
        <v>197</v>
      </c>
      <c r="O1956" s="27"/>
      <c r="P1956" s="27" t="str">
        <f aca="false">A1956&amp;"|"&amp;N1956</f>
        <v>NURSE-10|normal</v>
      </c>
    </row>
    <row r="1957" customFormat="false" ht="15" hidden="false" customHeight="true" outlineLevel="0" collapsed="false">
      <c r="A1957" s="27" t="s">
        <v>104</v>
      </c>
      <c r="B1957" s="41" t="n">
        <v>46303.3454861111</v>
      </c>
      <c r="C1957" s="27" t="s">
        <v>200</v>
      </c>
      <c r="D1957" s="27" t="n">
        <v>41.9</v>
      </c>
      <c r="E1957" s="27" t="n">
        <v>22.1</v>
      </c>
      <c r="F1957" s="27" t="n">
        <v>33.3</v>
      </c>
      <c r="G1957" s="27" t="n">
        <v>32.7</v>
      </c>
      <c r="H1957" s="27" t="s">
        <v>199</v>
      </c>
      <c r="I1957" s="42" t="n">
        <f aca="false">(D1957-INDEX('Cohort Summary'!$D$5:$D$14,MATCH($A1957,'Cohort Summary'!$A$5:$A$14,0)))/INDEX('Cohort Summary'!$E$5:$E$14,MATCH($A1957,'Cohort Summary'!$A$5:$A$14,0))</f>
        <v>-0.376306620209059</v>
      </c>
      <c r="J1957" s="42" t="n">
        <f aca="false">(E1957-INDEX('Cohort Summary'!$F$5:$F$14,MATCH($A1957,'Cohort Summary'!$A$5:$A$14,0)))/INDEX('Cohort Summary'!$G$5:$G$14,MATCH($A1957,'Cohort Summary'!$A$5:$A$14,0))</f>
        <v>0.882926829268294</v>
      </c>
      <c r="K1957" s="42" t="n">
        <f aca="false">(F1957-INDEX('Cohort Summary'!$H$5:$H$14,MATCH($A1957,'Cohort Summary'!$A$5:$A$14,0)))/INDEX('Cohort Summary'!$I$5:$I$14,MATCH($A1957,'Cohort Summary'!$A$5:$A$14,0))</f>
        <v>1.12828947368421</v>
      </c>
      <c r="L1957" s="42" t="n">
        <f aca="false">(G1957-INDEX('Cohort Summary'!$J$5:$J$14,MATCH($A1957,'Cohort Summary'!$A$5:$A$14,0)))/INDEX('Cohort Summary'!$K$5:$K$14,MATCH($A1957,'Cohort Summary'!$A$5:$A$14,0))</f>
        <v>-0.474576271186431</v>
      </c>
      <c r="M1957" s="42" t="n">
        <f aca="false">MAX(I1957:K1957)</f>
        <v>1.12828947368421</v>
      </c>
      <c r="N1957" s="27" t="s">
        <v>197</v>
      </c>
      <c r="O1957" s="27"/>
      <c r="P1957" s="27" t="str">
        <f aca="false">A1957&amp;"|"&amp;N1957</f>
        <v>NURSE-10|normal</v>
      </c>
    </row>
    <row r="1958" customFormat="false" ht="15" hidden="false" customHeight="true" outlineLevel="0" collapsed="false">
      <c r="A1958" s="27" t="s">
        <v>104</v>
      </c>
      <c r="B1958" s="41" t="n">
        <v>46303.3458333333</v>
      </c>
      <c r="C1958" s="27" t="s">
        <v>200</v>
      </c>
      <c r="D1958" s="27" t="n">
        <v>40.9</v>
      </c>
      <c r="E1958" s="27" t="n">
        <v>23.5</v>
      </c>
      <c r="F1958" s="27" t="n">
        <v>26.5</v>
      </c>
      <c r="G1958" s="27" t="n">
        <v>32.4</v>
      </c>
      <c r="H1958" s="27" t="s">
        <v>196</v>
      </c>
      <c r="I1958" s="42" t="n">
        <f aca="false">(D1958-INDEX('Cohort Summary'!$D$5:$D$14,MATCH($A1958,'Cohort Summary'!$A$5:$A$14,0)))/INDEX('Cohort Summary'!$E$5:$E$14,MATCH($A1958,'Cohort Summary'!$A$5:$A$14,0))</f>
        <v>-0.724738675958188</v>
      </c>
      <c r="J1958" s="42" t="n">
        <f aca="false">(E1958-INDEX('Cohort Summary'!$F$5:$F$14,MATCH($A1958,'Cohort Summary'!$A$5:$A$14,0)))/INDEX('Cohort Summary'!$G$5:$G$14,MATCH($A1958,'Cohort Summary'!$A$5:$A$14,0))</f>
        <v>1.56585365853659</v>
      </c>
      <c r="K1958" s="42" t="n">
        <f aca="false">(F1958-INDEX('Cohort Summary'!$H$5:$H$14,MATCH($A1958,'Cohort Summary'!$A$5:$A$14,0)))/INDEX('Cohort Summary'!$I$5:$I$14,MATCH($A1958,'Cohort Summary'!$A$5:$A$14,0))</f>
        <v>-1.10855263157895</v>
      </c>
      <c r="L1958" s="42" t="n">
        <f aca="false">(G1958-INDEX('Cohort Summary'!$J$5:$J$14,MATCH($A1958,'Cohort Summary'!$A$5:$A$14,0)))/INDEX('Cohort Summary'!$K$5:$K$14,MATCH($A1958,'Cohort Summary'!$A$5:$A$14,0))</f>
        <v>-0.983050847457624</v>
      </c>
      <c r="M1958" s="42" t="n">
        <f aca="false">MAX(I1958:K1958)</f>
        <v>1.56585365853659</v>
      </c>
      <c r="N1958" s="27" t="s">
        <v>197</v>
      </c>
      <c r="O1958" s="27"/>
      <c r="P1958" s="27" t="str">
        <f aca="false">A1958&amp;"|"&amp;N1958</f>
        <v>NURSE-10|normal</v>
      </c>
    </row>
    <row r="1959" customFormat="false" ht="15" hidden="false" customHeight="true" outlineLevel="0" collapsed="false">
      <c r="A1959" s="27" t="s">
        <v>104</v>
      </c>
      <c r="B1959" s="41" t="n">
        <v>46303.3461805556</v>
      </c>
      <c r="C1959" s="27" t="s">
        <v>200</v>
      </c>
      <c r="D1959" s="27" t="n">
        <v>38.6</v>
      </c>
      <c r="E1959" s="27" t="n">
        <v>23.9</v>
      </c>
      <c r="F1959" s="27" t="n">
        <v>32.9</v>
      </c>
      <c r="G1959" s="27" t="n">
        <v>33.1</v>
      </c>
      <c r="H1959" s="27" t="s">
        <v>196</v>
      </c>
      <c r="I1959" s="42" t="n">
        <f aca="false">(D1959-INDEX('Cohort Summary'!$D$5:$D$14,MATCH($A1959,'Cohort Summary'!$A$5:$A$14,0)))/INDEX('Cohort Summary'!$E$5:$E$14,MATCH($A1959,'Cohort Summary'!$A$5:$A$14,0))</f>
        <v>-1.52613240418118</v>
      </c>
      <c r="J1959" s="42" t="n">
        <f aca="false">(E1959-INDEX('Cohort Summary'!$F$5:$F$14,MATCH($A1959,'Cohort Summary'!$A$5:$A$14,0)))/INDEX('Cohort Summary'!$G$5:$G$14,MATCH($A1959,'Cohort Summary'!$A$5:$A$14,0))</f>
        <v>1.7609756097561</v>
      </c>
      <c r="K1959" s="42" t="n">
        <f aca="false">(F1959-INDEX('Cohort Summary'!$H$5:$H$14,MATCH($A1959,'Cohort Summary'!$A$5:$A$14,0)))/INDEX('Cohort Summary'!$I$5:$I$14,MATCH($A1959,'Cohort Summary'!$A$5:$A$14,0))</f>
        <v>0.996710526315789</v>
      </c>
      <c r="L1959" s="42" t="n">
        <f aca="false">(G1959-INDEX('Cohort Summary'!$J$5:$J$14,MATCH($A1959,'Cohort Summary'!$A$5:$A$14,0)))/INDEX('Cohort Summary'!$K$5:$K$14,MATCH($A1959,'Cohort Summary'!$A$5:$A$14,0))</f>
        <v>0.203389830508482</v>
      </c>
      <c r="M1959" s="42" t="n">
        <f aca="false">MAX(I1959:K1959)</f>
        <v>1.7609756097561</v>
      </c>
      <c r="N1959" s="27" t="s">
        <v>197</v>
      </c>
      <c r="O1959" s="27"/>
      <c r="P1959" s="27" t="str">
        <f aca="false">A1959&amp;"|"&amp;N1959</f>
        <v>NURSE-10|normal</v>
      </c>
    </row>
    <row r="1960" customFormat="false" ht="15" hidden="false" customHeight="true" outlineLevel="0" collapsed="false">
      <c r="A1960" s="27" t="s">
        <v>104</v>
      </c>
      <c r="B1960" s="41" t="n">
        <v>46303.3465277778</v>
      </c>
      <c r="C1960" s="27" t="s">
        <v>200</v>
      </c>
      <c r="D1960" s="27" t="n">
        <v>43.6</v>
      </c>
      <c r="E1960" s="27" t="n">
        <v>23.6</v>
      </c>
      <c r="F1960" s="27" t="n">
        <v>26.3</v>
      </c>
      <c r="G1960" s="27" t="n">
        <v>33.6</v>
      </c>
      <c r="H1960" s="27" t="s">
        <v>199</v>
      </c>
      <c r="I1960" s="42" t="n">
        <f aca="false">(D1960-INDEX('Cohort Summary'!$D$5:$D$14,MATCH($A1960,'Cohort Summary'!$A$5:$A$14,0)))/INDEX('Cohort Summary'!$E$5:$E$14,MATCH($A1960,'Cohort Summary'!$A$5:$A$14,0))</f>
        <v>0.216027874564462</v>
      </c>
      <c r="J1960" s="42" t="n">
        <f aca="false">(E1960-INDEX('Cohort Summary'!$F$5:$F$14,MATCH($A1960,'Cohort Summary'!$A$5:$A$14,0)))/INDEX('Cohort Summary'!$G$5:$G$14,MATCH($A1960,'Cohort Summary'!$A$5:$A$14,0))</f>
        <v>1.61463414634146</v>
      </c>
      <c r="K1960" s="42" t="n">
        <f aca="false">(F1960-INDEX('Cohort Summary'!$H$5:$H$14,MATCH($A1960,'Cohort Summary'!$A$5:$A$14,0)))/INDEX('Cohort Summary'!$I$5:$I$14,MATCH($A1960,'Cohort Summary'!$A$5:$A$14,0))</f>
        <v>-1.17434210526316</v>
      </c>
      <c r="L1960" s="42" t="n">
        <f aca="false">(G1960-INDEX('Cohort Summary'!$J$5:$J$14,MATCH($A1960,'Cohort Summary'!$A$5:$A$14,0)))/INDEX('Cohort Summary'!$K$5:$K$14,MATCH($A1960,'Cohort Summary'!$A$5:$A$14,0))</f>
        <v>1.05084745762713</v>
      </c>
      <c r="M1960" s="42" t="n">
        <f aca="false">MAX(I1960:K1960)</f>
        <v>1.61463414634146</v>
      </c>
      <c r="N1960" s="27" t="s">
        <v>197</v>
      </c>
      <c r="O1960" s="27"/>
      <c r="P1960" s="27" t="str">
        <f aca="false">A1960&amp;"|"&amp;N1960</f>
        <v>NURSE-10|normal</v>
      </c>
    </row>
    <row r="1961" customFormat="false" ht="15" hidden="false" customHeight="true" outlineLevel="0" collapsed="false">
      <c r="A1961" s="27" t="s">
        <v>104</v>
      </c>
      <c r="B1961" s="41" t="n">
        <v>46303.346875</v>
      </c>
      <c r="C1961" s="27" t="s">
        <v>200</v>
      </c>
      <c r="D1961" s="27" t="n">
        <v>45.9</v>
      </c>
      <c r="E1961" s="27" t="n">
        <v>22.3</v>
      </c>
      <c r="F1961" s="27" t="n">
        <v>26.2</v>
      </c>
      <c r="G1961" s="27" t="n">
        <v>33.1</v>
      </c>
      <c r="H1961" s="27" t="s">
        <v>196</v>
      </c>
      <c r="I1961" s="42" t="n">
        <f aca="false">(D1961-INDEX('Cohort Summary'!$D$5:$D$14,MATCH($A1961,'Cohort Summary'!$A$5:$A$14,0)))/INDEX('Cohort Summary'!$E$5:$E$14,MATCH($A1961,'Cohort Summary'!$A$5:$A$14,0))</f>
        <v>1.01742160278746</v>
      </c>
      <c r="J1961" s="42" t="n">
        <f aca="false">(E1961-INDEX('Cohort Summary'!$F$5:$F$14,MATCH($A1961,'Cohort Summary'!$A$5:$A$14,0)))/INDEX('Cohort Summary'!$G$5:$G$14,MATCH($A1961,'Cohort Summary'!$A$5:$A$14,0))</f>
        <v>0.98048780487805</v>
      </c>
      <c r="K1961" s="42" t="n">
        <f aca="false">(F1961-INDEX('Cohort Summary'!$H$5:$H$14,MATCH($A1961,'Cohort Summary'!$A$5:$A$14,0)))/INDEX('Cohort Summary'!$I$5:$I$14,MATCH($A1961,'Cohort Summary'!$A$5:$A$14,0))</f>
        <v>-1.20723684210526</v>
      </c>
      <c r="L1961" s="42" t="n">
        <f aca="false">(G1961-INDEX('Cohort Summary'!$J$5:$J$14,MATCH($A1961,'Cohort Summary'!$A$5:$A$14,0)))/INDEX('Cohort Summary'!$K$5:$K$14,MATCH($A1961,'Cohort Summary'!$A$5:$A$14,0))</f>
        <v>0.203389830508482</v>
      </c>
      <c r="M1961" s="42" t="n">
        <f aca="false">MAX(I1961:K1961)</f>
        <v>1.01742160278746</v>
      </c>
      <c r="N1961" s="27" t="s">
        <v>197</v>
      </c>
      <c r="O1961" s="27"/>
      <c r="P1961" s="27" t="str">
        <f aca="false">A1961&amp;"|"&amp;N1961</f>
        <v>NURSE-10|normal</v>
      </c>
    </row>
    <row r="1962" customFormat="false" ht="15" hidden="false" customHeight="true" outlineLevel="0" collapsed="false">
      <c r="A1962" s="27" t="s">
        <v>104</v>
      </c>
      <c r="B1962" s="41" t="n">
        <v>46303.3472222222</v>
      </c>
      <c r="C1962" s="27" t="s">
        <v>200</v>
      </c>
      <c r="D1962" s="27" t="n">
        <v>42.5</v>
      </c>
      <c r="E1962" s="27" t="n">
        <v>21.5</v>
      </c>
      <c r="F1962" s="27" t="n">
        <v>26.9</v>
      </c>
      <c r="G1962" s="27" t="n">
        <v>32</v>
      </c>
      <c r="H1962" s="27" t="s">
        <v>199</v>
      </c>
      <c r="I1962" s="42" t="n">
        <f aca="false">(D1962-INDEX('Cohort Summary'!$D$5:$D$14,MATCH($A1962,'Cohort Summary'!$A$5:$A$14,0)))/INDEX('Cohort Summary'!$E$5:$E$14,MATCH($A1962,'Cohort Summary'!$A$5:$A$14,0))</f>
        <v>-0.167247386759581</v>
      </c>
      <c r="J1962" s="42" t="n">
        <f aca="false">(E1962-INDEX('Cohort Summary'!$F$5:$F$14,MATCH($A1962,'Cohort Summary'!$A$5:$A$14,0)))/INDEX('Cohort Summary'!$G$5:$G$14,MATCH($A1962,'Cohort Summary'!$A$5:$A$14,0))</f>
        <v>0.590243902439025</v>
      </c>
      <c r="K1962" s="42" t="n">
        <f aca="false">(F1962-INDEX('Cohort Summary'!$H$5:$H$14,MATCH($A1962,'Cohort Summary'!$A$5:$A$14,0)))/INDEX('Cohort Summary'!$I$5:$I$14,MATCH($A1962,'Cohort Summary'!$A$5:$A$14,0))</f>
        <v>-0.976973684210527</v>
      </c>
      <c r="L1962" s="42" t="n">
        <f aca="false">(G1962-INDEX('Cohort Summary'!$J$5:$J$14,MATCH($A1962,'Cohort Summary'!$A$5:$A$14,0)))/INDEX('Cohort Summary'!$K$5:$K$14,MATCH($A1962,'Cohort Summary'!$A$5:$A$14,0))</f>
        <v>-1.66101694915254</v>
      </c>
      <c r="M1962" s="42" t="n">
        <f aca="false">MAX(I1962:K1962)</f>
        <v>0.590243902439025</v>
      </c>
      <c r="N1962" s="27" t="s">
        <v>197</v>
      </c>
      <c r="O1962" s="27"/>
      <c r="P1962" s="27" t="str">
        <f aca="false">A1962&amp;"|"&amp;N1962</f>
        <v>NURSE-10|normal</v>
      </c>
    </row>
    <row r="1963" customFormat="false" ht="15" hidden="false" customHeight="true" outlineLevel="0" collapsed="false">
      <c r="A1963" s="27" t="s">
        <v>104</v>
      </c>
      <c r="B1963" s="41" t="n">
        <v>46303.3475694444</v>
      </c>
      <c r="C1963" s="27" t="s">
        <v>200</v>
      </c>
      <c r="D1963" s="27" t="n">
        <v>45</v>
      </c>
      <c r="E1963" s="27" t="n">
        <v>19</v>
      </c>
      <c r="F1963" s="27" t="n">
        <v>25.5</v>
      </c>
      <c r="G1963" s="27" t="n">
        <v>32.1</v>
      </c>
      <c r="H1963" s="27" t="s">
        <v>196</v>
      </c>
      <c r="I1963" s="42" t="n">
        <f aca="false">(D1963-INDEX('Cohort Summary'!$D$5:$D$14,MATCH($A1963,'Cohort Summary'!$A$5:$A$14,0)))/INDEX('Cohort Summary'!$E$5:$E$14,MATCH($A1963,'Cohort Summary'!$A$5:$A$14,0))</f>
        <v>0.703832752613242</v>
      </c>
      <c r="J1963" s="42" t="n">
        <f aca="false">(E1963-INDEX('Cohort Summary'!$F$5:$F$14,MATCH($A1963,'Cohort Summary'!$A$5:$A$14,0)))/INDEX('Cohort Summary'!$G$5:$G$14,MATCH($A1963,'Cohort Summary'!$A$5:$A$14,0))</f>
        <v>-0.629268292682927</v>
      </c>
      <c r="K1963" s="42" t="n">
        <f aca="false">(F1963-INDEX('Cohort Summary'!$H$5:$H$14,MATCH($A1963,'Cohort Summary'!$A$5:$A$14,0)))/INDEX('Cohort Summary'!$I$5:$I$14,MATCH($A1963,'Cohort Summary'!$A$5:$A$14,0))</f>
        <v>-1.4375</v>
      </c>
      <c r="L1963" s="42" t="n">
        <f aca="false">(G1963-INDEX('Cohort Summary'!$J$5:$J$14,MATCH($A1963,'Cohort Summary'!$A$5:$A$14,0)))/INDEX('Cohort Summary'!$K$5:$K$14,MATCH($A1963,'Cohort Summary'!$A$5:$A$14,0))</f>
        <v>-1.49152542372881</v>
      </c>
      <c r="M1963" s="42" t="n">
        <f aca="false">MAX(I1963:K1963)</f>
        <v>0.703832752613242</v>
      </c>
      <c r="N1963" s="27" t="s">
        <v>197</v>
      </c>
      <c r="O1963" s="27"/>
      <c r="P1963" s="27" t="str">
        <f aca="false">A1963&amp;"|"&amp;N1963</f>
        <v>NURSE-10|normal</v>
      </c>
    </row>
    <row r="1964" customFormat="false" ht="15" hidden="false" customHeight="true" outlineLevel="0" collapsed="false">
      <c r="A1964" s="27" t="s">
        <v>104</v>
      </c>
      <c r="B1964" s="41" t="n">
        <v>46303.3479166667</v>
      </c>
      <c r="C1964" s="27" t="s">
        <v>200</v>
      </c>
      <c r="D1964" s="27" t="n">
        <v>40.6</v>
      </c>
      <c r="E1964" s="27" t="n">
        <v>22.2</v>
      </c>
      <c r="F1964" s="27" t="n">
        <v>28.6</v>
      </c>
      <c r="G1964" s="27" t="n">
        <v>33.5</v>
      </c>
      <c r="H1964" s="27" t="s">
        <v>196</v>
      </c>
      <c r="I1964" s="42" t="n">
        <f aca="false">(D1964-INDEX('Cohort Summary'!$D$5:$D$14,MATCH($A1964,'Cohort Summary'!$A$5:$A$14,0)))/INDEX('Cohort Summary'!$E$5:$E$14,MATCH($A1964,'Cohort Summary'!$A$5:$A$14,0))</f>
        <v>-0.829268292682925</v>
      </c>
      <c r="J1964" s="42" t="n">
        <f aca="false">(E1964-INDEX('Cohort Summary'!$F$5:$F$14,MATCH($A1964,'Cohort Summary'!$A$5:$A$14,0)))/INDEX('Cohort Summary'!$G$5:$G$14,MATCH($A1964,'Cohort Summary'!$A$5:$A$14,0))</f>
        <v>0.931707317073171</v>
      </c>
      <c r="K1964" s="42" t="n">
        <f aca="false">(F1964-INDEX('Cohort Summary'!$H$5:$H$14,MATCH($A1964,'Cohort Summary'!$A$5:$A$14,0)))/INDEX('Cohort Summary'!$I$5:$I$14,MATCH($A1964,'Cohort Summary'!$A$5:$A$14,0))</f>
        <v>-0.417763157894737</v>
      </c>
      <c r="L1964" s="42" t="n">
        <f aca="false">(G1964-INDEX('Cohort Summary'!$J$5:$J$14,MATCH($A1964,'Cohort Summary'!$A$5:$A$14,0)))/INDEX('Cohort Summary'!$K$5:$K$14,MATCH($A1964,'Cohort Summary'!$A$5:$A$14,0))</f>
        <v>0.881355932203395</v>
      </c>
      <c r="M1964" s="42" t="n">
        <f aca="false">MAX(I1964:K1964)</f>
        <v>0.931707317073171</v>
      </c>
      <c r="N1964" s="27" t="s">
        <v>197</v>
      </c>
      <c r="O1964" s="27"/>
      <c r="P1964" s="27" t="str">
        <f aca="false">A1964&amp;"|"&amp;N1964</f>
        <v>NURSE-10|normal</v>
      </c>
    </row>
    <row r="1965" customFormat="false" ht="15" hidden="false" customHeight="true" outlineLevel="0" collapsed="false">
      <c r="A1965" s="27" t="s">
        <v>104</v>
      </c>
      <c r="B1965" s="41" t="n">
        <v>46303.3482638889</v>
      </c>
      <c r="C1965" s="27" t="s">
        <v>200</v>
      </c>
      <c r="D1965" s="27" t="n">
        <v>44.4</v>
      </c>
      <c r="E1965" s="27" t="n">
        <v>18.4</v>
      </c>
      <c r="F1965" s="27" t="n">
        <v>30.9</v>
      </c>
      <c r="G1965" s="27" t="n">
        <v>32.2</v>
      </c>
      <c r="H1965" s="27" t="s">
        <v>196</v>
      </c>
      <c r="I1965" s="42" t="n">
        <f aca="false">(D1965-INDEX('Cohort Summary'!$D$5:$D$14,MATCH($A1965,'Cohort Summary'!$A$5:$A$14,0)))/INDEX('Cohort Summary'!$E$5:$E$14,MATCH($A1965,'Cohort Summary'!$A$5:$A$14,0))</f>
        <v>0.494773519163764</v>
      </c>
      <c r="J1965" s="42" t="n">
        <f aca="false">(E1965-INDEX('Cohort Summary'!$F$5:$F$14,MATCH($A1965,'Cohort Summary'!$A$5:$A$14,0)))/INDEX('Cohort Summary'!$G$5:$G$14,MATCH($A1965,'Cohort Summary'!$A$5:$A$14,0))</f>
        <v>-0.921951219512196</v>
      </c>
      <c r="K1965" s="42" t="n">
        <f aca="false">(F1965-INDEX('Cohort Summary'!$H$5:$H$14,MATCH($A1965,'Cohort Summary'!$A$5:$A$14,0)))/INDEX('Cohort Summary'!$I$5:$I$14,MATCH($A1965,'Cohort Summary'!$A$5:$A$14,0))</f>
        <v>0.338815789473683</v>
      </c>
      <c r="L1965" s="42" t="n">
        <f aca="false">(G1965-INDEX('Cohort Summary'!$J$5:$J$14,MATCH($A1965,'Cohort Summary'!$A$5:$A$14,0)))/INDEX('Cohort Summary'!$K$5:$K$14,MATCH($A1965,'Cohort Summary'!$A$5:$A$14,0))</f>
        <v>-1.32203389830507</v>
      </c>
      <c r="M1965" s="42" t="n">
        <f aca="false">MAX(I1965:K1965)</f>
        <v>0.494773519163764</v>
      </c>
      <c r="N1965" s="27" t="s">
        <v>197</v>
      </c>
      <c r="O1965" s="27"/>
      <c r="P1965" s="27" t="str">
        <f aca="false">A1965&amp;"|"&amp;N1965</f>
        <v>NURSE-10|normal</v>
      </c>
    </row>
    <row r="1966" customFormat="false" ht="15" hidden="false" customHeight="true" outlineLevel="0" collapsed="false">
      <c r="A1966" s="27" t="s">
        <v>104</v>
      </c>
      <c r="B1966" s="41" t="n">
        <v>46303.3486111111</v>
      </c>
      <c r="C1966" s="27" t="s">
        <v>200</v>
      </c>
      <c r="D1966" s="27" t="n">
        <v>43.8</v>
      </c>
      <c r="E1966" s="27" t="n">
        <v>21.8</v>
      </c>
      <c r="F1966" s="27" t="n">
        <v>30.5</v>
      </c>
      <c r="G1966" s="27" t="n">
        <v>33.8</v>
      </c>
      <c r="H1966" s="27" t="s">
        <v>198</v>
      </c>
      <c r="I1966" s="42" t="n">
        <f aca="false">(D1966-INDEX('Cohort Summary'!$D$5:$D$14,MATCH($A1966,'Cohort Summary'!$A$5:$A$14,0)))/INDEX('Cohort Summary'!$E$5:$E$14,MATCH($A1966,'Cohort Summary'!$A$5:$A$14,0))</f>
        <v>0.285714285714286</v>
      </c>
      <c r="J1966" s="42" t="n">
        <f aca="false">(E1966-INDEX('Cohort Summary'!$F$5:$F$14,MATCH($A1966,'Cohort Summary'!$A$5:$A$14,0)))/INDEX('Cohort Summary'!$G$5:$G$14,MATCH($A1966,'Cohort Summary'!$A$5:$A$14,0))</f>
        <v>0.736585365853659</v>
      </c>
      <c r="K1966" s="42" t="n">
        <f aca="false">(F1966-INDEX('Cohort Summary'!$H$5:$H$14,MATCH($A1966,'Cohort Summary'!$A$5:$A$14,0)))/INDEX('Cohort Summary'!$I$5:$I$14,MATCH($A1966,'Cohort Summary'!$A$5:$A$14,0))</f>
        <v>0.207236842105263</v>
      </c>
      <c r="L1966" s="42" t="n">
        <f aca="false">(G1966-INDEX('Cohort Summary'!$J$5:$J$14,MATCH($A1966,'Cohort Summary'!$A$5:$A$14,0)))/INDEX('Cohort Summary'!$K$5:$K$14,MATCH($A1966,'Cohort Summary'!$A$5:$A$14,0))</f>
        <v>1.38983050847458</v>
      </c>
      <c r="M1966" s="42" t="n">
        <f aca="false">MAX(I1966:K1966)</f>
        <v>0.736585365853659</v>
      </c>
      <c r="N1966" s="27" t="s">
        <v>197</v>
      </c>
      <c r="O1966" s="27"/>
      <c r="P1966" s="27" t="str">
        <f aca="false">A1966&amp;"|"&amp;N1966</f>
        <v>NURSE-10|normal</v>
      </c>
    </row>
    <row r="1967" customFormat="false" ht="15" hidden="false" customHeight="true" outlineLevel="0" collapsed="false">
      <c r="A1967" s="27" t="s">
        <v>104</v>
      </c>
      <c r="B1967" s="41" t="n">
        <v>46303.3489583333</v>
      </c>
      <c r="C1967" s="27" t="s">
        <v>200</v>
      </c>
      <c r="D1967" s="27" t="n">
        <v>43.3</v>
      </c>
      <c r="E1967" s="27" t="n">
        <v>19.9</v>
      </c>
      <c r="F1967" s="27" t="n">
        <v>30.7</v>
      </c>
      <c r="G1967" s="27" t="n">
        <v>32.7</v>
      </c>
      <c r="H1967" s="27" t="s">
        <v>198</v>
      </c>
      <c r="I1967" s="42" t="n">
        <f aca="false">(D1967-INDEX('Cohort Summary'!$D$5:$D$14,MATCH($A1967,'Cohort Summary'!$A$5:$A$14,0)))/INDEX('Cohort Summary'!$E$5:$E$14,MATCH($A1967,'Cohort Summary'!$A$5:$A$14,0))</f>
        <v>0.111498257839721</v>
      </c>
      <c r="J1967" s="42" t="n">
        <f aca="false">(E1967-INDEX('Cohort Summary'!$F$5:$F$14,MATCH($A1967,'Cohort Summary'!$A$5:$A$14,0)))/INDEX('Cohort Summary'!$G$5:$G$14,MATCH($A1967,'Cohort Summary'!$A$5:$A$14,0))</f>
        <v>-0.190243902439025</v>
      </c>
      <c r="K1967" s="42" t="n">
        <f aca="false">(F1967-INDEX('Cohort Summary'!$H$5:$H$14,MATCH($A1967,'Cohort Summary'!$A$5:$A$14,0)))/INDEX('Cohort Summary'!$I$5:$I$14,MATCH($A1967,'Cohort Summary'!$A$5:$A$14,0))</f>
        <v>0.273026315789473</v>
      </c>
      <c r="L1967" s="42" t="n">
        <f aca="false">(G1967-INDEX('Cohort Summary'!$J$5:$J$14,MATCH($A1967,'Cohort Summary'!$A$5:$A$14,0)))/INDEX('Cohort Summary'!$K$5:$K$14,MATCH($A1967,'Cohort Summary'!$A$5:$A$14,0))</f>
        <v>-0.474576271186431</v>
      </c>
      <c r="M1967" s="42" t="n">
        <f aca="false">MAX(I1967:K1967)</f>
        <v>0.273026315789473</v>
      </c>
      <c r="N1967" s="27" t="s">
        <v>197</v>
      </c>
      <c r="O1967" s="27"/>
      <c r="P1967" s="27" t="str">
        <f aca="false">A1967&amp;"|"&amp;N1967</f>
        <v>NURSE-10|normal</v>
      </c>
    </row>
    <row r="1968" customFormat="false" ht="15" hidden="false" customHeight="true" outlineLevel="0" collapsed="false">
      <c r="A1968" s="27" t="s">
        <v>104</v>
      </c>
      <c r="B1968" s="41" t="n">
        <v>46303.3493055556</v>
      </c>
      <c r="C1968" s="27" t="s">
        <v>200</v>
      </c>
      <c r="D1968" s="27" t="n">
        <v>47</v>
      </c>
      <c r="E1968" s="27" t="n">
        <v>21.2</v>
      </c>
      <c r="F1968" s="27" t="n">
        <v>25.1</v>
      </c>
      <c r="G1968" s="27" t="n">
        <v>33.2</v>
      </c>
      <c r="H1968" s="27" t="s">
        <v>199</v>
      </c>
      <c r="I1968" s="42" t="n">
        <f aca="false">(D1968-INDEX('Cohort Summary'!$D$5:$D$14,MATCH($A1968,'Cohort Summary'!$A$5:$A$14,0)))/INDEX('Cohort Summary'!$E$5:$E$14,MATCH($A1968,'Cohort Summary'!$A$5:$A$14,0))</f>
        <v>1.4006968641115</v>
      </c>
      <c r="J1968" s="42" t="n">
        <f aca="false">(E1968-INDEX('Cohort Summary'!$F$5:$F$14,MATCH($A1968,'Cohort Summary'!$A$5:$A$14,0)))/INDEX('Cohort Summary'!$G$5:$G$14,MATCH($A1968,'Cohort Summary'!$A$5:$A$14,0))</f>
        <v>0.44390243902439</v>
      </c>
      <c r="K1968" s="42" t="n">
        <f aca="false">(F1968-INDEX('Cohort Summary'!$H$5:$H$14,MATCH($A1968,'Cohort Summary'!$A$5:$A$14,0)))/INDEX('Cohort Summary'!$I$5:$I$14,MATCH($A1968,'Cohort Summary'!$A$5:$A$14,0))</f>
        <v>-1.56907894736842</v>
      </c>
      <c r="L1968" s="42" t="n">
        <f aca="false">(G1968-INDEX('Cohort Summary'!$J$5:$J$14,MATCH($A1968,'Cohort Summary'!$A$5:$A$14,0)))/INDEX('Cohort Summary'!$K$5:$K$14,MATCH($A1968,'Cohort Summary'!$A$5:$A$14,0))</f>
        <v>0.372881355932214</v>
      </c>
      <c r="M1968" s="42" t="n">
        <f aca="false">MAX(I1968:K1968)</f>
        <v>1.4006968641115</v>
      </c>
      <c r="N1968" s="27" t="s">
        <v>197</v>
      </c>
      <c r="O1968" s="27"/>
      <c r="P1968" s="27" t="str">
        <f aca="false">A1968&amp;"|"&amp;N1968</f>
        <v>NURSE-10|normal</v>
      </c>
    </row>
    <row r="1969" customFormat="false" ht="15" hidden="false" customHeight="true" outlineLevel="0" collapsed="false">
      <c r="A1969" s="27" t="s">
        <v>104</v>
      </c>
      <c r="B1969" s="41" t="n">
        <v>46303.3496527778</v>
      </c>
      <c r="C1969" s="27" t="s">
        <v>200</v>
      </c>
      <c r="D1969" s="27" t="n">
        <v>48</v>
      </c>
      <c r="E1969" s="27" t="n">
        <v>22.5</v>
      </c>
      <c r="F1969" s="27" t="n">
        <v>33.4</v>
      </c>
      <c r="G1969" s="27" t="n">
        <v>33</v>
      </c>
      <c r="H1969" s="27" t="s">
        <v>198</v>
      </c>
      <c r="I1969" s="42" t="n">
        <f aca="false">(D1969-INDEX('Cohort Summary'!$D$5:$D$14,MATCH($A1969,'Cohort Summary'!$A$5:$A$14,0)))/INDEX('Cohort Summary'!$E$5:$E$14,MATCH($A1969,'Cohort Summary'!$A$5:$A$14,0))</f>
        <v>1.74912891986063</v>
      </c>
      <c r="J1969" s="42" t="n">
        <f aca="false">(E1969-INDEX('Cohort Summary'!$F$5:$F$14,MATCH($A1969,'Cohort Summary'!$A$5:$A$14,0)))/INDEX('Cohort Summary'!$G$5:$G$14,MATCH($A1969,'Cohort Summary'!$A$5:$A$14,0))</f>
        <v>1.07804878048781</v>
      </c>
      <c r="K1969" s="42" t="n">
        <f aca="false">(F1969-INDEX('Cohort Summary'!$H$5:$H$14,MATCH($A1969,'Cohort Summary'!$A$5:$A$14,0)))/INDEX('Cohort Summary'!$I$5:$I$14,MATCH($A1969,'Cohort Summary'!$A$5:$A$14,0))</f>
        <v>1.16118421052632</v>
      </c>
      <c r="L1969" s="42" t="n">
        <f aca="false">(G1969-INDEX('Cohort Summary'!$J$5:$J$14,MATCH($A1969,'Cohort Summary'!$A$5:$A$14,0)))/INDEX('Cohort Summary'!$K$5:$K$14,MATCH($A1969,'Cohort Summary'!$A$5:$A$14,0))</f>
        <v>0.0338983050847511</v>
      </c>
      <c r="M1969" s="42" t="n">
        <f aca="false">MAX(I1969:K1969)</f>
        <v>1.74912891986063</v>
      </c>
      <c r="N1969" s="27" t="s">
        <v>197</v>
      </c>
      <c r="O1969" s="27"/>
      <c r="P1969" s="27" t="str">
        <f aca="false">A1969&amp;"|"&amp;N1969</f>
        <v>NURSE-10|normal</v>
      </c>
    </row>
    <row r="1970" customFormat="false" ht="15" hidden="false" customHeight="true" outlineLevel="0" collapsed="false">
      <c r="A1970" s="27" t="s">
        <v>104</v>
      </c>
      <c r="B1970" s="41" t="n">
        <v>46303.35</v>
      </c>
      <c r="C1970" s="27" t="s">
        <v>200</v>
      </c>
      <c r="D1970" s="27" t="n">
        <v>41.1</v>
      </c>
      <c r="E1970" s="27" t="n">
        <v>18.8</v>
      </c>
      <c r="F1970" s="27" t="n">
        <v>25.4</v>
      </c>
      <c r="G1970" s="27" t="n">
        <v>32.2</v>
      </c>
      <c r="H1970" s="27" t="s">
        <v>199</v>
      </c>
      <c r="I1970" s="42" t="n">
        <f aca="false">(D1970-INDEX('Cohort Summary'!$D$5:$D$14,MATCH($A1970,'Cohort Summary'!$A$5:$A$14,0)))/INDEX('Cohort Summary'!$E$5:$E$14,MATCH($A1970,'Cohort Summary'!$A$5:$A$14,0))</f>
        <v>-0.655052264808361</v>
      </c>
      <c r="J1970" s="42" t="n">
        <f aca="false">(E1970-INDEX('Cohort Summary'!$F$5:$F$14,MATCH($A1970,'Cohort Summary'!$A$5:$A$14,0)))/INDEX('Cohort Summary'!$G$5:$G$14,MATCH($A1970,'Cohort Summary'!$A$5:$A$14,0))</f>
        <v>-0.726829268292682</v>
      </c>
      <c r="K1970" s="42" t="n">
        <f aca="false">(F1970-INDEX('Cohort Summary'!$H$5:$H$14,MATCH($A1970,'Cohort Summary'!$A$5:$A$14,0)))/INDEX('Cohort Summary'!$I$5:$I$14,MATCH($A1970,'Cohort Summary'!$A$5:$A$14,0))</f>
        <v>-1.47039473684211</v>
      </c>
      <c r="L1970" s="42" t="n">
        <f aca="false">(G1970-INDEX('Cohort Summary'!$J$5:$J$14,MATCH($A1970,'Cohort Summary'!$A$5:$A$14,0)))/INDEX('Cohort Summary'!$K$5:$K$14,MATCH($A1970,'Cohort Summary'!$A$5:$A$14,0))</f>
        <v>-1.32203389830507</v>
      </c>
      <c r="M1970" s="42" t="n">
        <f aca="false">MAX(I1970:K1970)</f>
        <v>-0.655052264808361</v>
      </c>
      <c r="N1970" s="27" t="s">
        <v>197</v>
      </c>
      <c r="O1970" s="27"/>
      <c r="P1970" s="27" t="str">
        <f aca="false">A1970&amp;"|"&amp;N1970</f>
        <v>NURSE-10|normal</v>
      </c>
    </row>
    <row r="1971" customFormat="false" ht="15" hidden="false" customHeight="true" outlineLevel="0" collapsed="false">
      <c r="A1971" s="27" t="s">
        <v>104</v>
      </c>
      <c r="B1971" s="41" t="n">
        <v>46303.3503472222</v>
      </c>
      <c r="C1971" s="27" t="s">
        <v>200</v>
      </c>
      <c r="D1971" s="27" t="n">
        <v>41.2</v>
      </c>
      <c r="E1971" s="27" t="n">
        <v>23.1</v>
      </c>
      <c r="F1971" s="27" t="n">
        <v>31.9</v>
      </c>
      <c r="G1971" s="27" t="n">
        <v>32.9</v>
      </c>
      <c r="H1971" s="27" t="s">
        <v>198</v>
      </c>
      <c r="I1971" s="42" t="n">
        <f aca="false">(D1971-INDEX('Cohort Summary'!$D$5:$D$14,MATCH($A1971,'Cohort Summary'!$A$5:$A$14,0)))/INDEX('Cohort Summary'!$E$5:$E$14,MATCH($A1971,'Cohort Summary'!$A$5:$A$14,0))</f>
        <v>-0.620209059233447</v>
      </c>
      <c r="J1971" s="42" t="n">
        <f aca="false">(E1971-INDEX('Cohort Summary'!$F$5:$F$14,MATCH($A1971,'Cohort Summary'!$A$5:$A$14,0)))/INDEX('Cohort Summary'!$G$5:$G$14,MATCH($A1971,'Cohort Summary'!$A$5:$A$14,0))</f>
        <v>1.37073170731707</v>
      </c>
      <c r="K1971" s="42" t="n">
        <f aca="false">(F1971-INDEX('Cohort Summary'!$H$5:$H$14,MATCH($A1971,'Cohort Summary'!$A$5:$A$14,0)))/INDEX('Cohort Summary'!$I$5:$I$14,MATCH($A1971,'Cohort Summary'!$A$5:$A$14,0))</f>
        <v>0.667763157894736</v>
      </c>
      <c r="L1971" s="42" t="n">
        <f aca="false">(G1971-INDEX('Cohort Summary'!$J$5:$J$14,MATCH($A1971,'Cohort Summary'!$A$5:$A$14,0)))/INDEX('Cohort Summary'!$K$5:$K$14,MATCH($A1971,'Cohort Summary'!$A$5:$A$14,0))</f>
        <v>-0.13559322033898</v>
      </c>
      <c r="M1971" s="42" t="n">
        <f aca="false">MAX(I1971:K1971)</f>
        <v>1.37073170731707</v>
      </c>
      <c r="N1971" s="27" t="s">
        <v>197</v>
      </c>
      <c r="O1971" s="27"/>
      <c r="P1971" s="27" t="str">
        <f aca="false">A1971&amp;"|"&amp;N1971</f>
        <v>NURSE-10|normal</v>
      </c>
    </row>
    <row r="1972" customFormat="false" ht="15" hidden="false" customHeight="true" outlineLevel="0" collapsed="false">
      <c r="A1972" s="27" t="s">
        <v>104</v>
      </c>
      <c r="B1972" s="41" t="n">
        <v>46303.3506944445</v>
      </c>
      <c r="C1972" s="27" t="s">
        <v>200</v>
      </c>
      <c r="D1972" s="27" t="n">
        <v>41.7</v>
      </c>
      <c r="E1972" s="27" t="n">
        <v>21.5</v>
      </c>
      <c r="F1972" s="27" t="n">
        <v>28.5</v>
      </c>
      <c r="G1972" s="27" t="n">
        <v>33.3</v>
      </c>
      <c r="H1972" s="27" t="s">
        <v>198</v>
      </c>
      <c r="I1972" s="42" t="n">
        <f aca="false">(D1972-INDEX('Cohort Summary'!$D$5:$D$14,MATCH($A1972,'Cohort Summary'!$A$5:$A$14,0)))/INDEX('Cohort Summary'!$E$5:$E$14,MATCH($A1972,'Cohort Summary'!$A$5:$A$14,0))</f>
        <v>-0.445993031358883</v>
      </c>
      <c r="J1972" s="42" t="n">
        <f aca="false">(E1972-INDEX('Cohort Summary'!$F$5:$F$14,MATCH($A1972,'Cohort Summary'!$A$5:$A$14,0)))/INDEX('Cohort Summary'!$G$5:$G$14,MATCH($A1972,'Cohort Summary'!$A$5:$A$14,0))</f>
        <v>0.590243902439025</v>
      </c>
      <c r="K1972" s="42" t="n">
        <f aca="false">(F1972-INDEX('Cohort Summary'!$H$5:$H$14,MATCH($A1972,'Cohort Summary'!$A$5:$A$14,0)))/INDEX('Cohort Summary'!$I$5:$I$14,MATCH($A1972,'Cohort Summary'!$A$5:$A$14,0))</f>
        <v>-0.450657894736842</v>
      </c>
      <c r="L1972" s="42" t="n">
        <f aca="false">(G1972-INDEX('Cohort Summary'!$J$5:$J$14,MATCH($A1972,'Cohort Summary'!$A$5:$A$14,0)))/INDEX('Cohort Summary'!$K$5:$K$14,MATCH($A1972,'Cohort Summary'!$A$5:$A$14,0))</f>
        <v>0.542372881355933</v>
      </c>
      <c r="M1972" s="42" t="n">
        <f aca="false">MAX(I1972:K1972)</f>
        <v>0.590243902439025</v>
      </c>
      <c r="N1972" s="27" t="s">
        <v>197</v>
      </c>
      <c r="O1972" s="27"/>
      <c r="P1972" s="27" t="str">
        <f aca="false">A1972&amp;"|"&amp;N1972</f>
        <v>NURSE-10|normal</v>
      </c>
    </row>
    <row r="1973" customFormat="false" ht="15" hidden="false" customHeight="true" outlineLevel="0" collapsed="false">
      <c r="A1973" s="27" t="s">
        <v>104</v>
      </c>
      <c r="B1973" s="41" t="n">
        <v>46303.3510416667</v>
      </c>
      <c r="C1973" s="27" t="s">
        <v>200</v>
      </c>
      <c r="D1973" s="27" t="n">
        <v>40.9</v>
      </c>
      <c r="E1973" s="27" t="n">
        <v>20</v>
      </c>
      <c r="F1973" s="27" t="n">
        <v>30</v>
      </c>
      <c r="G1973" s="27" t="n">
        <v>32.2</v>
      </c>
      <c r="H1973" s="27" t="s">
        <v>198</v>
      </c>
      <c r="I1973" s="42" t="n">
        <f aca="false">(D1973-INDEX('Cohort Summary'!$D$5:$D$14,MATCH($A1973,'Cohort Summary'!$A$5:$A$14,0)))/INDEX('Cohort Summary'!$E$5:$E$14,MATCH($A1973,'Cohort Summary'!$A$5:$A$14,0))</f>
        <v>-0.724738675958188</v>
      </c>
      <c r="J1973" s="42" t="n">
        <f aca="false">(E1973-INDEX('Cohort Summary'!$F$5:$F$14,MATCH($A1973,'Cohort Summary'!$A$5:$A$14,0)))/INDEX('Cohort Summary'!$G$5:$G$14,MATCH($A1973,'Cohort Summary'!$A$5:$A$14,0))</f>
        <v>-0.141463414634146</v>
      </c>
      <c r="K1973" s="42" t="n">
        <f aca="false">(F1973-INDEX('Cohort Summary'!$H$5:$H$14,MATCH($A1973,'Cohort Summary'!$A$5:$A$14,0)))/INDEX('Cohort Summary'!$I$5:$I$14,MATCH($A1973,'Cohort Summary'!$A$5:$A$14,0))</f>
        <v>0.0427631578947365</v>
      </c>
      <c r="L1973" s="42" t="n">
        <f aca="false">(G1973-INDEX('Cohort Summary'!$J$5:$J$14,MATCH($A1973,'Cohort Summary'!$A$5:$A$14,0)))/INDEX('Cohort Summary'!$K$5:$K$14,MATCH($A1973,'Cohort Summary'!$A$5:$A$14,0))</f>
        <v>-1.32203389830507</v>
      </c>
      <c r="M1973" s="42" t="n">
        <f aca="false">MAX(I1973:K1973)</f>
        <v>0.0427631578947365</v>
      </c>
      <c r="N1973" s="27" t="s">
        <v>197</v>
      </c>
      <c r="O1973" s="27"/>
      <c r="P1973" s="27" t="str">
        <f aca="false">A1973&amp;"|"&amp;N1973</f>
        <v>NURSE-10|normal</v>
      </c>
    </row>
    <row r="1974" customFormat="false" ht="15" hidden="false" customHeight="true" outlineLevel="0" collapsed="false">
      <c r="A1974" s="27" t="s">
        <v>104</v>
      </c>
      <c r="B1974" s="41" t="n">
        <v>46303.3513888889</v>
      </c>
      <c r="C1974" s="27" t="s">
        <v>200</v>
      </c>
      <c r="D1974" s="27" t="n">
        <v>41.2</v>
      </c>
      <c r="E1974" s="27" t="n">
        <v>19.3</v>
      </c>
      <c r="F1974" s="27" t="n">
        <v>27.7</v>
      </c>
      <c r="G1974" s="27" t="n">
        <v>32.3</v>
      </c>
      <c r="H1974" s="27" t="s">
        <v>198</v>
      </c>
      <c r="I1974" s="42" t="n">
        <f aca="false">(D1974-INDEX('Cohort Summary'!$D$5:$D$14,MATCH($A1974,'Cohort Summary'!$A$5:$A$14,0)))/INDEX('Cohort Summary'!$E$5:$E$14,MATCH($A1974,'Cohort Summary'!$A$5:$A$14,0))</f>
        <v>-0.620209059233447</v>
      </c>
      <c r="J1974" s="42" t="n">
        <f aca="false">(E1974-INDEX('Cohort Summary'!$F$5:$F$14,MATCH($A1974,'Cohort Summary'!$A$5:$A$14,0)))/INDEX('Cohort Summary'!$G$5:$G$14,MATCH($A1974,'Cohort Summary'!$A$5:$A$14,0))</f>
        <v>-0.482926829268292</v>
      </c>
      <c r="K1974" s="42" t="n">
        <f aca="false">(F1974-INDEX('Cohort Summary'!$H$5:$H$14,MATCH($A1974,'Cohort Summary'!$A$5:$A$14,0)))/INDEX('Cohort Summary'!$I$5:$I$14,MATCH($A1974,'Cohort Summary'!$A$5:$A$14,0))</f>
        <v>-0.713815789473685</v>
      </c>
      <c r="L1974" s="42" t="n">
        <f aca="false">(G1974-INDEX('Cohort Summary'!$J$5:$J$14,MATCH($A1974,'Cohort Summary'!$A$5:$A$14,0)))/INDEX('Cohort Summary'!$K$5:$K$14,MATCH($A1974,'Cohort Summary'!$A$5:$A$14,0))</f>
        <v>-1.15254237288136</v>
      </c>
      <c r="M1974" s="42" t="n">
        <f aca="false">MAX(I1974:K1974)</f>
        <v>-0.482926829268292</v>
      </c>
      <c r="N1974" s="27" t="s">
        <v>197</v>
      </c>
      <c r="O1974" s="27"/>
      <c r="P1974" s="27" t="str">
        <f aca="false">A1974&amp;"|"&amp;N1974</f>
        <v>NURSE-10|normal</v>
      </c>
    </row>
    <row r="1975" customFormat="false" ht="15" hidden="false" customHeight="true" outlineLevel="0" collapsed="false">
      <c r="A1975" s="27" t="s">
        <v>104</v>
      </c>
      <c r="B1975" s="41" t="n">
        <v>46303.3517361111</v>
      </c>
      <c r="C1975" s="27" t="s">
        <v>200</v>
      </c>
      <c r="D1975" s="27" t="n">
        <v>39.6</v>
      </c>
      <c r="E1975" s="27" t="n">
        <v>19.9</v>
      </c>
      <c r="F1975" s="27" t="n">
        <v>25.6</v>
      </c>
      <c r="G1975" s="27" t="n">
        <v>32.2</v>
      </c>
      <c r="H1975" s="27" t="s">
        <v>199</v>
      </c>
      <c r="I1975" s="42" t="n">
        <f aca="false">(D1975-INDEX('Cohort Summary'!$D$5:$D$14,MATCH($A1975,'Cohort Summary'!$A$5:$A$14,0)))/INDEX('Cohort Summary'!$E$5:$E$14,MATCH($A1975,'Cohort Summary'!$A$5:$A$14,0))</f>
        <v>-1.17770034843205</v>
      </c>
      <c r="J1975" s="42" t="n">
        <f aca="false">(E1975-INDEX('Cohort Summary'!$F$5:$F$14,MATCH($A1975,'Cohort Summary'!$A$5:$A$14,0)))/INDEX('Cohort Summary'!$G$5:$G$14,MATCH($A1975,'Cohort Summary'!$A$5:$A$14,0))</f>
        <v>-0.190243902439025</v>
      </c>
      <c r="K1975" s="42" t="n">
        <f aca="false">(F1975-INDEX('Cohort Summary'!$H$5:$H$14,MATCH($A1975,'Cohort Summary'!$A$5:$A$14,0)))/INDEX('Cohort Summary'!$I$5:$I$14,MATCH($A1975,'Cohort Summary'!$A$5:$A$14,0))</f>
        <v>-1.40460526315789</v>
      </c>
      <c r="L1975" s="42" t="n">
        <f aca="false">(G1975-INDEX('Cohort Summary'!$J$5:$J$14,MATCH($A1975,'Cohort Summary'!$A$5:$A$14,0)))/INDEX('Cohort Summary'!$K$5:$K$14,MATCH($A1975,'Cohort Summary'!$A$5:$A$14,0))</f>
        <v>-1.32203389830507</v>
      </c>
      <c r="M1975" s="42" t="n">
        <f aca="false">MAX(I1975:K1975)</f>
        <v>-0.190243902439025</v>
      </c>
      <c r="N1975" s="27" t="s">
        <v>197</v>
      </c>
      <c r="O1975" s="27"/>
      <c r="P1975" s="27" t="str">
        <f aca="false">A1975&amp;"|"&amp;N1975</f>
        <v>NURSE-10|normal</v>
      </c>
    </row>
    <row r="1976" customFormat="false" ht="15" hidden="false" customHeight="true" outlineLevel="0" collapsed="false">
      <c r="A1976" s="27" t="s">
        <v>104</v>
      </c>
      <c r="B1976" s="41" t="n">
        <v>46303.3520833333</v>
      </c>
      <c r="C1976" s="27" t="s">
        <v>200</v>
      </c>
      <c r="D1976" s="27" t="n">
        <v>46.8</v>
      </c>
      <c r="E1976" s="27" t="n">
        <v>17.2</v>
      </c>
      <c r="F1976" s="27" t="n">
        <v>34.4</v>
      </c>
      <c r="G1976" s="27" t="n">
        <v>33.9</v>
      </c>
      <c r="H1976" s="27" t="s">
        <v>199</v>
      </c>
      <c r="I1976" s="42" t="n">
        <f aca="false">(D1976-INDEX('Cohort Summary'!$D$5:$D$14,MATCH($A1976,'Cohort Summary'!$A$5:$A$14,0)))/INDEX('Cohort Summary'!$E$5:$E$14,MATCH($A1976,'Cohort Summary'!$A$5:$A$14,0))</f>
        <v>1.33101045296167</v>
      </c>
      <c r="J1976" s="42" t="n">
        <f aca="false">(E1976-INDEX('Cohort Summary'!$F$5:$F$14,MATCH($A1976,'Cohort Summary'!$A$5:$A$14,0)))/INDEX('Cohort Summary'!$G$5:$G$14,MATCH($A1976,'Cohort Summary'!$A$5:$A$14,0))</f>
        <v>-1.50731707317073</v>
      </c>
      <c r="K1976" s="42" t="n">
        <f aca="false">(F1976-INDEX('Cohort Summary'!$H$5:$H$14,MATCH($A1976,'Cohort Summary'!$A$5:$A$14,0)))/INDEX('Cohort Summary'!$I$5:$I$14,MATCH($A1976,'Cohort Summary'!$A$5:$A$14,0))</f>
        <v>1.49013157894737</v>
      </c>
      <c r="L1976" s="42" t="n">
        <f aca="false">(G1976-INDEX('Cohort Summary'!$J$5:$J$14,MATCH($A1976,'Cohort Summary'!$A$5:$A$14,0)))/INDEX('Cohort Summary'!$K$5:$K$14,MATCH($A1976,'Cohort Summary'!$A$5:$A$14,0))</f>
        <v>1.55932203389831</v>
      </c>
      <c r="M1976" s="42" t="n">
        <f aca="false">MAX(I1976:K1976)</f>
        <v>1.49013157894737</v>
      </c>
      <c r="N1976" s="27" t="s">
        <v>197</v>
      </c>
      <c r="O1976" s="27"/>
      <c r="P1976" s="27" t="str">
        <f aca="false">A1976&amp;"|"&amp;N1976</f>
        <v>NURSE-10|normal</v>
      </c>
    </row>
    <row r="1977" customFormat="false" ht="15" hidden="false" customHeight="true" outlineLevel="0" collapsed="false">
      <c r="A1977" s="27" t="s">
        <v>104</v>
      </c>
      <c r="B1977" s="41" t="n">
        <v>46303.3524305556</v>
      </c>
      <c r="C1977" s="27" t="s">
        <v>200</v>
      </c>
      <c r="D1977" s="27" t="n">
        <v>43.8</v>
      </c>
      <c r="E1977" s="27" t="n">
        <v>20.6</v>
      </c>
      <c r="F1977" s="27" t="n">
        <v>31.6</v>
      </c>
      <c r="G1977" s="27" t="n">
        <v>33</v>
      </c>
      <c r="H1977" s="27" t="s">
        <v>199</v>
      </c>
      <c r="I1977" s="42" t="n">
        <f aca="false">(D1977-INDEX('Cohort Summary'!$D$5:$D$14,MATCH($A1977,'Cohort Summary'!$A$5:$A$14,0)))/INDEX('Cohort Summary'!$E$5:$E$14,MATCH($A1977,'Cohort Summary'!$A$5:$A$14,0))</f>
        <v>0.285714285714286</v>
      </c>
      <c r="J1977" s="42" t="n">
        <f aca="false">(E1977-INDEX('Cohort Summary'!$F$5:$F$14,MATCH($A1977,'Cohort Summary'!$A$5:$A$14,0)))/INDEX('Cohort Summary'!$G$5:$G$14,MATCH($A1977,'Cohort Summary'!$A$5:$A$14,0))</f>
        <v>0.151219512195123</v>
      </c>
      <c r="K1977" s="42" t="n">
        <f aca="false">(F1977-INDEX('Cohort Summary'!$H$5:$H$14,MATCH($A1977,'Cohort Summary'!$A$5:$A$14,0)))/INDEX('Cohort Summary'!$I$5:$I$14,MATCH($A1977,'Cohort Summary'!$A$5:$A$14,0))</f>
        <v>0.569078947368421</v>
      </c>
      <c r="L1977" s="42" t="n">
        <f aca="false">(G1977-INDEX('Cohort Summary'!$J$5:$J$14,MATCH($A1977,'Cohort Summary'!$A$5:$A$14,0)))/INDEX('Cohort Summary'!$K$5:$K$14,MATCH($A1977,'Cohort Summary'!$A$5:$A$14,0))</f>
        <v>0.0338983050847511</v>
      </c>
      <c r="M1977" s="42" t="n">
        <f aca="false">MAX(I1977:K1977)</f>
        <v>0.569078947368421</v>
      </c>
      <c r="N1977" s="27" t="s">
        <v>197</v>
      </c>
      <c r="O1977" s="27"/>
      <c r="P1977" s="27" t="str">
        <f aca="false">A1977&amp;"|"&amp;N1977</f>
        <v>NURSE-10|normal</v>
      </c>
    </row>
    <row r="1978" customFormat="false" ht="15" hidden="false" customHeight="true" outlineLevel="0" collapsed="false">
      <c r="A1978" s="27" t="s">
        <v>104</v>
      </c>
      <c r="B1978" s="41" t="n">
        <v>46303.3527777778</v>
      </c>
      <c r="C1978" s="27" t="s">
        <v>200</v>
      </c>
      <c r="D1978" s="27" t="n">
        <v>47.3</v>
      </c>
      <c r="E1978" s="27" t="n">
        <v>22.5</v>
      </c>
      <c r="F1978" s="27" t="n">
        <v>33.9</v>
      </c>
      <c r="G1978" s="27" t="n">
        <v>33.1</v>
      </c>
      <c r="H1978" s="27" t="s">
        <v>196</v>
      </c>
      <c r="I1978" s="42" t="n">
        <f aca="false">(D1978-INDEX('Cohort Summary'!$D$5:$D$14,MATCH($A1978,'Cohort Summary'!$A$5:$A$14,0)))/INDEX('Cohort Summary'!$E$5:$E$14,MATCH($A1978,'Cohort Summary'!$A$5:$A$14,0))</f>
        <v>1.50522648083624</v>
      </c>
      <c r="J1978" s="42" t="n">
        <f aca="false">(E1978-INDEX('Cohort Summary'!$F$5:$F$14,MATCH($A1978,'Cohort Summary'!$A$5:$A$14,0)))/INDEX('Cohort Summary'!$G$5:$G$14,MATCH($A1978,'Cohort Summary'!$A$5:$A$14,0))</f>
        <v>1.07804878048781</v>
      </c>
      <c r="K1978" s="42" t="n">
        <f aca="false">(F1978-INDEX('Cohort Summary'!$H$5:$H$14,MATCH($A1978,'Cohort Summary'!$A$5:$A$14,0)))/INDEX('Cohort Summary'!$I$5:$I$14,MATCH($A1978,'Cohort Summary'!$A$5:$A$14,0))</f>
        <v>1.32565789473684</v>
      </c>
      <c r="L1978" s="42" t="n">
        <f aca="false">(G1978-INDEX('Cohort Summary'!$J$5:$J$14,MATCH($A1978,'Cohort Summary'!$A$5:$A$14,0)))/INDEX('Cohort Summary'!$K$5:$K$14,MATCH($A1978,'Cohort Summary'!$A$5:$A$14,0))</f>
        <v>0.203389830508482</v>
      </c>
      <c r="M1978" s="42" t="n">
        <f aca="false">MAX(I1978:K1978)</f>
        <v>1.50522648083624</v>
      </c>
      <c r="N1978" s="27" t="s">
        <v>197</v>
      </c>
      <c r="O1978" s="27"/>
      <c r="P1978" s="27" t="str">
        <f aca="false">A1978&amp;"|"&amp;N1978</f>
        <v>NURSE-10|normal</v>
      </c>
    </row>
    <row r="1979" customFormat="false" ht="15" hidden="false" customHeight="true" outlineLevel="0" collapsed="false">
      <c r="A1979" s="27" t="s">
        <v>104</v>
      </c>
      <c r="B1979" s="41" t="n">
        <v>46303.353125</v>
      </c>
      <c r="C1979" s="27" t="s">
        <v>200</v>
      </c>
      <c r="D1979" s="27" t="n">
        <v>47.6</v>
      </c>
      <c r="E1979" s="27" t="n">
        <v>19.4</v>
      </c>
      <c r="F1979" s="27" t="n">
        <v>29.3</v>
      </c>
      <c r="G1979" s="27" t="n">
        <v>32.8</v>
      </c>
      <c r="H1979" s="27" t="s">
        <v>198</v>
      </c>
      <c r="I1979" s="42" t="n">
        <f aca="false">(D1979-INDEX('Cohort Summary'!$D$5:$D$14,MATCH($A1979,'Cohort Summary'!$A$5:$A$14,0)))/INDEX('Cohort Summary'!$E$5:$E$14,MATCH($A1979,'Cohort Summary'!$A$5:$A$14,0))</f>
        <v>1.60975609756098</v>
      </c>
      <c r="J1979" s="42" t="n">
        <f aca="false">(E1979-INDEX('Cohort Summary'!$F$5:$F$14,MATCH($A1979,'Cohort Summary'!$A$5:$A$14,0)))/INDEX('Cohort Summary'!$G$5:$G$14,MATCH($A1979,'Cohort Summary'!$A$5:$A$14,0))</f>
        <v>-0.434146341463415</v>
      </c>
      <c r="K1979" s="42" t="n">
        <f aca="false">(F1979-INDEX('Cohort Summary'!$H$5:$H$14,MATCH($A1979,'Cohort Summary'!$A$5:$A$14,0)))/INDEX('Cohort Summary'!$I$5:$I$14,MATCH($A1979,'Cohort Summary'!$A$5:$A$14,0))</f>
        <v>-0.1875</v>
      </c>
      <c r="L1979" s="42" t="n">
        <f aca="false">(G1979-INDEX('Cohort Summary'!$J$5:$J$14,MATCH($A1979,'Cohort Summary'!$A$5:$A$14,0)))/INDEX('Cohort Summary'!$K$5:$K$14,MATCH($A1979,'Cohort Summary'!$A$5:$A$14,0))</f>
        <v>-0.305084745762711</v>
      </c>
      <c r="M1979" s="42" t="n">
        <f aca="false">MAX(I1979:K1979)</f>
        <v>1.60975609756098</v>
      </c>
      <c r="N1979" s="27" t="s">
        <v>197</v>
      </c>
      <c r="O1979" s="27"/>
      <c r="P1979" s="27" t="str">
        <f aca="false">A1979&amp;"|"&amp;N1979</f>
        <v>NURSE-10|normal</v>
      </c>
    </row>
    <row r="1980" customFormat="false" ht="15" hidden="false" customHeight="true" outlineLevel="0" collapsed="false">
      <c r="A1980" s="27" t="s">
        <v>104</v>
      </c>
      <c r="B1980" s="41" t="n">
        <v>46303.3534722222</v>
      </c>
      <c r="C1980" s="27" t="s">
        <v>200</v>
      </c>
      <c r="D1980" s="27" t="n">
        <v>38.8</v>
      </c>
      <c r="E1980" s="27" t="n">
        <v>23.4</v>
      </c>
      <c r="F1980" s="27" t="n">
        <v>32.3</v>
      </c>
      <c r="G1980" s="27" t="n">
        <v>33.3</v>
      </c>
      <c r="H1980" s="27" t="s">
        <v>198</v>
      </c>
      <c r="I1980" s="42" t="n">
        <f aca="false">(D1980-INDEX('Cohort Summary'!$D$5:$D$14,MATCH($A1980,'Cohort Summary'!$A$5:$A$14,0)))/INDEX('Cohort Summary'!$E$5:$E$14,MATCH($A1980,'Cohort Summary'!$A$5:$A$14,0))</f>
        <v>-1.45644599303136</v>
      </c>
      <c r="J1980" s="42" t="n">
        <f aca="false">(E1980-INDEX('Cohort Summary'!$F$5:$F$14,MATCH($A1980,'Cohort Summary'!$A$5:$A$14,0)))/INDEX('Cohort Summary'!$G$5:$G$14,MATCH($A1980,'Cohort Summary'!$A$5:$A$14,0))</f>
        <v>1.51707317073171</v>
      </c>
      <c r="K1980" s="42" t="n">
        <f aca="false">(F1980-INDEX('Cohort Summary'!$H$5:$H$14,MATCH($A1980,'Cohort Summary'!$A$5:$A$14,0)))/INDEX('Cohort Summary'!$I$5:$I$14,MATCH($A1980,'Cohort Summary'!$A$5:$A$14,0))</f>
        <v>0.799342105263157</v>
      </c>
      <c r="L1980" s="42" t="n">
        <f aca="false">(G1980-INDEX('Cohort Summary'!$J$5:$J$14,MATCH($A1980,'Cohort Summary'!$A$5:$A$14,0)))/INDEX('Cohort Summary'!$K$5:$K$14,MATCH($A1980,'Cohort Summary'!$A$5:$A$14,0))</f>
        <v>0.542372881355933</v>
      </c>
      <c r="M1980" s="42" t="n">
        <f aca="false">MAX(I1980:K1980)</f>
        <v>1.51707317073171</v>
      </c>
      <c r="N1980" s="27" t="s">
        <v>197</v>
      </c>
      <c r="O1980" s="27"/>
      <c r="P1980" s="27" t="str">
        <f aca="false">A1980&amp;"|"&amp;N1980</f>
        <v>NURSE-10|normal</v>
      </c>
    </row>
    <row r="1981" customFormat="false" ht="15" hidden="false" customHeight="true" outlineLevel="0" collapsed="false">
      <c r="A1981" s="27" t="s">
        <v>104</v>
      </c>
      <c r="B1981" s="41" t="n">
        <v>46303.3538194444</v>
      </c>
      <c r="C1981" s="27" t="s">
        <v>200</v>
      </c>
      <c r="D1981" s="27" t="n">
        <v>40.8</v>
      </c>
      <c r="E1981" s="27" t="n">
        <v>21</v>
      </c>
      <c r="F1981" s="27" t="n">
        <v>32.7</v>
      </c>
      <c r="G1981" s="27" t="n">
        <v>32.2</v>
      </c>
      <c r="H1981" s="27" t="s">
        <v>199</v>
      </c>
      <c r="I1981" s="42" t="n">
        <f aca="false">(D1981-INDEX('Cohort Summary'!$D$5:$D$14,MATCH($A1981,'Cohort Summary'!$A$5:$A$14,0)))/INDEX('Cohort Summary'!$E$5:$E$14,MATCH($A1981,'Cohort Summary'!$A$5:$A$14,0))</f>
        <v>-0.759581881533101</v>
      </c>
      <c r="J1981" s="42" t="n">
        <f aca="false">(E1981-INDEX('Cohort Summary'!$F$5:$F$14,MATCH($A1981,'Cohort Summary'!$A$5:$A$14,0)))/INDEX('Cohort Summary'!$G$5:$G$14,MATCH($A1981,'Cohort Summary'!$A$5:$A$14,0))</f>
        <v>0.346341463414635</v>
      </c>
      <c r="K1981" s="42" t="n">
        <f aca="false">(F1981-INDEX('Cohort Summary'!$H$5:$H$14,MATCH($A1981,'Cohort Summary'!$A$5:$A$14,0)))/INDEX('Cohort Summary'!$I$5:$I$14,MATCH($A1981,'Cohort Summary'!$A$5:$A$14,0))</f>
        <v>0.93092105263158</v>
      </c>
      <c r="L1981" s="42" t="n">
        <f aca="false">(G1981-INDEX('Cohort Summary'!$J$5:$J$14,MATCH($A1981,'Cohort Summary'!$A$5:$A$14,0)))/INDEX('Cohort Summary'!$K$5:$K$14,MATCH($A1981,'Cohort Summary'!$A$5:$A$14,0))</f>
        <v>-1.32203389830507</v>
      </c>
      <c r="M1981" s="42" t="n">
        <f aca="false">MAX(I1981:K1981)</f>
        <v>0.93092105263158</v>
      </c>
      <c r="N1981" s="27" t="s">
        <v>197</v>
      </c>
      <c r="O1981" s="27"/>
      <c r="P1981" s="27" t="str">
        <f aca="false">A1981&amp;"|"&amp;N1981</f>
        <v>NURSE-10|normal</v>
      </c>
    </row>
    <row r="1982" customFormat="false" ht="15" hidden="false" customHeight="true" outlineLevel="0" collapsed="false">
      <c r="A1982" s="27" t="s">
        <v>104</v>
      </c>
      <c r="B1982" s="41" t="n">
        <v>46303.3541666667</v>
      </c>
      <c r="C1982" s="27" t="s">
        <v>200</v>
      </c>
      <c r="D1982" s="27" t="n">
        <v>44.4</v>
      </c>
      <c r="E1982" s="27" t="n">
        <v>18.7</v>
      </c>
      <c r="F1982" s="27" t="n">
        <v>31.3</v>
      </c>
      <c r="G1982" s="27" t="n">
        <v>33.7</v>
      </c>
      <c r="H1982" s="27" t="s">
        <v>199</v>
      </c>
      <c r="I1982" s="42" t="n">
        <f aca="false">(D1982-INDEX('Cohort Summary'!$D$5:$D$14,MATCH($A1982,'Cohort Summary'!$A$5:$A$14,0)))/INDEX('Cohort Summary'!$E$5:$E$14,MATCH($A1982,'Cohort Summary'!$A$5:$A$14,0))</f>
        <v>0.494773519163764</v>
      </c>
      <c r="J1982" s="42" t="n">
        <f aca="false">(E1982-INDEX('Cohort Summary'!$F$5:$F$14,MATCH($A1982,'Cohort Summary'!$A$5:$A$14,0)))/INDEX('Cohort Summary'!$G$5:$G$14,MATCH($A1982,'Cohort Summary'!$A$5:$A$14,0))</f>
        <v>-0.775609756097561</v>
      </c>
      <c r="K1982" s="42" t="n">
        <f aca="false">(F1982-INDEX('Cohort Summary'!$H$5:$H$14,MATCH($A1982,'Cohort Summary'!$A$5:$A$14,0)))/INDEX('Cohort Summary'!$I$5:$I$14,MATCH($A1982,'Cohort Summary'!$A$5:$A$14,0))</f>
        <v>0.470394736842105</v>
      </c>
      <c r="L1982" s="42" t="n">
        <f aca="false">(G1982-INDEX('Cohort Summary'!$J$5:$J$14,MATCH($A1982,'Cohort Summary'!$A$5:$A$14,0)))/INDEX('Cohort Summary'!$K$5:$K$14,MATCH($A1982,'Cohort Summary'!$A$5:$A$14,0))</f>
        <v>1.22033898305086</v>
      </c>
      <c r="M1982" s="42" t="n">
        <f aca="false">MAX(I1982:K1982)</f>
        <v>0.494773519163764</v>
      </c>
      <c r="N1982" s="27" t="s">
        <v>197</v>
      </c>
      <c r="O1982" s="27"/>
      <c r="P1982" s="27" t="str">
        <f aca="false">A1982&amp;"|"&amp;N1982</f>
        <v>NURSE-10|normal</v>
      </c>
    </row>
    <row r="1983" customFormat="false" ht="15" hidden="false" customHeight="true" outlineLevel="0" collapsed="false">
      <c r="A1983" s="27" t="s">
        <v>104</v>
      </c>
      <c r="B1983" s="41" t="n">
        <v>46303.3545138889</v>
      </c>
      <c r="C1983" s="27" t="s">
        <v>200</v>
      </c>
      <c r="D1983" s="27" t="n">
        <v>40.3</v>
      </c>
      <c r="E1983" s="27" t="n">
        <v>19.1</v>
      </c>
      <c r="F1983" s="27" t="n">
        <v>28.3</v>
      </c>
      <c r="G1983" s="27" t="n">
        <v>33.8</v>
      </c>
      <c r="H1983" s="27" t="s">
        <v>199</v>
      </c>
      <c r="I1983" s="42" t="n">
        <f aca="false">(D1983-INDEX('Cohort Summary'!$D$5:$D$14,MATCH($A1983,'Cohort Summary'!$A$5:$A$14,0)))/INDEX('Cohort Summary'!$E$5:$E$14,MATCH($A1983,'Cohort Summary'!$A$5:$A$14,0))</f>
        <v>-0.933797909407665</v>
      </c>
      <c r="J1983" s="42" t="n">
        <f aca="false">(E1983-INDEX('Cohort Summary'!$F$5:$F$14,MATCH($A1983,'Cohort Summary'!$A$5:$A$14,0)))/INDEX('Cohort Summary'!$G$5:$G$14,MATCH($A1983,'Cohort Summary'!$A$5:$A$14,0))</f>
        <v>-0.580487804878048</v>
      </c>
      <c r="K1983" s="42" t="n">
        <f aca="false">(F1983-INDEX('Cohort Summary'!$H$5:$H$14,MATCH($A1983,'Cohort Summary'!$A$5:$A$14,0)))/INDEX('Cohort Summary'!$I$5:$I$14,MATCH($A1983,'Cohort Summary'!$A$5:$A$14,0))</f>
        <v>-0.516447368421053</v>
      </c>
      <c r="L1983" s="42" t="n">
        <f aca="false">(G1983-INDEX('Cohort Summary'!$J$5:$J$14,MATCH($A1983,'Cohort Summary'!$A$5:$A$14,0)))/INDEX('Cohort Summary'!$K$5:$K$14,MATCH($A1983,'Cohort Summary'!$A$5:$A$14,0))</f>
        <v>1.38983050847458</v>
      </c>
      <c r="M1983" s="42" t="n">
        <f aca="false">MAX(I1983:K1983)</f>
        <v>-0.516447368421053</v>
      </c>
      <c r="N1983" s="27" t="s">
        <v>197</v>
      </c>
      <c r="O1983" s="27"/>
      <c r="P1983" s="27" t="str">
        <f aca="false">A1983&amp;"|"&amp;N1983</f>
        <v>NURSE-10|normal</v>
      </c>
    </row>
    <row r="1984" customFormat="false" ht="15" hidden="false" customHeight="true" outlineLevel="0" collapsed="false">
      <c r="A1984" s="27" t="s">
        <v>104</v>
      </c>
      <c r="B1984" s="41" t="n">
        <v>46303.3548611111</v>
      </c>
      <c r="C1984" s="27" t="s">
        <v>200</v>
      </c>
      <c r="D1984" s="27" t="n">
        <v>41.9</v>
      </c>
      <c r="E1984" s="27" t="n">
        <v>20.2</v>
      </c>
      <c r="F1984" s="27" t="n">
        <v>27</v>
      </c>
      <c r="G1984" s="27" t="n">
        <v>32.9</v>
      </c>
      <c r="H1984" s="27" t="s">
        <v>199</v>
      </c>
      <c r="I1984" s="42" t="n">
        <f aca="false">(D1984-INDEX('Cohort Summary'!$D$5:$D$14,MATCH($A1984,'Cohort Summary'!$A$5:$A$14,0)))/INDEX('Cohort Summary'!$E$5:$E$14,MATCH($A1984,'Cohort Summary'!$A$5:$A$14,0))</f>
        <v>-0.376306620209059</v>
      </c>
      <c r="J1984" s="42" t="n">
        <f aca="false">(E1984-INDEX('Cohort Summary'!$F$5:$F$14,MATCH($A1984,'Cohort Summary'!$A$5:$A$14,0)))/INDEX('Cohort Summary'!$G$5:$G$14,MATCH($A1984,'Cohort Summary'!$A$5:$A$14,0))</f>
        <v>-0.0439024390243902</v>
      </c>
      <c r="K1984" s="42" t="n">
        <f aca="false">(F1984-INDEX('Cohort Summary'!$H$5:$H$14,MATCH($A1984,'Cohort Summary'!$A$5:$A$14,0)))/INDEX('Cohort Summary'!$I$5:$I$14,MATCH($A1984,'Cohort Summary'!$A$5:$A$14,0))</f>
        <v>-0.944078947368421</v>
      </c>
      <c r="L1984" s="42" t="n">
        <f aca="false">(G1984-INDEX('Cohort Summary'!$J$5:$J$14,MATCH($A1984,'Cohort Summary'!$A$5:$A$14,0)))/INDEX('Cohort Summary'!$K$5:$K$14,MATCH($A1984,'Cohort Summary'!$A$5:$A$14,0))</f>
        <v>-0.13559322033898</v>
      </c>
      <c r="M1984" s="42" t="n">
        <f aca="false">MAX(I1984:K1984)</f>
        <v>-0.0439024390243902</v>
      </c>
      <c r="N1984" s="27" t="s">
        <v>197</v>
      </c>
      <c r="O1984" s="27"/>
      <c r="P1984" s="27" t="str">
        <f aca="false">A1984&amp;"|"&amp;N1984</f>
        <v>NURSE-10|normal</v>
      </c>
    </row>
    <row r="1985" customFormat="false" ht="15" hidden="false" customHeight="true" outlineLevel="0" collapsed="false">
      <c r="A1985" s="27" t="s">
        <v>104</v>
      </c>
      <c r="B1985" s="41" t="n">
        <v>46303.3552083333</v>
      </c>
      <c r="C1985" s="27" t="s">
        <v>200</v>
      </c>
      <c r="D1985" s="27" t="n">
        <v>38.9</v>
      </c>
      <c r="E1985" s="27" t="n">
        <v>19.8</v>
      </c>
      <c r="F1985" s="27" t="n">
        <v>27</v>
      </c>
      <c r="G1985" s="27" t="n">
        <v>33.7</v>
      </c>
      <c r="H1985" s="27" t="s">
        <v>199</v>
      </c>
      <c r="I1985" s="42" t="n">
        <f aca="false">(D1985-INDEX('Cohort Summary'!$D$5:$D$14,MATCH($A1985,'Cohort Summary'!$A$5:$A$14,0)))/INDEX('Cohort Summary'!$E$5:$E$14,MATCH($A1985,'Cohort Summary'!$A$5:$A$14,0))</f>
        <v>-1.42160278745645</v>
      </c>
      <c r="J1985" s="42" t="n">
        <f aca="false">(E1985-INDEX('Cohort Summary'!$F$5:$F$14,MATCH($A1985,'Cohort Summary'!$A$5:$A$14,0)))/INDEX('Cohort Summary'!$G$5:$G$14,MATCH($A1985,'Cohort Summary'!$A$5:$A$14,0))</f>
        <v>-0.239024390243902</v>
      </c>
      <c r="K1985" s="42" t="n">
        <f aca="false">(F1985-INDEX('Cohort Summary'!$H$5:$H$14,MATCH($A1985,'Cohort Summary'!$A$5:$A$14,0)))/INDEX('Cohort Summary'!$I$5:$I$14,MATCH($A1985,'Cohort Summary'!$A$5:$A$14,0))</f>
        <v>-0.944078947368421</v>
      </c>
      <c r="L1985" s="42" t="n">
        <f aca="false">(G1985-INDEX('Cohort Summary'!$J$5:$J$14,MATCH($A1985,'Cohort Summary'!$A$5:$A$14,0)))/INDEX('Cohort Summary'!$K$5:$K$14,MATCH($A1985,'Cohort Summary'!$A$5:$A$14,0))</f>
        <v>1.22033898305086</v>
      </c>
      <c r="M1985" s="42" t="n">
        <f aca="false">MAX(I1985:K1985)</f>
        <v>-0.239024390243902</v>
      </c>
      <c r="N1985" s="27" t="s">
        <v>197</v>
      </c>
      <c r="O1985" s="27"/>
      <c r="P1985" s="27" t="str">
        <f aca="false">A1985&amp;"|"&amp;N1985</f>
        <v>NURSE-10|normal</v>
      </c>
    </row>
    <row r="1986" customFormat="false" ht="15" hidden="false" customHeight="true" outlineLevel="0" collapsed="false">
      <c r="A1986" s="27" t="s">
        <v>104</v>
      </c>
      <c r="B1986" s="41" t="n">
        <v>46303.3555555556</v>
      </c>
      <c r="C1986" s="27" t="s">
        <v>200</v>
      </c>
      <c r="D1986" s="27" t="n">
        <v>43.2</v>
      </c>
      <c r="E1986" s="27" t="n">
        <v>21.1</v>
      </c>
      <c r="F1986" s="27" t="n">
        <v>26.9</v>
      </c>
      <c r="G1986" s="27" t="n">
        <v>33.3</v>
      </c>
      <c r="H1986" s="27" t="s">
        <v>199</v>
      </c>
      <c r="I1986" s="42" t="n">
        <f aca="false">(D1986-INDEX('Cohort Summary'!$D$5:$D$14,MATCH($A1986,'Cohort Summary'!$A$5:$A$14,0)))/INDEX('Cohort Summary'!$E$5:$E$14,MATCH($A1986,'Cohort Summary'!$A$5:$A$14,0))</f>
        <v>0.0766550522648104</v>
      </c>
      <c r="J1986" s="42" t="n">
        <f aca="false">(E1986-INDEX('Cohort Summary'!$F$5:$F$14,MATCH($A1986,'Cohort Summary'!$A$5:$A$14,0)))/INDEX('Cohort Summary'!$G$5:$G$14,MATCH($A1986,'Cohort Summary'!$A$5:$A$14,0))</f>
        <v>0.395121951219513</v>
      </c>
      <c r="K1986" s="42" t="n">
        <f aca="false">(F1986-INDEX('Cohort Summary'!$H$5:$H$14,MATCH($A1986,'Cohort Summary'!$A$5:$A$14,0)))/INDEX('Cohort Summary'!$I$5:$I$14,MATCH($A1986,'Cohort Summary'!$A$5:$A$14,0))</f>
        <v>-0.976973684210527</v>
      </c>
      <c r="L1986" s="42" t="n">
        <f aca="false">(G1986-INDEX('Cohort Summary'!$J$5:$J$14,MATCH($A1986,'Cohort Summary'!$A$5:$A$14,0)))/INDEX('Cohort Summary'!$K$5:$K$14,MATCH($A1986,'Cohort Summary'!$A$5:$A$14,0))</f>
        <v>0.542372881355933</v>
      </c>
      <c r="M1986" s="42" t="n">
        <f aca="false">MAX(I1986:K1986)</f>
        <v>0.395121951219513</v>
      </c>
      <c r="N1986" s="27" t="s">
        <v>197</v>
      </c>
      <c r="O1986" s="27"/>
      <c r="P1986" s="27" t="str">
        <f aca="false">A1986&amp;"|"&amp;N1986</f>
        <v>NURSE-10|normal</v>
      </c>
    </row>
    <row r="1987" customFormat="false" ht="15" hidden="false" customHeight="true" outlineLevel="0" collapsed="false">
      <c r="A1987" s="27" t="s">
        <v>104</v>
      </c>
      <c r="B1987" s="41" t="n">
        <v>46303.3559027778</v>
      </c>
      <c r="C1987" s="27" t="s">
        <v>200</v>
      </c>
      <c r="D1987" s="27" t="n">
        <v>52.5</v>
      </c>
      <c r="E1987" s="27" t="n">
        <v>22.1</v>
      </c>
      <c r="F1987" s="27" t="n">
        <v>38.4</v>
      </c>
      <c r="G1987" s="27" t="n">
        <v>33.9</v>
      </c>
      <c r="H1987" s="27" t="s">
        <v>199</v>
      </c>
      <c r="I1987" s="42" t="n">
        <f aca="false">(D1987-INDEX('Cohort Summary'!$D$5:$D$14,MATCH($A1987,'Cohort Summary'!$A$5:$A$14,0)))/INDEX('Cohort Summary'!$E$5:$E$14,MATCH($A1987,'Cohort Summary'!$A$5:$A$14,0))</f>
        <v>3.31707317073171</v>
      </c>
      <c r="J1987" s="42" t="n">
        <f aca="false">(E1987-INDEX('Cohort Summary'!$F$5:$F$14,MATCH($A1987,'Cohort Summary'!$A$5:$A$14,0)))/INDEX('Cohort Summary'!$G$5:$G$14,MATCH($A1987,'Cohort Summary'!$A$5:$A$14,0))</f>
        <v>0.882926829268294</v>
      </c>
      <c r="K1987" s="42" t="n">
        <f aca="false">(F1987-INDEX('Cohort Summary'!$H$5:$H$14,MATCH($A1987,'Cohort Summary'!$A$5:$A$14,0)))/INDEX('Cohort Summary'!$I$5:$I$14,MATCH($A1987,'Cohort Summary'!$A$5:$A$14,0))</f>
        <v>2.80592105263158</v>
      </c>
      <c r="L1987" s="42" t="n">
        <f aca="false">(G1987-INDEX('Cohort Summary'!$J$5:$J$14,MATCH($A1987,'Cohort Summary'!$A$5:$A$14,0)))/INDEX('Cohort Summary'!$K$5:$K$14,MATCH($A1987,'Cohort Summary'!$A$5:$A$14,0))</f>
        <v>1.55932203389831</v>
      </c>
      <c r="M1987" s="42" t="n">
        <f aca="false">MAX(I1987:K1987)</f>
        <v>3.31707317073171</v>
      </c>
      <c r="N1987" s="27" t="s">
        <v>212</v>
      </c>
      <c r="O1987" s="27" t="s">
        <v>344</v>
      </c>
      <c r="P1987" s="27" t="str">
        <f aca="false">A1987&amp;"|"&amp;N1987</f>
        <v>NURSE-10|alert</v>
      </c>
    </row>
    <row r="1988" customFormat="false" ht="15" hidden="false" customHeight="true" outlineLevel="0" collapsed="false">
      <c r="A1988" s="27" t="s">
        <v>104</v>
      </c>
      <c r="B1988" s="41" t="n">
        <v>46303.35625</v>
      </c>
      <c r="C1988" s="27" t="s">
        <v>200</v>
      </c>
      <c r="D1988" s="27" t="n">
        <v>47.3</v>
      </c>
      <c r="E1988" s="27" t="n">
        <v>22.2</v>
      </c>
      <c r="F1988" s="27" t="n">
        <v>40.7</v>
      </c>
      <c r="G1988" s="27" t="n">
        <v>35.3</v>
      </c>
      <c r="H1988" s="27" t="s">
        <v>198</v>
      </c>
      <c r="I1988" s="42" t="n">
        <f aca="false">(D1988-INDEX('Cohort Summary'!$D$5:$D$14,MATCH($A1988,'Cohort Summary'!$A$5:$A$14,0)))/INDEX('Cohort Summary'!$E$5:$E$14,MATCH($A1988,'Cohort Summary'!$A$5:$A$14,0))</f>
        <v>1.50522648083624</v>
      </c>
      <c r="J1988" s="42" t="n">
        <f aca="false">(E1988-INDEX('Cohort Summary'!$F$5:$F$14,MATCH($A1988,'Cohort Summary'!$A$5:$A$14,0)))/INDEX('Cohort Summary'!$G$5:$G$14,MATCH($A1988,'Cohort Summary'!$A$5:$A$14,0))</f>
        <v>0.931707317073171</v>
      </c>
      <c r="K1988" s="42" t="n">
        <f aca="false">(F1988-INDEX('Cohort Summary'!$H$5:$H$14,MATCH($A1988,'Cohort Summary'!$A$5:$A$14,0)))/INDEX('Cohort Summary'!$I$5:$I$14,MATCH($A1988,'Cohort Summary'!$A$5:$A$14,0))</f>
        <v>3.5625</v>
      </c>
      <c r="L1988" s="42" t="n">
        <f aca="false">(G1988-INDEX('Cohort Summary'!$J$5:$J$14,MATCH($A1988,'Cohort Summary'!$A$5:$A$14,0)))/INDEX('Cohort Summary'!$K$5:$K$14,MATCH($A1988,'Cohort Summary'!$A$5:$A$14,0))</f>
        <v>3.93220338983051</v>
      </c>
      <c r="M1988" s="42" t="n">
        <f aca="false">MAX(I1988:K1988)</f>
        <v>3.5625</v>
      </c>
      <c r="N1988" s="27" t="s">
        <v>212</v>
      </c>
      <c r="O1988" s="27" t="s">
        <v>345</v>
      </c>
      <c r="P1988" s="27" t="str">
        <f aca="false">A1988&amp;"|"&amp;N1988</f>
        <v>NURSE-10|alert</v>
      </c>
    </row>
    <row r="1989" customFormat="false" ht="15" hidden="false" customHeight="true" outlineLevel="0" collapsed="false">
      <c r="A1989" s="27" t="s">
        <v>104</v>
      </c>
      <c r="B1989" s="41" t="n">
        <v>46303.3565972222</v>
      </c>
      <c r="C1989" s="27" t="s">
        <v>200</v>
      </c>
      <c r="D1989" s="27" t="n">
        <v>49.4</v>
      </c>
      <c r="E1989" s="27" t="n">
        <v>19.5</v>
      </c>
      <c r="F1989" s="27" t="n">
        <v>31.8</v>
      </c>
      <c r="G1989" s="27" t="n">
        <v>34.5</v>
      </c>
      <c r="H1989" s="27" t="s">
        <v>198</v>
      </c>
      <c r="I1989" s="42" t="n">
        <f aca="false">(D1989-INDEX('Cohort Summary'!$D$5:$D$14,MATCH($A1989,'Cohort Summary'!$A$5:$A$14,0)))/INDEX('Cohort Summary'!$E$5:$E$14,MATCH($A1989,'Cohort Summary'!$A$5:$A$14,0))</f>
        <v>2.23693379790941</v>
      </c>
      <c r="J1989" s="42" t="n">
        <f aca="false">(E1989-INDEX('Cohort Summary'!$F$5:$F$14,MATCH($A1989,'Cohort Summary'!$A$5:$A$14,0)))/INDEX('Cohort Summary'!$G$5:$G$14,MATCH($A1989,'Cohort Summary'!$A$5:$A$14,0))</f>
        <v>-0.385365853658536</v>
      </c>
      <c r="K1989" s="42" t="n">
        <f aca="false">(F1989-INDEX('Cohort Summary'!$H$5:$H$14,MATCH($A1989,'Cohort Summary'!$A$5:$A$14,0)))/INDEX('Cohort Summary'!$I$5:$I$14,MATCH($A1989,'Cohort Summary'!$A$5:$A$14,0))</f>
        <v>0.634868421052632</v>
      </c>
      <c r="L1989" s="42" t="n">
        <f aca="false">(G1989-INDEX('Cohort Summary'!$J$5:$J$14,MATCH($A1989,'Cohort Summary'!$A$5:$A$14,0)))/INDEX('Cohort Summary'!$K$5:$K$14,MATCH($A1989,'Cohort Summary'!$A$5:$A$14,0))</f>
        <v>2.57627118644068</v>
      </c>
      <c r="M1989" s="42" t="n">
        <f aca="false">MAX(I1989:K1989)</f>
        <v>2.23693379790941</v>
      </c>
      <c r="N1989" s="27" t="s">
        <v>201</v>
      </c>
      <c r="O1989" s="27" t="s">
        <v>346</v>
      </c>
      <c r="P1989" s="27" t="str">
        <f aca="false">A1989&amp;"|"&amp;N1989</f>
        <v>NURSE-10|caution</v>
      </c>
    </row>
    <row r="1990" customFormat="false" ht="15" hidden="false" customHeight="true" outlineLevel="0" collapsed="false">
      <c r="A1990" s="27" t="s">
        <v>104</v>
      </c>
      <c r="B1990" s="41" t="n">
        <v>46303.3569444444</v>
      </c>
      <c r="C1990" s="27" t="s">
        <v>200</v>
      </c>
      <c r="D1990" s="27" t="n">
        <v>45.7</v>
      </c>
      <c r="E1990" s="27" t="n">
        <v>17.7</v>
      </c>
      <c r="F1990" s="27" t="n">
        <v>37.9</v>
      </c>
      <c r="G1990" s="27" t="n">
        <v>34.3</v>
      </c>
      <c r="H1990" s="27" t="s">
        <v>199</v>
      </c>
      <c r="I1990" s="42" t="n">
        <f aca="false">(D1990-INDEX('Cohort Summary'!$D$5:$D$14,MATCH($A1990,'Cohort Summary'!$A$5:$A$14,0)))/INDEX('Cohort Summary'!$E$5:$E$14,MATCH($A1990,'Cohort Summary'!$A$5:$A$14,0))</f>
        <v>0.947735191637633</v>
      </c>
      <c r="J1990" s="42" t="n">
        <f aca="false">(E1990-INDEX('Cohort Summary'!$F$5:$F$14,MATCH($A1990,'Cohort Summary'!$A$5:$A$14,0)))/INDEX('Cohort Summary'!$G$5:$G$14,MATCH($A1990,'Cohort Summary'!$A$5:$A$14,0))</f>
        <v>-1.26341463414634</v>
      </c>
      <c r="K1990" s="42" t="n">
        <f aca="false">(F1990-INDEX('Cohort Summary'!$H$5:$H$14,MATCH($A1990,'Cohort Summary'!$A$5:$A$14,0)))/INDEX('Cohort Summary'!$I$5:$I$14,MATCH($A1990,'Cohort Summary'!$A$5:$A$14,0))</f>
        <v>2.64144736842105</v>
      </c>
      <c r="L1990" s="42" t="n">
        <f aca="false">(G1990-INDEX('Cohort Summary'!$J$5:$J$14,MATCH($A1990,'Cohort Summary'!$A$5:$A$14,0)))/INDEX('Cohort Summary'!$K$5:$K$14,MATCH($A1990,'Cohort Summary'!$A$5:$A$14,0))</f>
        <v>2.23728813559322</v>
      </c>
      <c r="M1990" s="42" t="n">
        <f aca="false">MAX(I1990:K1990)</f>
        <v>2.64144736842105</v>
      </c>
      <c r="N1990" s="27" t="s">
        <v>201</v>
      </c>
      <c r="O1990" s="27" t="s">
        <v>347</v>
      </c>
      <c r="P1990" s="27" t="str">
        <f aca="false">A1990&amp;"|"&amp;N1990</f>
        <v>NURSE-10|caution</v>
      </c>
    </row>
    <row r="1991" customFormat="false" ht="15" hidden="false" customHeight="true" outlineLevel="0" collapsed="false">
      <c r="A1991" s="27" t="s">
        <v>104</v>
      </c>
      <c r="B1991" s="41" t="n">
        <v>46303.3572916667</v>
      </c>
      <c r="C1991" s="27" t="s">
        <v>200</v>
      </c>
      <c r="D1991" s="27" t="n">
        <v>48.6</v>
      </c>
      <c r="E1991" s="27" t="n">
        <v>23.9</v>
      </c>
      <c r="F1991" s="27" t="n">
        <v>39.7</v>
      </c>
      <c r="G1991" s="27" t="n">
        <v>34</v>
      </c>
      <c r="H1991" s="27" t="s">
        <v>196</v>
      </c>
      <c r="I1991" s="42" t="n">
        <f aca="false">(D1991-INDEX('Cohort Summary'!$D$5:$D$14,MATCH($A1991,'Cohort Summary'!$A$5:$A$14,0)))/INDEX('Cohort Summary'!$E$5:$E$14,MATCH($A1991,'Cohort Summary'!$A$5:$A$14,0))</f>
        <v>1.95818815331011</v>
      </c>
      <c r="J1991" s="42" t="n">
        <f aca="false">(E1991-INDEX('Cohort Summary'!$F$5:$F$14,MATCH($A1991,'Cohort Summary'!$A$5:$A$14,0)))/INDEX('Cohort Summary'!$G$5:$G$14,MATCH($A1991,'Cohort Summary'!$A$5:$A$14,0))</f>
        <v>1.7609756097561</v>
      </c>
      <c r="K1991" s="42" t="n">
        <f aca="false">(F1991-INDEX('Cohort Summary'!$H$5:$H$14,MATCH($A1991,'Cohort Summary'!$A$5:$A$14,0)))/INDEX('Cohort Summary'!$I$5:$I$14,MATCH($A1991,'Cohort Summary'!$A$5:$A$14,0))</f>
        <v>3.23355263157895</v>
      </c>
      <c r="L1991" s="42" t="n">
        <f aca="false">(G1991-INDEX('Cohort Summary'!$J$5:$J$14,MATCH($A1991,'Cohort Summary'!$A$5:$A$14,0)))/INDEX('Cohort Summary'!$K$5:$K$14,MATCH($A1991,'Cohort Summary'!$A$5:$A$14,0))</f>
        <v>1.72881355932204</v>
      </c>
      <c r="M1991" s="42" t="n">
        <f aca="false">MAX(I1991:K1991)</f>
        <v>3.23355263157895</v>
      </c>
      <c r="N1991" s="27" t="s">
        <v>201</v>
      </c>
      <c r="O1991" s="27" t="s">
        <v>348</v>
      </c>
      <c r="P1991" s="27" t="str">
        <f aca="false">A1991&amp;"|"&amp;N1991</f>
        <v>NURSE-10|caution</v>
      </c>
    </row>
    <row r="1992" customFormat="false" ht="15" hidden="false" customHeight="true" outlineLevel="0" collapsed="false">
      <c r="A1992" s="27" t="s">
        <v>104</v>
      </c>
      <c r="B1992" s="41" t="n">
        <v>46303.3576388889</v>
      </c>
      <c r="C1992" s="27" t="s">
        <v>200</v>
      </c>
      <c r="D1992" s="27" t="n">
        <v>46.6</v>
      </c>
      <c r="E1992" s="27" t="n">
        <v>17.6</v>
      </c>
      <c r="F1992" s="27" t="n">
        <v>33.7</v>
      </c>
      <c r="G1992" s="27" t="n">
        <v>33.9</v>
      </c>
      <c r="H1992" s="27" t="s">
        <v>198</v>
      </c>
      <c r="I1992" s="42" t="n">
        <f aca="false">(D1992-INDEX('Cohort Summary'!$D$5:$D$14,MATCH($A1992,'Cohort Summary'!$A$5:$A$14,0)))/INDEX('Cohort Summary'!$E$5:$E$14,MATCH($A1992,'Cohort Summary'!$A$5:$A$14,0))</f>
        <v>1.26132404181185</v>
      </c>
      <c r="J1992" s="42" t="n">
        <f aca="false">(E1992-INDEX('Cohort Summary'!$F$5:$F$14,MATCH($A1992,'Cohort Summary'!$A$5:$A$14,0)))/INDEX('Cohort Summary'!$G$5:$G$14,MATCH($A1992,'Cohort Summary'!$A$5:$A$14,0))</f>
        <v>-1.31219512195122</v>
      </c>
      <c r="K1992" s="42" t="n">
        <f aca="false">(F1992-INDEX('Cohort Summary'!$H$5:$H$14,MATCH($A1992,'Cohort Summary'!$A$5:$A$14,0)))/INDEX('Cohort Summary'!$I$5:$I$14,MATCH($A1992,'Cohort Summary'!$A$5:$A$14,0))</f>
        <v>1.25986842105263</v>
      </c>
      <c r="L1992" s="42" t="n">
        <f aca="false">(G1992-INDEX('Cohort Summary'!$J$5:$J$14,MATCH($A1992,'Cohort Summary'!$A$5:$A$14,0)))/INDEX('Cohort Summary'!$K$5:$K$14,MATCH($A1992,'Cohort Summary'!$A$5:$A$14,0))</f>
        <v>1.55932203389831</v>
      </c>
      <c r="M1992" s="42" t="n">
        <f aca="false">MAX(I1992:K1992)</f>
        <v>1.26132404181185</v>
      </c>
      <c r="N1992" s="27" t="s">
        <v>197</v>
      </c>
      <c r="O1992" s="27"/>
      <c r="P1992" s="27" t="str">
        <f aca="false">A1992&amp;"|"&amp;N1992</f>
        <v>NURSE-10|normal</v>
      </c>
    </row>
    <row r="1993" customFormat="false" ht="15" hidden="false" customHeight="true" outlineLevel="0" collapsed="false">
      <c r="A1993" s="27" t="s">
        <v>104</v>
      </c>
      <c r="B1993" s="41" t="n">
        <v>46303.3579861111</v>
      </c>
      <c r="C1993" s="27" t="s">
        <v>200</v>
      </c>
      <c r="D1993" s="27" t="n">
        <v>46.2</v>
      </c>
      <c r="E1993" s="27" t="n">
        <v>18.8</v>
      </c>
      <c r="F1993" s="27" t="n">
        <v>30</v>
      </c>
      <c r="G1993" s="27" t="n">
        <v>33.1</v>
      </c>
      <c r="H1993" s="27" t="s">
        <v>196</v>
      </c>
      <c r="I1993" s="42" t="n">
        <f aca="false">(D1993-INDEX('Cohort Summary'!$D$5:$D$14,MATCH($A1993,'Cohort Summary'!$A$5:$A$14,0)))/INDEX('Cohort Summary'!$E$5:$E$14,MATCH($A1993,'Cohort Summary'!$A$5:$A$14,0))</f>
        <v>1.1219512195122</v>
      </c>
      <c r="J1993" s="42" t="n">
        <f aca="false">(E1993-INDEX('Cohort Summary'!$F$5:$F$14,MATCH($A1993,'Cohort Summary'!$A$5:$A$14,0)))/INDEX('Cohort Summary'!$G$5:$G$14,MATCH($A1993,'Cohort Summary'!$A$5:$A$14,0))</f>
        <v>-0.726829268292682</v>
      </c>
      <c r="K1993" s="42" t="n">
        <f aca="false">(F1993-INDEX('Cohort Summary'!$H$5:$H$14,MATCH($A1993,'Cohort Summary'!$A$5:$A$14,0)))/INDEX('Cohort Summary'!$I$5:$I$14,MATCH($A1993,'Cohort Summary'!$A$5:$A$14,0))</f>
        <v>0.0427631578947365</v>
      </c>
      <c r="L1993" s="42" t="n">
        <f aca="false">(G1993-INDEX('Cohort Summary'!$J$5:$J$14,MATCH($A1993,'Cohort Summary'!$A$5:$A$14,0)))/INDEX('Cohort Summary'!$K$5:$K$14,MATCH($A1993,'Cohort Summary'!$A$5:$A$14,0))</f>
        <v>0.203389830508482</v>
      </c>
      <c r="M1993" s="42" t="n">
        <f aca="false">MAX(I1993:K1993)</f>
        <v>1.1219512195122</v>
      </c>
      <c r="N1993" s="27" t="s">
        <v>197</v>
      </c>
      <c r="O1993" s="27"/>
      <c r="P1993" s="27" t="str">
        <f aca="false">A1993&amp;"|"&amp;N1993</f>
        <v>NURSE-10|normal</v>
      </c>
    </row>
    <row r="1994" customFormat="false" ht="15" hidden="false" customHeight="true" outlineLevel="0" collapsed="false">
      <c r="A1994" s="27" t="s">
        <v>104</v>
      </c>
      <c r="B1994" s="41" t="n">
        <v>46303.3583333333</v>
      </c>
      <c r="C1994" s="27" t="s">
        <v>200</v>
      </c>
      <c r="D1994" s="27" t="n">
        <v>46.5</v>
      </c>
      <c r="E1994" s="27" t="n">
        <v>18.6</v>
      </c>
      <c r="F1994" s="27" t="n">
        <v>26.9</v>
      </c>
      <c r="G1994" s="27" t="n">
        <v>33.6</v>
      </c>
      <c r="H1994" s="27" t="s">
        <v>198</v>
      </c>
      <c r="I1994" s="42" t="n">
        <f aca="false">(D1994-INDEX('Cohort Summary'!$D$5:$D$14,MATCH($A1994,'Cohort Summary'!$A$5:$A$14,0)))/INDEX('Cohort Summary'!$E$5:$E$14,MATCH($A1994,'Cohort Summary'!$A$5:$A$14,0))</f>
        <v>1.22648083623693</v>
      </c>
      <c r="J1994" s="42" t="n">
        <f aca="false">(E1994-INDEX('Cohort Summary'!$F$5:$F$14,MATCH($A1994,'Cohort Summary'!$A$5:$A$14,0)))/INDEX('Cohort Summary'!$G$5:$G$14,MATCH($A1994,'Cohort Summary'!$A$5:$A$14,0))</f>
        <v>-0.824390243902438</v>
      </c>
      <c r="K1994" s="42" t="n">
        <f aca="false">(F1994-INDEX('Cohort Summary'!$H$5:$H$14,MATCH($A1994,'Cohort Summary'!$A$5:$A$14,0)))/INDEX('Cohort Summary'!$I$5:$I$14,MATCH($A1994,'Cohort Summary'!$A$5:$A$14,0))</f>
        <v>-0.976973684210527</v>
      </c>
      <c r="L1994" s="42" t="n">
        <f aca="false">(G1994-INDEX('Cohort Summary'!$J$5:$J$14,MATCH($A1994,'Cohort Summary'!$A$5:$A$14,0)))/INDEX('Cohort Summary'!$K$5:$K$14,MATCH($A1994,'Cohort Summary'!$A$5:$A$14,0))</f>
        <v>1.05084745762713</v>
      </c>
      <c r="M1994" s="42" t="n">
        <f aca="false">MAX(I1994:K1994)</f>
        <v>1.22648083623693</v>
      </c>
      <c r="N1994" s="27" t="s">
        <v>197</v>
      </c>
      <c r="O1994" s="27"/>
      <c r="P1994" s="27" t="str">
        <f aca="false">A1994&amp;"|"&amp;N1994</f>
        <v>NURSE-10|normal</v>
      </c>
    </row>
    <row r="1995" customFormat="false" ht="15" hidden="false" customHeight="true" outlineLevel="0" collapsed="false">
      <c r="A1995" s="27" t="s">
        <v>104</v>
      </c>
      <c r="B1995" s="41" t="n">
        <v>46303.3586805556</v>
      </c>
      <c r="C1995" s="27" t="s">
        <v>200</v>
      </c>
      <c r="D1995" s="27" t="n">
        <v>46.5</v>
      </c>
      <c r="E1995" s="27" t="n">
        <v>20.9</v>
      </c>
      <c r="F1995" s="27" t="n">
        <v>32.4</v>
      </c>
      <c r="G1995" s="27" t="n">
        <v>33.5</v>
      </c>
      <c r="H1995" s="27" t="s">
        <v>196</v>
      </c>
      <c r="I1995" s="42" t="n">
        <f aca="false">(D1995-INDEX('Cohort Summary'!$D$5:$D$14,MATCH($A1995,'Cohort Summary'!$A$5:$A$14,0)))/INDEX('Cohort Summary'!$E$5:$E$14,MATCH($A1995,'Cohort Summary'!$A$5:$A$14,0))</f>
        <v>1.22648083623693</v>
      </c>
      <c r="J1995" s="42" t="n">
        <f aca="false">(E1995-INDEX('Cohort Summary'!$F$5:$F$14,MATCH($A1995,'Cohort Summary'!$A$5:$A$14,0)))/INDEX('Cohort Summary'!$G$5:$G$14,MATCH($A1995,'Cohort Summary'!$A$5:$A$14,0))</f>
        <v>0.297560975609756</v>
      </c>
      <c r="K1995" s="42" t="n">
        <f aca="false">(F1995-INDEX('Cohort Summary'!$H$5:$H$14,MATCH($A1995,'Cohort Summary'!$A$5:$A$14,0)))/INDEX('Cohort Summary'!$I$5:$I$14,MATCH($A1995,'Cohort Summary'!$A$5:$A$14,0))</f>
        <v>0.832236842105262</v>
      </c>
      <c r="L1995" s="42" t="n">
        <f aca="false">(G1995-INDEX('Cohort Summary'!$J$5:$J$14,MATCH($A1995,'Cohort Summary'!$A$5:$A$14,0)))/INDEX('Cohort Summary'!$K$5:$K$14,MATCH($A1995,'Cohort Summary'!$A$5:$A$14,0))</f>
        <v>0.881355932203395</v>
      </c>
      <c r="M1995" s="42" t="n">
        <f aca="false">MAX(I1995:K1995)</f>
        <v>1.22648083623693</v>
      </c>
      <c r="N1995" s="27" t="s">
        <v>197</v>
      </c>
      <c r="O1995" s="27"/>
      <c r="P1995" s="27" t="str">
        <f aca="false">A1995&amp;"|"&amp;N1995</f>
        <v>NURSE-10|normal</v>
      </c>
    </row>
    <row r="1996" customFormat="false" ht="15" hidden="false" customHeight="true" outlineLevel="0" collapsed="false">
      <c r="A1996" s="27" t="s">
        <v>104</v>
      </c>
      <c r="B1996" s="41" t="n">
        <v>46303.3590277778</v>
      </c>
      <c r="C1996" s="27" t="s">
        <v>200</v>
      </c>
      <c r="D1996" s="27" t="n">
        <v>45.2</v>
      </c>
      <c r="E1996" s="27" t="n">
        <v>21.1</v>
      </c>
      <c r="F1996" s="27" t="n">
        <v>25.8</v>
      </c>
      <c r="G1996" s="27" t="n">
        <v>33.8</v>
      </c>
      <c r="H1996" s="27" t="s">
        <v>196</v>
      </c>
      <c r="I1996" s="42" t="n">
        <f aca="false">(D1996-INDEX('Cohort Summary'!$D$5:$D$14,MATCH($A1996,'Cohort Summary'!$A$5:$A$14,0)))/INDEX('Cohort Summary'!$E$5:$E$14,MATCH($A1996,'Cohort Summary'!$A$5:$A$14,0))</f>
        <v>0.773519163763068</v>
      </c>
      <c r="J1996" s="42" t="n">
        <f aca="false">(E1996-INDEX('Cohort Summary'!$F$5:$F$14,MATCH($A1996,'Cohort Summary'!$A$5:$A$14,0)))/INDEX('Cohort Summary'!$G$5:$G$14,MATCH($A1996,'Cohort Summary'!$A$5:$A$14,0))</f>
        <v>0.395121951219513</v>
      </c>
      <c r="K1996" s="42" t="n">
        <f aca="false">(F1996-INDEX('Cohort Summary'!$H$5:$H$14,MATCH($A1996,'Cohort Summary'!$A$5:$A$14,0)))/INDEX('Cohort Summary'!$I$5:$I$14,MATCH($A1996,'Cohort Summary'!$A$5:$A$14,0))</f>
        <v>-1.33881578947368</v>
      </c>
      <c r="L1996" s="42" t="n">
        <f aca="false">(G1996-INDEX('Cohort Summary'!$J$5:$J$14,MATCH($A1996,'Cohort Summary'!$A$5:$A$14,0)))/INDEX('Cohort Summary'!$K$5:$K$14,MATCH($A1996,'Cohort Summary'!$A$5:$A$14,0))</f>
        <v>1.38983050847458</v>
      </c>
      <c r="M1996" s="42" t="n">
        <f aca="false">MAX(I1996:K1996)</f>
        <v>0.773519163763068</v>
      </c>
      <c r="N1996" s="27" t="s">
        <v>197</v>
      </c>
      <c r="O1996" s="27"/>
      <c r="P1996" s="27" t="str">
        <f aca="false">A1996&amp;"|"&amp;N1996</f>
        <v>NURSE-10|normal</v>
      </c>
    </row>
    <row r="1997" customFormat="false" ht="15" hidden="false" customHeight="true" outlineLevel="0" collapsed="false">
      <c r="A1997" s="27" t="s">
        <v>104</v>
      </c>
      <c r="B1997" s="41" t="n">
        <v>46303.359375</v>
      </c>
      <c r="C1997" s="27" t="s">
        <v>200</v>
      </c>
      <c r="D1997" s="27" t="n">
        <v>44.4</v>
      </c>
      <c r="E1997" s="27" t="n">
        <v>18.5</v>
      </c>
      <c r="F1997" s="27" t="n">
        <v>25.3</v>
      </c>
      <c r="G1997" s="27" t="n">
        <v>32.3</v>
      </c>
      <c r="H1997" s="27" t="s">
        <v>198</v>
      </c>
      <c r="I1997" s="42" t="n">
        <f aca="false">(D1997-INDEX('Cohort Summary'!$D$5:$D$14,MATCH($A1997,'Cohort Summary'!$A$5:$A$14,0)))/INDEX('Cohort Summary'!$E$5:$E$14,MATCH($A1997,'Cohort Summary'!$A$5:$A$14,0))</f>
        <v>0.494773519163764</v>
      </c>
      <c r="J1997" s="42" t="n">
        <f aca="false">(E1997-INDEX('Cohort Summary'!$F$5:$F$14,MATCH($A1997,'Cohort Summary'!$A$5:$A$14,0)))/INDEX('Cohort Summary'!$G$5:$G$14,MATCH($A1997,'Cohort Summary'!$A$5:$A$14,0))</f>
        <v>-0.873170731707317</v>
      </c>
      <c r="K1997" s="42" t="n">
        <f aca="false">(F1997-INDEX('Cohort Summary'!$H$5:$H$14,MATCH($A1997,'Cohort Summary'!$A$5:$A$14,0)))/INDEX('Cohort Summary'!$I$5:$I$14,MATCH($A1997,'Cohort Summary'!$A$5:$A$14,0))</f>
        <v>-1.50328947368421</v>
      </c>
      <c r="L1997" s="42" t="n">
        <f aca="false">(G1997-INDEX('Cohort Summary'!$J$5:$J$14,MATCH($A1997,'Cohort Summary'!$A$5:$A$14,0)))/INDEX('Cohort Summary'!$K$5:$K$14,MATCH($A1997,'Cohort Summary'!$A$5:$A$14,0))</f>
        <v>-1.15254237288136</v>
      </c>
      <c r="M1997" s="42" t="n">
        <f aca="false">MAX(I1997:K1997)</f>
        <v>0.494773519163764</v>
      </c>
      <c r="N1997" s="27" t="s">
        <v>197</v>
      </c>
      <c r="O1997" s="27"/>
      <c r="P1997" s="27" t="str">
        <f aca="false">A1997&amp;"|"&amp;N1997</f>
        <v>NURSE-10|normal</v>
      </c>
    </row>
    <row r="1998" customFormat="false" ht="15" hidden="false" customHeight="true" outlineLevel="0" collapsed="false">
      <c r="A1998" s="27" t="s">
        <v>104</v>
      </c>
      <c r="B1998" s="41" t="n">
        <v>46303.3597222222</v>
      </c>
      <c r="C1998" s="27" t="s">
        <v>200</v>
      </c>
      <c r="D1998" s="27" t="n">
        <v>47.8</v>
      </c>
      <c r="E1998" s="27" t="n">
        <v>19.2</v>
      </c>
      <c r="F1998" s="27" t="n">
        <v>28.4</v>
      </c>
      <c r="G1998" s="27" t="n">
        <v>33</v>
      </c>
      <c r="H1998" s="27" t="s">
        <v>196</v>
      </c>
      <c r="I1998" s="42" t="n">
        <f aca="false">(D1998-INDEX('Cohort Summary'!$D$5:$D$14,MATCH($A1998,'Cohort Summary'!$A$5:$A$14,0)))/INDEX('Cohort Summary'!$E$5:$E$14,MATCH($A1998,'Cohort Summary'!$A$5:$A$14,0))</f>
        <v>1.6794425087108</v>
      </c>
      <c r="J1998" s="42" t="n">
        <f aca="false">(E1998-INDEX('Cohort Summary'!$F$5:$F$14,MATCH($A1998,'Cohort Summary'!$A$5:$A$14,0)))/INDEX('Cohort Summary'!$G$5:$G$14,MATCH($A1998,'Cohort Summary'!$A$5:$A$14,0))</f>
        <v>-0.531707317073171</v>
      </c>
      <c r="K1998" s="42" t="n">
        <f aca="false">(F1998-INDEX('Cohort Summary'!$H$5:$H$14,MATCH($A1998,'Cohort Summary'!$A$5:$A$14,0)))/INDEX('Cohort Summary'!$I$5:$I$14,MATCH($A1998,'Cohort Summary'!$A$5:$A$14,0))</f>
        <v>-0.483552631578948</v>
      </c>
      <c r="L1998" s="42" t="n">
        <f aca="false">(G1998-INDEX('Cohort Summary'!$J$5:$J$14,MATCH($A1998,'Cohort Summary'!$A$5:$A$14,0)))/INDEX('Cohort Summary'!$K$5:$K$14,MATCH($A1998,'Cohort Summary'!$A$5:$A$14,0))</f>
        <v>0.0338983050847511</v>
      </c>
      <c r="M1998" s="42" t="n">
        <f aca="false">MAX(I1998:K1998)</f>
        <v>1.6794425087108</v>
      </c>
      <c r="N1998" s="27" t="s">
        <v>197</v>
      </c>
      <c r="O1998" s="27"/>
      <c r="P1998" s="27" t="str">
        <f aca="false">A1998&amp;"|"&amp;N1998</f>
        <v>NURSE-10|normal</v>
      </c>
    </row>
    <row r="1999" customFormat="false" ht="15" hidden="false" customHeight="true" outlineLevel="0" collapsed="false">
      <c r="A1999" s="27" t="s">
        <v>104</v>
      </c>
      <c r="B1999" s="41" t="n">
        <v>46303.3600694445</v>
      </c>
      <c r="C1999" s="27" t="s">
        <v>200</v>
      </c>
      <c r="D1999" s="27" t="n">
        <v>45.6</v>
      </c>
      <c r="E1999" s="27" t="n">
        <v>19.6</v>
      </c>
      <c r="F1999" s="27" t="n">
        <v>33.2</v>
      </c>
      <c r="G1999" s="27" t="n">
        <v>32</v>
      </c>
      <c r="H1999" s="27" t="s">
        <v>199</v>
      </c>
      <c r="I1999" s="42" t="n">
        <f aca="false">(D1999-INDEX('Cohort Summary'!$D$5:$D$14,MATCH($A1999,'Cohort Summary'!$A$5:$A$14,0)))/INDEX('Cohort Summary'!$E$5:$E$14,MATCH($A1999,'Cohort Summary'!$A$5:$A$14,0))</f>
        <v>0.912891986062719</v>
      </c>
      <c r="J1999" s="42" t="n">
        <f aca="false">(E1999-INDEX('Cohort Summary'!$F$5:$F$14,MATCH($A1999,'Cohort Summary'!$A$5:$A$14,0)))/INDEX('Cohort Summary'!$G$5:$G$14,MATCH($A1999,'Cohort Summary'!$A$5:$A$14,0))</f>
        <v>-0.336585365853657</v>
      </c>
      <c r="K1999" s="42" t="n">
        <f aca="false">(F1999-INDEX('Cohort Summary'!$H$5:$H$14,MATCH($A1999,'Cohort Summary'!$A$5:$A$14,0)))/INDEX('Cohort Summary'!$I$5:$I$14,MATCH($A1999,'Cohort Summary'!$A$5:$A$14,0))</f>
        <v>1.09539473684211</v>
      </c>
      <c r="L1999" s="42" t="n">
        <f aca="false">(G1999-INDEX('Cohort Summary'!$J$5:$J$14,MATCH($A1999,'Cohort Summary'!$A$5:$A$14,0)))/INDEX('Cohort Summary'!$K$5:$K$14,MATCH($A1999,'Cohort Summary'!$A$5:$A$14,0))</f>
        <v>-1.66101694915254</v>
      </c>
      <c r="M1999" s="42" t="n">
        <f aca="false">MAX(I1999:K1999)</f>
        <v>1.09539473684211</v>
      </c>
      <c r="N1999" s="27" t="s">
        <v>197</v>
      </c>
      <c r="O1999" s="27"/>
      <c r="P1999" s="27" t="str">
        <f aca="false">A1999&amp;"|"&amp;N1999</f>
        <v>NURSE-10|normal</v>
      </c>
    </row>
    <row r="2000" customFormat="false" ht="15" hidden="false" customHeight="true" outlineLevel="0" collapsed="false">
      <c r="A2000" s="27" t="s">
        <v>104</v>
      </c>
      <c r="B2000" s="41" t="n">
        <v>46303.3604166667</v>
      </c>
      <c r="C2000" s="27" t="s">
        <v>200</v>
      </c>
      <c r="D2000" s="27" t="n">
        <v>47.5</v>
      </c>
      <c r="E2000" s="27" t="n">
        <v>24</v>
      </c>
      <c r="F2000" s="27" t="n">
        <v>33.1</v>
      </c>
      <c r="G2000" s="27" t="n">
        <v>32.2</v>
      </c>
      <c r="H2000" s="27" t="s">
        <v>196</v>
      </c>
      <c r="I2000" s="42" t="n">
        <f aca="false">(D2000-INDEX('Cohort Summary'!$D$5:$D$14,MATCH($A2000,'Cohort Summary'!$A$5:$A$14,0)))/INDEX('Cohort Summary'!$E$5:$E$14,MATCH($A2000,'Cohort Summary'!$A$5:$A$14,0))</f>
        <v>1.57491289198606</v>
      </c>
      <c r="J2000" s="42" t="n">
        <f aca="false">(E2000-INDEX('Cohort Summary'!$F$5:$F$14,MATCH($A2000,'Cohort Summary'!$A$5:$A$14,0)))/INDEX('Cohort Summary'!$G$5:$G$14,MATCH($A2000,'Cohort Summary'!$A$5:$A$14,0))</f>
        <v>1.80975609756098</v>
      </c>
      <c r="K2000" s="42" t="n">
        <f aca="false">(F2000-INDEX('Cohort Summary'!$H$5:$H$14,MATCH($A2000,'Cohort Summary'!$A$5:$A$14,0)))/INDEX('Cohort Summary'!$I$5:$I$14,MATCH($A2000,'Cohort Summary'!$A$5:$A$14,0))</f>
        <v>1.0625</v>
      </c>
      <c r="L2000" s="42" t="n">
        <f aca="false">(G2000-INDEX('Cohort Summary'!$J$5:$J$14,MATCH($A2000,'Cohort Summary'!$A$5:$A$14,0)))/INDEX('Cohort Summary'!$K$5:$K$14,MATCH($A2000,'Cohort Summary'!$A$5:$A$14,0))</f>
        <v>-1.32203389830507</v>
      </c>
      <c r="M2000" s="42" t="n">
        <f aca="false">MAX(I2000:K2000)</f>
        <v>1.80975609756098</v>
      </c>
      <c r="N2000" s="27" t="s">
        <v>197</v>
      </c>
      <c r="O2000" s="27"/>
      <c r="P2000" s="27" t="str">
        <f aca="false">A2000&amp;"|"&amp;N2000</f>
        <v>NURSE-10|normal</v>
      </c>
    </row>
    <row r="2001" customFormat="false" ht="15" hidden="false" customHeight="true" outlineLevel="0" collapsed="false">
      <c r="A2001" s="27" t="s">
        <v>104</v>
      </c>
      <c r="B2001" s="41" t="n">
        <v>46303.3607638889</v>
      </c>
      <c r="C2001" s="27" t="s">
        <v>200</v>
      </c>
      <c r="D2001" s="27" t="n">
        <v>46.8</v>
      </c>
      <c r="E2001" s="27" t="n">
        <v>19.3</v>
      </c>
      <c r="F2001" s="27" t="n">
        <v>25.7</v>
      </c>
      <c r="G2001" s="27" t="n">
        <v>33.9</v>
      </c>
      <c r="H2001" s="27" t="s">
        <v>198</v>
      </c>
      <c r="I2001" s="42" t="n">
        <f aca="false">(D2001-INDEX('Cohort Summary'!$D$5:$D$14,MATCH($A2001,'Cohort Summary'!$A$5:$A$14,0)))/INDEX('Cohort Summary'!$E$5:$E$14,MATCH($A2001,'Cohort Summary'!$A$5:$A$14,0))</f>
        <v>1.33101045296167</v>
      </c>
      <c r="J2001" s="42" t="n">
        <f aca="false">(E2001-INDEX('Cohort Summary'!$F$5:$F$14,MATCH($A2001,'Cohort Summary'!$A$5:$A$14,0)))/INDEX('Cohort Summary'!$G$5:$G$14,MATCH($A2001,'Cohort Summary'!$A$5:$A$14,0))</f>
        <v>-0.482926829268292</v>
      </c>
      <c r="K2001" s="42" t="n">
        <f aca="false">(F2001-INDEX('Cohort Summary'!$H$5:$H$14,MATCH($A2001,'Cohort Summary'!$A$5:$A$14,0)))/INDEX('Cohort Summary'!$I$5:$I$14,MATCH($A2001,'Cohort Summary'!$A$5:$A$14,0))</f>
        <v>-1.37171052631579</v>
      </c>
      <c r="L2001" s="42" t="n">
        <f aca="false">(G2001-INDEX('Cohort Summary'!$J$5:$J$14,MATCH($A2001,'Cohort Summary'!$A$5:$A$14,0)))/INDEX('Cohort Summary'!$K$5:$K$14,MATCH($A2001,'Cohort Summary'!$A$5:$A$14,0))</f>
        <v>1.55932203389831</v>
      </c>
      <c r="M2001" s="42" t="n">
        <f aca="false">MAX(I2001:K2001)</f>
        <v>1.33101045296167</v>
      </c>
      <c r="N2001" s="27" t="s">
        <v>197</v>
      </c>
      <c r="O2001" s="27"/>
      <c r="P2001" s="27" t="str">
        <f aca="false">A2001&amp;"|"&amp;N2001</f>
        <v>NURSE-10|normal</v>
      </c>
    </row>
  </sheetData>
  <autoFilter ref="A1:P2001"/>
  <conditionalFormatting sqref="N2:N2001">
    <cfRule type="expression" priority="2" aboveAverage="0" equalAverage="0" bottom="0" percent="0" rank="0" text="" dxfId="0">
      <formula>N2="alert"</formula>
    </cfRule>
    <cfRule type="expression" priority="3" aboveAverage="0" equalAverage="0" bottom="0" percent="0" rank="0" text="" dxfId="1">
      <formula>N2="caution"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8"/>
    <col collapsed="false" customWidth="true" hidden="false" outlineLevel="0" max="4" min="3" style="1" width="34"/>
    <col collapsed="false" customWidth="true" hidden="false" outlineLevel="0" max="5" min="5" style="1" width="26"/>
    <col collapsed="false" customWidth="true" hidden="false" outlineLevel="0" max="6" min="6" style="1" width="34"/>
  </cols>
  <sheetData>
    <row r="1" customFormat="false" ht="19.5" hidden="false" customHeight="true" outlineLevel="0" collapsed="false">
      <c r="A1" s="2" t="s">
        <v>349</v>
      </c>
    </row>
    <row r="2" customFormat="false" ht="15" hidden="false" customHeight="true" outlineLevel="0" collapsed="false">
      <c r="A2" s="3" t="s">
        <v>350</v>
      </c>
    </row>
    <row r="4" customFormat="false" ht="15" hidden="false" customHeight="true" outlineLevel="0" collapsed="false">
      <c r="A4" s="6" t="s">
        <v>351</v>
      </c>
      <c r="B4" s="7"/>
      <c r="C4" s="7"/>
      <c r="D4" s="7"/>
      <c r="E4" s="7"/>
      <c r="F4" s="7"/>
    </row>
    <row r="5" customFormat="false" ht="24" hidden="false" customHeight="true" outlineLevel="0" collapsed="false">
      <c r="A5" s="11" t="s">
        <v>352</v>
      </c>
      <c r="B5" s="11" t="s">
        <v>353</v>
      </c>
      <c r="C5" s="11"/>
      <c r="D5" s="11"/>
      <c r="E5" s="11"/>
      <c r="F5" s="11" t="s">
        <v>354</v>
      </c>
    </row>
    <row r="6" customFormat="false" ht="45.75" hidden="false" customHeight="true" outlineLevel="0" collapsed="false">
      <c r="A6" s="43" t="n">
        <v>1</v>
      </c>
      <c r="B6" s="18" t="s">
        <v>355</v>
      </c>
      <c r="C6" s="18"/>
      <c r="D6" s="18"/>
      <c r="E6" s="18"/>
      <c r="F6" s="18" t="s">
        <v>356</v>
      </c>
    </row>
    <row r="7" customFormat="false" ht="45.75" hidden="false" customHeight="true" outlineLevel="0" collapsed="false">
      <c r="A7" s="43" t="n">
        <v>2</v>
      </c>
      <c r="B7" s="18" t="s">
        <v>357</v>
      </c>
      <c r="C7" s="18"/>
      <c r="D7" s="18"/>
      <c r="E7" s="18"/>
      <c r="F7" s="18" t="s">
        <v>358</v>
      </c>
    </row>
    <row r="8" customFormat="false" ht="45.75" hidden="false" customHeight="true" outlineLevel="0" collapsed="false">
      <c r="A8" s="43" t="n">
        <v>3</v>
      </c>
      <c r="B8" s="18" t="s">
        <v>359</v>
      </c>
      <c r="C8" s="18"/>
      <c r="D8" s="18"/>
      <c r="E8" s="18"/>
      <c r="F8" s="18" t="s">
        <v>360</v>
      </c>
    </row>
    <row r="9" customFormat="false" ht="45.75" hidden="false" customHeight="true" outlineLevel="0" collapsed="false">
      <c r="A9" s="43" t="n">
        <v>4</v>
      </c>
      <c r="B9" s="18" t="s">
        <v>361</v>
      </c>
      <c r="C9" s="18"/>
      <c r="D9" s="18"/>
      <c r="E9" s="18"/>
      <c r="F9" s="18" t="s">
        <v>362</v>
      </c>
    </row>
    <row r="10" customFormat="false" ht="45.75" hidden="false" customHeight="true" outlineLevel="0" collapsed="false">
      <c r="A10" s="43" t="n">
        <v>5</v>
      </c>
      <c r="B10" s="18" t="s">
        <v>363</v>
      </c>
      <c r="C10" s="18"/>
      <c r="D10" s="18"/>
      <c r="E10" s="18"/>
      <c r="F10" s="18" t="s">
        <v>364</v>
      </c>
    </row>
    <row r="11" customFormat="false" ht="45.75" hidden="false" customHeight="true" outlineLevel="0" collapsed="false">
      <c r="A11" s="43" t="n">
        <v>6</v>
      </c>
      <c r="B11" s="18" t="s">
        <v>365</v>
      </c>
      <c r="C11" s="18"/>
      <c r="D11" s="18"/>
      <c r="E11" s="18"/>
      <c r="F11" s="18" t="s">
        <v>366</v>
      </c>
    </row>
    <row r="12" customFormat="false" ht="45.75" hidden="false" customHeight="true" outlineLevel="0" collapsed="false">
      <c r="A12" s="43" t="n">
        <v>7</v>
      </c>
      <c r="B12" s="18" t="s">
        <v>367</v>
      </c>
      <c r="C12" s="18"/>
      <c r="D12" s="18"/>
      <c r="E12" s="18"/>
      <c r="F12" s="18" t="s">
        <v>356</v>
      </c>
    </row>
    <row r="13" customFormat="false" ht="45.75" hidden="false" customHeight="true" outlineLevel="0" collapsed="false">
      <c r="A13" s="43" t="n">
        <v>8</v>
      </c>
      <c r="B13" s="18" t="s">
        <v>368</v>
      </c>
      <c r="C13" s="18"/>
      <c r="D13" s="18"/>
      <c r="E13" s="18"/>
      <c r="F13" s="18" t="s">
        <v>369</v>
      </c>
    </row>
    <row r="15" customFormat="false" ht="15" hidden="false" customHeight="true" outlineLevel="0" collapsed="false">
      <c r="A15" s="6" t="s">
        <v>370</v>
      </c>
      <c r="B15" s="7"/>
      <c r="C15" s="7"/>
      <c r="D15" s="7"/>
      <c r="E15" s="7"/>
      <c r="F15" s="7"/>
    </row>
    <row r="16" customFormat="false" ht="36" hidden="false" customHeight="true" outlineLevel="0" collapsed="false">
      <c r="A16" s="11" t="s">
        <v>371</v>
      </c>
      <c r="B16" s="11" t="s">
        <v>372</v>
      </c>
      <c r="C16" s="11" t="s">
        <v>373</v>
      </c>
      <c r="D16" s="11" t="s">
        <v>374</v>
      </c>
      <c r="E16" s="11" t="s">
        <v>375</v>
      </c>
      <c r="F16" s="11" t="s">
        <v>376</v>
      </c>
    </row>
    <row r="17" customFormat="false" ht="120" hidden="false" customHeight="true" outlineLevel="0" collapsed="false">
      <c r="A17" s="44" t="s">
        <v>377</v>
      </c>
      <c r="B17" s="18" t="s">
        <v>378</v>
      </c>
      <c r="C17" s="18" t="s">
        <v>379</v>
      </c>
      <c r="D17" s="18" t="s">
        <v>380</v>
      </c>
      <c r="E17" s="45" t="s">
        <v>381</v>
      </c>
      <c r="F17" s="45" t="s">
        <v>382</v>
      </c>
    </row>
    <row r="18" customFormat="false" ht="120" hidden="false" customHeight="true" outlineLevel="0" collapsed="false">
      <c r="A18" s="44" t="s">
        <v>383</v>
      </c>
      <c r="B18" s="18" t="s">
        <v>384</v>
      </c>
      <c r="C18" s="18" t="s">
        <v>385</v>
      </c>
      <c r="D18" s="18" t="s">
        <v>386</v>
      </c>
      <c r="E18" s="45" t="s">
        <v>381</v>
      </c>
      <c r="F18" s="45" t="s">
        <v>382</v>
      </c>
    </row>
    <row r="19" customFormat="false" ht="120" hidden="false" customHeight="true" outlineLevel="0" collapsed="false">
      <c r="A19" s="44" t="s">
        <v>387</v>
      </c>
      <c r="B19" s="18" t="s">
        <v>388</v>
      </c>
      <c r="C19" s="18" t="s">
        <v>389</v>
      </c>
      <c r="D19" s="18" t="s">
        <v>390</v>
      </c>
      <c r="E19" s="45" t="s">
        <v>381</v>
      </c>
      <c r="F19" s="45" t="s">
        <v>382</v>
      </c>
    </row>
    <row r="20" customFormat="false" ht="120" hidden="false" customHeight="true" outlineLevel="0" collapsed="false">
      <c r="A20" s="44" t="s">
        <v>391</v>
      </c>
      <c r="B20" s="18" t="s">
        <v>392</v>
      </c>
      <c r="C20" s="18" t="s">
        <v>393</v>
      </c>
      <c r="D20" s="18" t="s">
        <v>394</v>
      </c>
      <c r="E20" s="45" t="s">
        <v>381</v>
      </c>
      <c r="F20" s="45" t="s">
        <v>382</v>
      </c>
    </row>
    <row r="21" customFormat="false" ht="120" hidden="false" customHeight="true" outlineLevel="0" collapsed="false">
      <c r="A21" s="44" t="s">
        <v>395</v>
      </c>
      <c r="B21" s="18" t="s">
        <v>396</v>
      </c>
      <c r="C21" s="18" t="s">
        <v>397</v>
      </c>
      <c r="D21" s="18" t="s">
        <v>398</v>
      </c>
      <c r="E21" s="45" t="s">
        <v>381</v>
      </c>
      <c r="F21" s="45" t="s">
        <v>382</v>
      </c>
    </row>
    <row r="22" customFormat="false" ht="120" hidden="false" customHeight="true" outlineLevel="0" collapsed="false">
      <c r="A22" s="44" t="s">
        <v>399</v>
      </c>
      <c r="B22" s="18" t="s">
        <v>400</v>
      </c>
      <c r="C22" s="18" t="s">
        <v>401</v>
      </c>
      <c r="D22" s="18" t="s">
        <v>402</v>
      </c>
      <c r="E22" s="45" t="s">
        <v>381</v>
      </c>
      <c r="F22" s="45" t="s">
        <v>382</v>
      </c>
    </row>
    <row r="23" customFormat="false" ht="120" hidden="false" customHeight="true" outlineLevel="0" collapsed="false">
      <c r="A23" s="44" t="s">
        <v>403</v>
      </c>
      <c r="B23" s="18" t="s">
        <v>404</v>
      </c>
      <c r="C23" s="18" t="s">
        <v>405</v>
      </c>
      <c r="D23" s="18" t="s">
        <v>406</v>
      </c>
      <c r="E23" s="45" t="s">
        <v>381</v>
      </c>
      <c r="F23" s="45" t="s">
        <v>382</v>
      </c>
    </row>
    <row r="25" customFormat="false" ht="15" hidden="false" customHeight="true" outlineLevel="0" collapsed="false">
      <c r="A25" s="6" t="s">
        <v>407</v>
      </c>
      <c r="B25" s="7"/>
      <c r="C25" s="7"/>
      <c r="D25" s="7"/>
      <c r="E25" s="7"/>
      <c r="F25" s="7"/>
    </row>
    <row r="26" customFormat="false" ht="33.75" hidden="false" customHeight="true" outlineLevel="0" collapsed="false">
      <c r="A26" s="27" t="n">
        <v>1</v>
      </c>
      <c r="B26" s="23" t="s">
        <v>408</v>
      </c>
      <c r="C26" s="23"/>
      <c r="D26" s="23"/>
      <c r="E26" s="23"/>
      <c r="F26" s="23"/>
    </row>
    <row r="27" customFormat="false" ht="33.75" hidden="false" customHeight="true" outlineLevel="0" collapsed="false">
      <c r="A27" s="27" t="n">
        <v>2</v>
      </c>
      <c r="B27" s="23" t="s">
        <v>409</v>
      </c>
      <c r="C27" s="23"/>
      <c r="D27" s="23"/>
      <c r="E27" s="23"/>
      <c r="F27" s="23"/>
    </row>
    <row r="28" customFormat="false" ht="33.75" hidden="false" customHeight="true" outlineLevel="0" collapsed="false">
      <c r="A28" s="27" t="n">
        <v>3</v>
      </c>
      <c r="B28" s="23" t="s">
        <v>410</v>
      </c>
      <c r="C28" s="23"/>
      <c r="D28" s="23"/>
      <c r="E28" s="23"/>
      <c r="F28" s="23"/>
    </row>
    <row r="29" customFormat="false" ht="33.75" hidden="false" customHeight="true" outlineLevel="0" collapsed="false">
      <c r="A29" s="27" t="n">
        <v>4</v>
      </c>
      <c r="B29" s="23" t="s">
        <v>411</v>
      </c>
      <c r="C29" s="23"/>
      <c r="D29" s="23"/>
      <c r="E29" s="23"/>
      <c r="F29" s="23"/>
    </row>
    <row r="30" customFormat="false" ht="33.75" hidden="false" customHeight="true" outlineLevel="0" collapsed="false">
      <c r="A30" s="27" t="n">
        <v>5</v>
      </c>
      <c r="B30" s="23" t="s">
        <v>412</v>
      </c>
      <c r="C30" s="23"/>
      <c r="D30" s="23"/>
      <c r="E30" s="23"/>
      <c r="F30" s="23"/>
    </row>
    <row r="32" customFormat="false" ht="15" hidden="false" customHeight="true" outlineLevel="0" collapsed="false">
      <c r="A32" s="6" t="s">
        <v>413</v>
      </c>
      <c r="B32" s="7"/>
      <c r="C32" s="7"/>
      <c r="D32" s="7"/>
      <c r="E32" s="7"/>
      <c r="F32" s="7"/>
    </row>
    <row r="33" customFormat="false" ht="43.5" hidden="false" customHeight="true" outlineLevel="0" collapsed="false">
      <c r="A33" s="8" t="s">
        <v>356</v>
      </c>
      <c r="B33" s="23" t="s">
        <v>414</v>
      </c>
      <c r="C33" s="23"/>
      <c r="D33" s="23"/>
      <c r="E33" s="23"/>
      <c r="F33" s="23"/>
    </row>
    <row r="34" customFormat="false" ht="43.5" hidden="false" customHeight="true" outlineLevel="0" collapsed="false">
      <c r="A34" s="8" t="s">
        <v>358</v>
      </c>
      <c r="B34" s="23" t="s">
        <v>415</v>
      </c>
      <c r="C34" s="23"/>
      <c r="D34" s="23"/>
      <c r="E34" s="23"/>
      <c r="F34" s="23"/>
    </row>
    <row r="35" customFormat="false" ht="43.5" hidden="false" customHeight="true" outlineLevel="0" collapsed="false">
      <c r="A35" s="8" t="s">
        <v>360</v>
      </c>
      <c r="B35" s="23" t="s">
        <v>416</v>
      </c>
      <c r="C35" s="23"/>
      <c r="D35" s="23"/>
      <c r="E35" s="23"/>
      <c r="F35" s="23"/>
    </row>
    <row r="36" customFormat="false" ht="43.5" hidden="false" customHeight="true" outlineLevel="0" collapsed="false">
      <c r="A36" s="8" t="s">
        <v>364</v>
      </c>
      <c r="B36" s="23" t="s">
        <v>417</v>
      </c>
      <c r="C36" s="23"/>
      <c r="D36" s="23"/>
      <c r="E36" s="23"/>
      <c r="F36" s="23"/>
    </row>
    <row r="37" customFormat="false" ht="43.5" hidden="false" customHeight="true" outlineLevel="0" collapsed="false">
      <c r="A37" s="8" t="s">
        <v>366</v>
      </c>
      <c r="B37" s="23" t="s">
        <v>418</v>
      </c>
      <c r="C37" s="23"/>
      <c r="D37" s="23"/>
      <c r="E37" s="23"/>
      <c r="F37" s="23"/>
    </row>
    <row r="38" customFormat="false" ht="43.5" hidden="false" customHeight="true" outlineLevel="0" collapsed="false">
      <c r="A38" s="8" t="s">
        <v>419</v>
      </c>
      <c r="B38" s="23" t="s">
        <v>420</v>
      </c>
      <c r="C38" s="23"/>
      <c r="D38" s="23"/>
      <c r="E38" s="23"/>
      <c r="F38" s="23"/>
    </row>
  </sheetData>
  <mergeCells count="19">
    <mergeCell ref="B6:E6"/>
    <mergeCell ref="B7:E7"/>
    <mergeCell ref="B8:E8"/>
    <mergeCell ref="B9:E9"/>
    <mergeCell ref="B10:E10"/>
    <mergeCell ref="B11:E11"/>
    <mergeCell ref="B12:E12"/>
    <mergeCell ref="B13:E13"/>
    <mergeCell ref="B26:F26"/>
    <mergeCell ref="B27:F27"/>
    <mergeCell ref="B28:F28"/>
    <mergeCell ref="B29:F29"/>
    <mergeCell ref="B30:F30"/>
    <mergeCell ref="B33:F33"/>
    <mergeCell ref="B34:F34"/>
    <mergeCell ref="B35:F35"/>
    <mergeCell ref="B36:F36"/>
    <mergeCell ref="B37:F37"/>
    <mergeCell ref="B38:F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2026-10-08T05:27:26Z</dcterms:created>
  <dc:creator>openpyxl</dc:creator>
  <dc:description/>
  <dc:language>en-US</dc:language>
  <cp:lastModifiedBy/>
  <dcterms:modified xsi:type="dcterms:W3CDTF">2026-10-22T03:22:57Z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